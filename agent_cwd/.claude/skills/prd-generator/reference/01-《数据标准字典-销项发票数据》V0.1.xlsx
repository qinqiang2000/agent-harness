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《发票标准字典》" state="visible" r:id="rId4"/>
    <sheet sheetId="2" name="《发票标准字典》20260115存档" state="visible" r:id="rId5"/>
  </sheets>
  <calcPr calcId="171027"/>
</workbook>
</file>

<file path=xl/sharedStrings.xml><?xml version="1.0" encoding="utf-8"?>
<sst xmlns="http://schemas.openxmlformats.org/spreadsheetml/2006/main" count="17698" uniqueCount="3117">
  <si>
    <t>数据标准字典</t>
  </si>
  <si>
    <t xml:space="preserve">所属类别
（Class）</t>
  </si>
  <si>
    <t>业务对象类型ID</t>
  </si>
  <si>
    <t>逻辑数据实体</t>
  </si>
  <si>
    <t>逻辑数据实体表描述</t>
  </si>
  <si>
    <t>字段标识符(原版)</t>
  </si>
  <si>
    <t xml:space="preserve">字段标识符
（Unique Field Name）</t>
  </si>
  <si>
    <t xml:space="preserve">字段标识符
（Class层级）</t>
  </si>
  <si>
    <t>标准属性名称</t>
  </si>
  <si>
    <t xml:space="preserve">同义词/别名
（Alt. Business
Terms）</t>
  </si>
  <si>
    <t>业务定义</t>
  </si>
  <si>
    <t>业务规则/约束</t>
  </si>
  <si>
    <t>数据类型</t>
  </si>
  <si>
    <t>Card.</t>
  </si>
  <si>
    <t>层级</t>
  </si>
  <si>
    <t>Full xPath</t>
  </si>
  <si>
    <t>xPath匹配说明</t>
  </si>
  <si>
    <t>格式规范</t>
  </si>
  <si>
    <t>允许值/枚举值</t>
  </si>
  <si>
    <t xml:space="preserve">数据示例
（Examples）</t>
  </si>
  <si>
    <t xml:space="preserve">是否为共享属性
 (Shared Property)</t>
  </si>
  <si>
    <t>责任人</t>
  </si>
  <si>
    <t>组件类型</t>
  </si>
  <si>
    <t>是否为扩展字段</t>
  </si>
  <si>
    <t>是否现有字段</t>
  </si>
  <si>
    <t>对应AWS行号</t>
  </si>
  <si>
    <t>对应AWS字段标识符</t>
  </si>
  <si>
    <t>对应星瀚行号</t>
  </si>
  <si>
    <t>对应星瀚字段标识符</t>
  </si>
  <si>
    <t>是否UBL字段</t>
  </si>
  <si>
    <t xml:space="preserve">该行所属的上级类，
对应UBL的Class。</t>
  </si>
  <si>
    <t>取值01-《业务对象类型》</t>
  </si>
  <si>
    <t>按CLASS+层架命名，层级1class_层级2class_层级3</t>
  </si>
  <si>
    <t>记录业务在不同场景下的其他叫法。</t>
  </si>
  <si>
    <t>解释该属性是什么。</t>
  </si>
  <si>
    <t>明确校验规则。</t>
  </si>
  <si>
    <t xml:space="preserve">1：必选，且不可重复（必须出现 1 次）
0..1：可选，且不可重复（可以不出现；出现则 最多 1 次）
0..n：可选，且可重复（可以不出现；出现可多次；n 表示无上限）
1..n：必选，且可重复（必须至少 1 次；可多次；n 表示无上限）</t>
  </si>
  <si>
    <t>该行所属的层级</t>
  </si>
  <si>
    <t>对应UBL中的字段路径</t>
  </si>
  <si>
    <t>标记该属性是否在多个对象类型间复用。</t>
  </si>
  <si>
    <t>`ABIE`（聚合业务信息实体）、`BBIE`（基本业务信息实体）、`ASBIE`（关联业务信息实体）</t>
  </si>
  <si>
    <t>Invoice</t>
  </si>
  <si>
    <t>销项发票数据</t>
  </si>
  <si>
    <t>发票抬头 (Invoice Header)：具有逻辑关系的业务属性集合。</t>
  </si>
  <si>
    <t>BillRef_InvDocRef</t>
  </si>
  <si>
    <t xml:space="preserve">税号
统一社会信用代码</t>
  </si>
  <si>
    <t>销售方或购买方的唯一税务登记代码。</t>
  </si>
  <si>
    <t>必须符合国家税务局定义的15-20位字符格式。</t>
  </si>
  <si>
    <t>字符串 (String) / 20位</t>
  </si>
  <si>
    <t>0..n</t>
  </si>
  <si>
    <t>3</t>
  </si>
  <si>
    <t>Invoice/cac:Full xPath/cbc:Full xPath1</t>
  </si>
  <si>
    <t>如：YYYY-MM-DD（开票日期）。</t>
  </si>
  <si>
    <t>如发票状态包含：待开具、已开具、已红冲、已作废。</t>
  </si>
  <si>
    <t>91310000XXXXXXXXXX</t>
  </si>
  <si>
    <t>（如“创建人”）。</t>
  </si>
  <si>
    <t>ABIE</t>
  </si>
  <si>
    <t>invoice date</t>
  </si>
  <si>
    <t>t_invoice_success</t>
  </si>
  <si>
    <t>发票表</t>
  </si>
  <si>
    <t>fid</t>
  </si>
  <si>
    <t>发票表主键ID</t>
  </si>
  <si>
    <t>此文档实例的全局唯一标识符（UUID）。</t>
  </si>
  <si>
    <t>bigint</t>
  </si>
  <si>
    <t>0..1</t>
  </si>
  <si>
    <t>Invoice/cbc:UUID</t>
  </si>
  <si>
    <t>含义可解释一致：输入为“系统内唯一记录标识”；UBL 的 UUID 是“该单据实例的唯一标识”。上下文为 Invoice 头字段。</t>
  </si>
  <si>
    <t>张馨月</t>
  </si>
  <si>
    <t>BBIE</t>
  </si>
  <si>
    <t>fserialnum</t>
  </si>
  <si>
    <t>开票流水号</t>
  </si>
  <si>
    <t>标识某个配置文件（Profile）的一次执行实例，用于在协作中关联所有交易。</t>
  </si>
  <si>
    <t>varchar(50)</t>
  </si>
  <si>
    <t>Invoice/cbc:ProfileExecutionID</t>
  </si>
  <si>
    <t>含义更贴近“业务请求/任务流水号”的“执行实例/协作交易关联标识”；且该行自带示例值。</t>
  </si>
  <si>
    <t>BPP-1001</t>
  </si>
  <si>
    <t>是</t>
  </si>
  <si>
    <t>finvoicecode</t>
  </si>
  <si>
    <t>发票代码</t>
  </si>
  <si>
    <t>varchar(12)</t>
  </si>
  <si>
    <t>【未匹配】检索 Invoice 表头字段：最接近的是 ID（An identifier for this document, assigned by the sender.），但该字段语义是“整张单据的标识/号码”，而输入是“票面代码（与号码组合定位）”这一“号码的组成部分”，在 UBL Invoice 头字段中未找到可单独承载“代码部分”的行。</t>
  </si>
  <si>
    <t>ID</t>
  </si>
  <si>
    <t>发票号码</t>
  </si>
  <si>
    <t>Invoice Number</t>
  </si>
  <si>
    <t>此文档的标识符，由发送方分配。</t>
  </si>
  <si>
    <t>varchar(8)</t>
  </si>
  <si>
    <t>Invoice/cbc:ID</t>
  </si>
  <si>
    <t>含义与上下文一致：该行 Alt. Business Terms 明确为 “Invoice Number”，对应“发票号码”。</t>
  </si>
  <si>
    <t>finvoicenum</t>
  </si>
  <si>
    <t>finvoiceno</t>
  </si>
  <si>
    <t>InvoiceTypeCode</t>
  </si>
  <si>
    <t>发票类型代码</t>
  </si>
  <si>
    <t>表示该发票类型的代码。</t>
  </si>
  <si>
    <t>int</t>
  </si>
  <si>
    <t>Invoice/cbc:InvoiceTypeCode</t>
  </si>
  <si>
    <t>含义一致：输入为“发票类型代码”；UBL 定义为“发票类型代码”。该行未给 Examples，故不对你给的 380/381 枚举做强校验。</t>
  </si>
  <si>
    <t>发票类型代码。示例值 '380' 表示Invoice，示例值 '381' 表示CreditNote；具体参考国家的发票类型定义表格</t>
  </si>
  <si>
    <t>MonetaryTotal</t>
  </si>
  <si>
    <t>ftotalpricetax</t>
  </si>
  <si>
    <t>价税合计</t>
  </si>
  <si>
    <t>含税金额；等于应付金额与预付金额之和。</t>
  </si>
  <si>
    <t>decimal(20,2)</t>
  </si>
  <si>
    <t>Invoice/cac:LegalMonetaryTotal/cbc:TaxInclusiveAmount</t>
  </si>
  <si>
    <t>“价税合计/含税总额”与 TaxInclusiveAmount（including taxes）一致；上下文为 Invoice→LegalMonetaryTotal。</t>
  </si>
  <si>
    <t>ftotalamount</t>
  </si>
  <si>
    <t>总不含税金额</t>
  </si>
  <si>
    <t>单据中各行“行扩展金额”（Line Extension Amount）的合计。</t>
  </si>
  <si>
    <t>Invoice/cac:LegalMonetaryTotal/cbc:LineExtensionAmount</t>
  </si>
  <si>
    <t>“所有明细项目不含税金额汇总”更贴近 LineExtensionAmount（行扩展金额合计）。</t>
  </si>
  <si>
    <t>TaxTotal</t>
  </si>
  <si>
    <t>ftotaltax</t>
  </si>
  <si>
    <t>总税额</t>
  </si>
  <si>
    <t>本张发票的税额合计。</t>
  </si>
  <si>
    <t>Invoice/cac:TaxTotal/cbc:TaxAmount</t>
  </si>
  <si>
    <t>“总税额”与 TaxTotal 下的 TaxAmount（total tax amount）一致；上下文为 Invoice→TaxTotal。</t>
  </si>
  <si>
    <t>ftype</t>
  </si>
  <si>
    <t>开票类型</t>
  </si>
  <si>
    <t>你的枚举“0蓝/1红”与 UBL 的“InvoiceTypeCode=发票类型”语义/码表口径不一致；仅能在“类型代码”层面勉强承载。</t>
  </si>
  <si>
    <t>0-蓝字发票；1-红字发票</t>
  </si>
  <si>
    <t>fissuetype</t>
  </si>
  <si>
    <t>IssueTime</t>
  </si>
  <si>
    <t>开票日期</t>
  </si>
  <si>
    <t>Invoice Date</t>
  </si>
  <si>
    <t>此发票的开具日期。</t>
  </si>
  <si>
    <t>datetime</t>
  </si>
  <si>
    <t>Invoice/cbc:IssueDate</t>
  </si>
  <si>
    <t>输入定义是“开票日期(日期)”→与 IssueDate（Invoice Date）一致。</t>
  </si>
  <si>
    <t>fdate</t>
  </si>
  <si>
    <t>fissuetime</t>
  </si>
  <si>
    <t>fcreatetime</t>
  </si>
  <si>
    <t>创建时间</t>
  </si>
  <si>
    <t>Invoice 表及相关 Details 未提供“系统创建时间/落库时间”字段；仅有出具日期/时间（IssueDate/IssueTime）等。</t>
  </si>
  <si>
    <t>OrderReference</t>
  </si>
  <si>
    <t>fddh</t>
  </si>
  <si>
    <t>订单号</t>
  </si>
  <si>
    <t>此订单引用的标识符，由买方分配。</t>
  </si>
  <si>
    <t>Invoice/cac:OrderReference/cbc:ID</t>
  </si>
  <si>
    <t>“订单号”可落在 OrderReference/ID（买方分配的订单引用标识）；Invoice 中存在 OrderReference 入口。</t>
  </si>
  <si>
    <t>PO-001 3333-44-123</t>
  </si>
  <si>
    <t>DocumentReference</t>
  </si>
  <si>
    <t>原发票代码</t>
  </si>
  <si>
    <t>此文档引用的标识符，由发送方分配。</t>
  </si>
  <si>
    <t>Invoice/cac:BillingReference/cac:InvoiceDocumentReference/cbc:ID</t>
  </si>
  <si>
    <t>原票引用可通过 BillingReference→InvoiceDocumentReference→DocumentReference/ID；但 DocumentReference 仅有单一 Identifier，无法按“代码/号码”拆分。</t>
  </si>
  <si>
    <t>foriginalcode</t>
  </si>
  <si>
    <t>foriginalinvoicecode</t>
  </si>
  <si>
    <t>BillRef_InvDocRef_ID</t>
  </si>
  <si>
    <t>原发票号码</t>
  </si>
  <si>
    <t>“原发票号码”同样只能落在 DocumentReference/ID（引用单据标识）；与“代码/号码拆分”口径存在结构性不一致。</t>
  </si>
  <si>
    <t>foriginalnum</t>
  </si>
  <si>
    <t>foriginalinvoiceno</t>
  </si>
  <si>
    <t>Note</t>
  </si>
  <si>
    <t>备注</t>
  </si>
  <si>
    <t>与此文档相关的自由文本，用于承载未在其他结构中明确包含的信息。</t>
  </si>
  <si>
    <t>varchar(240)</t>
  </si>
  <si>
    <t>Invoice/cbc:Note</t>
  </si>
  <si>
    <t>“备注”与 cbc:Note（自由文本补充说明）一致。</t>
  </si>
  <si>
    <t>fremark</t>
  </si>
  <si>
    <t>fhxbw</t>
  </si>
  <si>
    <t>发票来源</t>
  </si>
  <si>
    <t>Invoice 头字段中未见“发票数据来源渠道”概念；CustomizationID/ProfileID 语义为 UBL 自定义/剖面标识，并非数据来源渠道标识。</t>
  </si>
  <si>
    <t>1hx  2bw 3上传  4,外面收回的发票，5、微信(卡包)6、国税总局</t>
  </si>
  <si>
    <t>finvoicecodenum</t>
  </si>
  <si>
    <t>数电发票号码</t>
  </si>
  <si>
    <t>varchar(20)</t>
  </si>
  <si>
    <t>1</t>
  </si>
  <si>
    <t>“数电发票号码”在 UBL Invoice 中仍对应单据标识 ID；与“发票号码”落位相同。</t>
  </si>
  <si>
    <t>falletaxinvoiceno</t>
  </si>
  <si>
    <t>红冲原因</t>
  </si>
  <si>
    <t>“红冲原因”属于自由文本原因说明；UBL 该行 Note 为可重复（0..n）的单据级自由文本，可承载原因类说明。</t>
  </si>
  <si>
    <t>fredconfirmbillno</t>
  </si>
  <si>
    <t>红字确认单编号</t>
  </si>
  <si>
    <t>被引用文档的标识符。</t>
  </si>
  <si>
    <t>Invoice/cac:AdditionalDocumentReference/cbc:ID</t>
  </si>
  <si>
    <t>将“红字确认单”视为与发票关联的“附加单据”；Invoice 允许 AdditionalDocumentReference（附加单据引用），其 DocumentReference/ID 表达“被引用单据的标识”。</t>
  </si>
  <si>
    <t>Contact</t>
  </si>
  <si>
    <t>foperator</t>
  </si>
  <si>
    <t>开票人</t>
  </si>
  <si>
    <t>此联系人的名称。建议使用职能名称（而非个人姓名）。</t>
  </si>
  <si>
    <t>Invoice/cac:AccountingSupplierParty/cac:SellerContact/cbc:Name</t>
  </si>
  <si>
    <t>语义域：主体信息域。SupplierParty 的 SellerContact=“The primary contact for this supplier party.”，可作为“开票经办人”承载位；但 Contact.Name 规范上更偏“职能名”而非个人名，存在语义偏差风险。</t>
  </si>
  <si>
    <t>Delivery Dock</t>
  </si>
  <si>
    <t>foperatorid</t>
  </si>
  <si>
    <t>开票人id</t>
  </si>
  <si>
    <t>此联系人的标识符。</t>
  </si>
  <si>
    <t>Invoice/cac:AccountingSupplierParty/cac:SellerContact/cbc:ID</t>
  </si>
  <si>
    <t>语义域：主体信息域。以 SellerContact（供应方主联系人）承载“开票人ID”；但 UBL 的 Contact.ID 仅定义为“联系人标识”，未限定为“系统用户ID”。</t>
  </si>
  <si>
    <t>Receivals Clerk</t>
  </si>
  <si>
    <t>PartyName</t>
  </si>
  <si>
    <t>freceiver</t>
  </si>
  <si>
    <t>收款人</t>
  </si>
  <si>
    <t>该方（Party）的名称。</t>
  </si>
  <si>
    <t>Invoice/cac:PayeeParty/cac:PartyName/cbc:Name</t>
  </si>
  <si>
    <t>语义域：交易单据域（收款方）。Invoice 的 PayeeParty=“The payee.”，若“收款人”指收款主体/机构名称，用 PartyName/Name 更贴近。</t>
  </si>
  <si>
    <t>Microsoft</t>
  </si>
  <si>
    <t>fpayee</t>
  </si>
  <si>
    <t>fchecker</t>
  </si>
  <si>
    <t>复核人</t>
  </si>
  <si>
    <t>Invoice/cac:Signature/cac:SignatoryParty/cac:Contact/cbc:Name</t>
  </si>
  <si>
    <t>UBL 无专门“复核人”字段；最接近可解释为 Signature 的 SignatoryParty（签署方）用于内部控制留痕，但概念是“签署方”而非“复核人”。</t>
  </si>
  <si>
    <t>freviewer</t>
  </si>
  <si>
    <t>fshowbuyeraddresstel</t>
  </si>
  <si>
    <t>备注是选填显示购方地址电话</t>
  </si>
  <si>
    <t>默认不展示</t>
  </si>
  <si>
    <t>varchar(2)</t>
  </si>
  <si>
    <t>【未匹配】该字段是“票面备注区是否展示购方地址电话”的呈现控制；在 Invoice / Note 等结构中仅找到自由文本备注 Note（不含任何“是否展示XX”的布尔/代码字段）。</t>
  </si>
  <si>
    <t>Y/N</t>
  </si>
  <si>
    <t>fshowbuyercard</t>
  </si>
  <si>
    <t>备注是选填展示购买方银行名称账号</t>
  </si>
  <si>
    <t>【未匹配】该字段是“票面备注区是否展示购方开户行及账号”的呈现控制；在 Invoice / Note 等结构中仅找到自由文本备注 Note（不含任何“是否展示XX”的布尔/代码字段）。</t>
  </si>
  <si>
    <t>fshowsaleraddresstel</t>
  </si>
  <si>
    <t>备注是选填显示销方地址电话</t>
  </si>
  <si>
    <t>【未匹配】该字段是“票面备注区是否展示销方地址电话”的呈现控制；在 Invoice / Note 等结构中仅找到自由文本备注 Note（不含任何“是否展示XX”的布尔/代码字段）。</t>
  </si>
  <si>
    <t>fshowsalercard</t>
  </si>
  <si>
    <t>备注是选填展示销售方银行名称账号</t>
  </si>
  <si>
    <t>【未匹配】该字段是“票面备注区是否展示销方开户行及账号”的呈现控制；在 Invoice / Note 等结构中仅找到自由文本备注 Note（不含任何“是否展示XX”的布尔/代码字段）。</t>
  </si>
  <si>
    <t>AccountingSupplierParty</t>
  </si>
  <si>
    <t>Supplier</t>
  </si>
  <si>
    <t>销方</t>
  </si>
  <si>
    <t>会计供应方（记账供应方主体）。</t>
  </si>
  <si>
    <t>complex</t>
  </si>
  <si>
    <t>Invoice/cac:AccountingSupplierParty</t>
  </si>
  <si>
    <t>ASBIE</t>
  </si>
  <si>
    <t>SupplierParty</t>
  </si>
  <si>
    <t>CustomerAssignedAccountId</t>
  </si>
  <si>
    <t>Supplier_CustomerAssignedID</t>
  </si>
  <si>
    <t>客户分配账户标识</t>
  </si>
  <si>
    <t>此供应方在客户侧分配的标识符。</t>
  </si>
  <si>
    <t>string</t>
  </si>
  <si>
    <t>Invoice/cac:AccountingSupplierParty/cbc:CustomerAssignedAccountID</t>
  </si>
  <si>
    <t>Party</t>
  </si>
  <si>
    <t>Supplier_Party</t>
  </si>
  <si>
    <t>参与方</t>
  </si>
  <si>
    <t>供应方主体本身。</t>
  </si>
  <si>
    <t>Invoice/cac:AccountingSupplierParty/cac:Party</t>
  </si>
  <si>
    <t>EndpointId</t>
  </si>
  <si>
    <t>Supplier_EndpointID</t>
  </si>
  <si>
    <t>电子标识</t>
  </si>
  <si>
    <t>路由服务端点的标识符（例如：EAN 位置号、GLN）。</t>
  </si>
  <si>
    <t>Invoice/cac:AccountingSupplierParty/cac:Party/cbc:EndpointID</t>
  </si>
  <si>
    <t>5790002221134</t>
  </si>
  <si>
    <t>EndpointSchemeId</t>
  </si>
  <si>
    <t>Supplier_EndpointID_SchemeID</t>
  </si>
  <si>
    <t>enum</t>
  </si>
  <si>
    <t>Invoice/cac:AccountingSupplierParty/cac:Party/cbc:EndpointID/@schemeID</t>
  </si>
  <si>
    <t>IndustryClassificationCode</t>
  </si>
  <si>
    <t>Supplier_IndustryCode</t>
  </si>
  <si>
    <t>行业分类</t>
  </si>
  <si>
    <t>该方的行业分类代码。</t>
  </si>
  <si>
    <t>Invoice/cac:AccountingSupplierParty/cac:Party/cbc:IndustryClassificationCode</t>
  </si>
  <si>
    <t>Public authority , NAIC codes</t>
  </si>
  <si>
    <t>IndustryClassificationName</t>
  </si>
  <si>
    <t>Supplier_IndustryCode_Name</t>
  </si>
  <si>
    <t>行业分类名称</t>
  </si>
  <si>
    <t>Invoice/cac:AccountingSupplierParty/cac:Party/cbc:IndustryClassificationCode/@name</t>
  </si>
  <si>
    <t>PartyIdentification</t>
  </si>
  <si>
    <t>Supplier_PartyIdentification</t>
  </si>
  <si>
    <t>此方（Party）的标识符。</t>
  </si>
  <si>
    <t>array(of complex)</t>
  </si>
  <si>
    <t>Invoice/cac:AccountingSupplierParty/cac:Party/cac:PartyIdentification</t>
  </si>
  <si>
    <t>PartyId</t>
  </si>
  <si>
    <t>Supplier_ID</t>
  </si>
  <si>
    <t>公司标识</t>
  </si>
  <si>
    <t>该方（Party）的标识符。</t>
  </si>
  <si>
    <t>Invoice/cac:AccountingSupplierParty/cac:Party/cac:PartyIdentification/cbc:ID</t>
  </si>
  <si>
    <t>PartyIdScheme</t>
  </si>
  <si>
    <t>Supplier_ID_SchemeID</t>
  </si>
  <si>
    <t>公司标识编码</t>
  </si>
  <si>
    <t>Invoice/cac:AccountingSupplierParty/cac:Party/cac:PartyIdentification/cbc:ID/@schemeID</t>
  </si>
  <si>
    <t>Supplier_PartyName</t>
  </si>
  <si>
    <t>公司名称</t>
  </si>
  <si>
    <t>此方（Party）的名称。</t>
  </si>
  <si>
    <t>Invoice/cac:AccountingSupplierParty/cac:Party/cac:PartyName</t>
  </si>
  <si>
    <t>Name</t>
  </si>
  <si>
    <t>Supplier_PartyName_Name</t>
  </si>
  <si>
    <t>公司别名</t>
  </si>
  <si>
    <t>Invoice/cac:AccountingSupplierParty/cac:Party/cac:PartyName/cbc:Name</t>
  </si>
  <si>
    <t>PostalAddress</t>
  </si>
  <si>
    <t>Supplier_Addr</t>
  </si>
  <si>
    <t>地址</t>
  </si>
  <si>
    <t>该方的邮寄地址。</t>
  </si>
  <si>
    <t>Invoice/cac:AccountingSupplierParty/cac:Party/cac:PostalAddress</t>
  </si>
  <si>
    <t>Address</t>
  </si>
  <si>
    <t>StreetName</t>
  </si>
  <si>
    <t>Supplier_Addr_StreetName</t>
  </si>
  <si>
    <t>街道名称</t>
  </si>
  <si>
    <t>Thoroughfare</t>
  </si>
  <si>
    <t>建筑物门牌号所对应的街道/道路/大道/通路等名称。</t>
  </si>
  <si>
    <t>Invoice/cac:AccountingSupplierParty/cac:Party/cac:PostalAddress/cbc:StreetName</t>
  </si>
  <si>
    <t>Kwun Tong Road</t>
  </si>
  <si>
    <t>CityName</t>
  </si>
  <si>
    <t>Supplier_Addr_CityName</t>
  </si>
  <si>
    <t>城市名称</t>
  </si>
  <si>
    <t>LocalityName</t>
  </si>
  <si>
    <t>城市/城镇/村庄名称。</t>
  </si>
  <si>
    <t>Invoice/cac:AccountingSupplierParty/cac:Party/cac:PostalAddress/cbc:CityName</t>
  </si>
  <si>
    <t>Hong Kong</t>
  </si>
  <si>
    <t>CountrySubentity</t>
  </si>
  <si>
    <t>Supplier_Addr_Subentity</t>
  </si>
  <si>
    <t>省/州</t>
  </si>
  <si>
    <t>AdministrativeArea, State, Country, Shire, Canton</t>
  </si>
  <si>
    <t>该地址所在国家的政治/行政区划名称（如县、省、州），以文本表示。</t>
  </si>
  <si>
    <t>Invoice/cac:AccountingSupplierParty/cac:Party/cac:PostalAddress/cbc:CountrySubentity</t>
  </si>
  <si>
    <t>Florida , Tamilnadu</t>
  </si>
  <si>
    <t>CountrySubentityCd</t>
  </si>
  <si>
    <t>Supplier_Addr_SubentityCd</t>
  </si>
  <si>
    <t>AdministrativeAreaCode, State Code</t>
  </si>
  <si>
    <t>该地址所在国家的政治/行政区划代码（如县/省/州代码，通常为国家约定）。</t>
  </si>
  <si>
    <t>Invoice/cac:AccountingSupplierParty/cac:Party/cac:PostalAddress/cbc:CountrySubentityCode</t>
  </si>
  <si>
    <t>PostalZone</t>
  </si>
  <si>
    <t>Supplier_Addr_PostalZone</t>
  </si>
  <si>
    <t>邮政编码</t>
  </si>
  <si>
    <t>PostalCodeNumber</t>
  </si>
  <si>
    <t>依据本国邮政规则的邮政编码（如 ZIP Code / Post Code）。</t>
  </si>
  <si>
    <t>Invoice/cac:AccountingSupplierParty/cac:Party/cac:PostalAddress/cbc:PostalZone</t>
  </si>
  <si>
    <t>SW11 4EW 2500 GG</t>
  </si>
  <si>
    <t>AddressLine</t>
  </si>
  <si>
    <t>Supplier_Addr_AddrLine</t>
  </si>
  <si>
    <t>地址信息</t>
  </si>
  <si>
    <t>非结构化的地址行。</t>
  </si>
  <si>
    <t>Invoice/cac:AccountingSupplierParty/cac:Party/cac:PostalAddress/cac:AddressLine</t>
  </si>
  <si>
    <t>Line</t>
  </si>
  <si>
    <t>Supplier_Addr_Line</t>
  </si>
  <si>
    <t>地址行</t>
  </si>
  <si>
    <t>以非结构化文本表示的地址行。</t>
  </si>
  <si>
    <t>array(of string)</t>
  </si>
  <si>
    <t>Invoice/cac:AccountingSupplierParty/cac:Party/cac:PostalAddress/cac:AddressLine/cbc:Line</t>
  </si>
  <si>
    <t>123 Standard Chartered Tower</t>
  </si>
  <si>
    <t>Country</t>
  </si>
  <si>
    <t>Supplier_Addr_Country</t>
  </si>
  <si>
    <t>国家信息</t>
  </si>
  <si>
    <t>该地址所在国家。</t>
  </si>
  <si>
    <t>Invoice/cac:AccountingSupplierParty/cac:Party/cac:PostalAddress/cac:Country</t>
  </si>
  <si>
    <t>CountryCode</t>
  </si>
  <si>
    <t>Supplier_Addr_CountryCode</t>
  </si>
  <si>
    <t>国家</t>
  </si>
  <si>
    <t>表示该国家的代码。</t>
  </si>
  <si>
    <t>Invoice/cac:AccountingSupplierParty/cac:Party/cac:PostalAddress/cac:Country/cbc:IdentificationCode</t>
  </si>
  <si>
    <t>CountryName</t>
  </si>
  <si>
    <t>Supplier_Addr_CountryName</t>
  </si>
  <si>
    <t>国家名称</t>
  </si>
  <si>
    <t>该国家名称。</t>
  </si>
  <si>
    <t>Invoice/cac:AccountingSupplierParty/cac:Party/cac:PostalAddress/cac:Country/cbc:Name</t>
  </si>
  <si>
    <t>SOUTH AFRICA</t>
  </si>
  <si>
    <t>PartyTaxScheme</t>
  </si>
  <si>
    <t>Supplier_Tax</t>
  </si>
  <si>
    <t>税务信息</t>
  </si>
  <si>
    <t>适用于该方的税务方案（Tax Scheme）。</t>
  </si>
  <si>
    <t>Invoice/cac:AccountingSupplierParty/cac:Party/cac:PartyTaxScheme</t>
  </si>
  <si>
    <t>TaxScheme</t>
  </si>
  <si>
    <t>Supplier_Tax_TaxSchemeID</t>
  </si>
  <si>
    <t>此税务方案的标识符。</t>
  </si>
  <si>
    <t>Invoice/cac:AccountingSupplierParty/cac:Party/cac:PartyTaxScheme/cac:TaxScheme/cbc:ID</t>
  </si>
  <si>
    <t>http://www.unece.org/uncefact/codelist/standard/EDIFICASEU_TaxExemptionReason_D09B.xsd</t>
  </si>
  <si>
    <t>CompanyId</t>
  </si>
  <si>
    <t>Supplier_Tax_CompanyID</t>
  </si>
  <si>
    <t>税号</t>
  </si>
  <si>
    <t>VAT Number</t>
  </si>
  <si>
    <t>税务机关为该方分配、用于税务用途的标识符。</t>
  </si>
  <si>
    <t>Invoice/cac:AccountingSupplierParty/cac:Party/cac:PartyTaxScheme/cbc:CompanyID</t>
  </si>
  <si>
    <t>3556625</t>
  </si>
  <si>
    <t>Party.PartyLegalEntity</t>
  </si>
  <si>
    <t>Supplier_Legal</t>
  </si>
  <si>
    <t>法律主体名称</t>
  </si>
  <si>
    <t>该方作为法人实体的描述。</t>
  </si>
  <si>
    <t>Invoice/cac:AccountingSupplierParty/cac:Party/cac:PartyLegalEntity</t>
  </si>
  <si>
    <t>PartyLegalEntity</t>
  </si>
  <si>
    <t>RegistrationName</t>
  </si>
  <si>
    <t>Supplier_Legal_Name</t>
  </si>
  <si>
    <t>该方在相关法定机构登记注册的名称。</t>
  </si>
  <si>
    <t>Invoice/cac:AccountingSupplierParty/cac:Party/cac:PartyLegalEntity/cbc:RegistrationName</t>
  </si>
  <si>
    <t>Microsoft Corporation</t>
  </si>
  <si>
    <t>Supplier_Legal_CompanyID</t>
  </si>
  <si>
    <t>Business Registration Number, Company Number</t>
  </si>
  <si>
    <t>该方在公司注册方案/登记体系中的注册标识符。</t>
  </si>
  <si>
    <t>Invoice/cac:AccountingSupplierParty/cac:Party/cac:PartyLegalEntity/cbc:CompanyID</t>
  </si>
  <si>
    <t>CompanyIdScheme</t>
  </si>
  <si>
    <t>Supplier_Legal_CompanyID_Scheme</t>
  </si>
  <si>
    <t>Invoice/cac:AccountingSupplierParty/cac:Party/cac:PartyLegalEntity/cbc:CompanyID/@schemeID</t>
  </si>
  <si>
    <t>CompanyLegalForm</t>
  </si>
  <si>
    <t>Supplier_Legal_Form</t>
  </si>
  <si>
    <t>公司法律形式</t>
  </si>
  <si>
    <t>公司法律状态（以文本表示）。</t>
  </si>
  <si>
    <t>Invoice/cac:AccountingSupplierParty/cac:Party/cac:PartyLegalEntity/cbc:CompanyLegalForm</t>
  </si>
  <si>
    <t>Party.Contact</t>
  </si>
  <si>
    <t>Supplier_Party_Contact</t>
  </si>
  <si>
    <t>联系人信息</t>
  </si>
  <si>
    <t>该方的主要联系人。</t>
  </si>
  <si>
    <t>Invoice/cac:AccountingSupplierParty/cac:Party/cac:Contact</t>
  </si>
  <si>
    <t>Supplier_Contact_Name</t>
  </si>
  <si>
    <t>联系人姓名</t>
  </si>
  <si>
    <t>Invoice/cac:AccountingSupplierParty/cac:Party/cac:Contact/cbc:Name</t>
  </si>
  <si>
    <t>Telephone</t>
  </si>
  <si>
    <t>Supplier_Contact_Phone</t>
  </si>
  <si>
    <t>联系人电话</t>
  </si>
  <si>
    <t>此联系人的主要电话号码。</t>
  </si>
  <si>
    <t>Invoice/cac:AccountingSupplierParty/cac:Party/cac:Contact/cbc:Telephone</t>
  </si>
  <si>
    <t>ElectronicMail</t>
  </si>
  <si>
    <t>Supplier_Contact_Email</t>
  </si>
  <si>
    <t>联系人邮件</t>
  </si>
  <si>
    <t>此联系人的主要电子邮箱地址。</t>
  </si>
  <si>
    <t>Invoice/cac:AccountingSupplierParty/cac:Party/cac:Contact/cbc:ElectronicMail</t>
  </si>
  <si>
    <t>Person</t>
  </si>
  <si>
    <t>Supplier_Person</t>
  </si>
  <si>
    <t>其他联系人</t>
  </si>
  <si>
    <t>与该方关联的个人。</t>
  </si>
  <si>
    <t>Invoice/cac:AccountingSupplierParty/cac:Party/cac:Person</t>
  </si>
  <si>
    <t>FirstName</t>
  </si>
  <si>
    <t>Supplier_Person_FirstName</t>
  </si>
  <si>
    <t>名</t>
  </si>
  <si>
    <t>此人的名（Given Name）。</t>
  </si>
  <si>
    <t>Invoice/cac:AccountingSupplierParty/cac:Party/cac:Person/cbc:FirstName</t>
  </si>
  <si>
    <t>FamilyName</t>
  </si>
  <si>
    <t>Supplier_Person_FamilyName</t>
  </si>
  <si>
    <t>姓</t>
  </si>
  <si>
    <t>此人的姓（Family Name）。</t>
  </si>
  <si>
    <t>Invoice/cac:AccountingSupplierParty/cac:Party/cac:Person/cbc:FamilyName</t>
  </si>
  <si>
    <t>AccountingContact</t>
  </si>
  <si>
    <t>Supplier_AccContact</t>
  </si>
  <si>
    <t>公司联系人</t>
  </si>
  <si>
    <t>供应方用于会计/财务的联系人。</t>
  </si>
  <si>
    <t>Invoice/cac:AccountingSupplierParty/cac:AccountingContact</t>
  </si>
  <si>
    <t>Supplier_AccContact_Name</t>
  </si>
  <si>
    <t>姓名</t>
  </si>
  <si>
    <t>此联系人的名称。</t>
  </si>
  <si>
    <t>Invoice/cac:AccountingSupplierParty/cac:AccountingContact/cbc:Name</t>
  </si>
  <si>
    <t>Supplier_AccContact_Phone</t>
  </si>
  <si>
    <t>电话号码</t>
  </si>
  <si>
    <t>Invoice/cac:AccountingSupplierParty/cac:AccountingContact/cbc:Telephone</t>
  </si>
  <si>
    <t>Telefax</t>
  </si>
  <si>
    <t>Supplier_AccContact_Telefax</t>
  </si>
  <si>
    <t>传真</t>
  </si>
  <si>
    <t>此联系人的主要传真号码。</t>
  </si>
  <si>
    <t>Invoice/cac:AccountingSupplierParty/cac:AccountingContact/cbc:Telefax</t>
  </si>
  <si>
    <t>Supplier_AccContact_Email</t>
  </si>
  <si>
    <t>收件邮箱地址</t>
  </si>
  <si>
    <t>Invoice/cac:AccountingSupplierParty/cac:AccountingContact/cbc:ElectronicMail</t>
  </si>
  <si>
    <t>AccountingCustomerParty</t>
  </si>
  <si>
    <t>Customer</t>
  </si>
  <si>
    <t>会计客户主体</t>
  </si>
  <si>
    <t>会计客户方（记账客户方主体）。</t>
  </si>
  <si>
    <t>Invoice/cac:AccountingCustomerParty</t>
  </si>
  <si>
    <t>CustomerParty</t>
  </si>
  <si>
    <t>SupplierAssignedAccountId</t>
  </si>
  <si>
    <t>Customer_SupplierAssignedID</t>
  </si>
  <si>
    <t>客户编码</t>
  </si>
  <si>
    <t>由供应方分配的客户账户标识符。</t>
  </si>
  <si>
    <t>Invoice/cac:AccountingCustomerParty/cbc:SupplierAssignedAccountID</t>
  </si>
  <si>
    <t>Customer_Party</t>
  </si>
  <si>
    <t>客户信息</t>
  </si>
  <si>
    <t>客户方主体本身。</t>
  </si>
  <si>
    <t>Invoice/cac:AccountingCustomerParty/cac:Party</t>
  </si>
  <si>
    <t>Customer_EndpointID</t>
  </si>
  <si>
    <t>电子终端标识</t>
  </si>
  <si>
    <t>Electronic Address</t>
  </si>
  <si>
    <t>Invoice/cac:AccountingCustomerParty/cac:Party/cbc:EndpointID</t>
  </si>
  <si>
    <t>8968976</t>
  </si>
  <si>
    <t>Customer_EndpointID_SchemeID</t>
  </si>
  <si>
    <t>Invoice/cac:AccountingCustomerParty/cac:Party/cbc:EndpointID/@schemeID</t>
  </si>
  <si>
    <t>Customer_PartyIdentification</t>
  </si>
  <si>
    <t>购方信息</t>
  </si>
  <si>
    <t>Invoice/cac:AccountingCustomerParty/cac:Party/cac:PartyIdentification</t>
  </si>
  <si>
    <t>Customer_ID</t>
  </si>
  <si>
    <t>Invoice/cac:AccountingCustomerParty/cac:Party/cac:PartyIdentification/cbc:ID</t>
  </si>
  <si>
    <t>Customer_ID_SchemeID</t>
  </si>
  <si>
    <t>Invoice/cac:AccountingCustomerParty/cac:Party/cac:PartyIdentification/cbc:ID/@schemeID</t>
  </si>
  <si>
    <t>Party.PostalAddress</t>
  </si>
  <si>
    <t>Customer_Addr</t>
  </si>
  <si>
    <t>Invoice/cac:AccountingCustomerParty/cac:Party/cac:PostalAddress</t>
  </si>
  <si>
    <t>Postbox</t>
  </si>
  <si>
    <t>Customer_Addr_Postbox</t>
  </si>
  <si>
    <t>邮箱号</t>
  </si>
  <si>
    <t>PostBox, PO Box</t>
  </si>
  <si>
    <t>邮政服务机构登记用于投递的邮政信箱号（PO Box）。</t>
  </si>
  <si>
    <t>Invoice/cac:AccountingCustomerParty/cac:Party/cac:PostalAddress/cbc:Postbox</t>
  </si>
  <si>
    <t>123</t>
  </si>
  <si>
    <t>Customer_Addr_StreetName</t>
  </si>
  <si>
    <t>Invoice/cac:AccountingCustomerParty/cac:Party/cac:PostalAddress/cbc:StreetName</t>
  </si>
  <si>
    <t>AdditionalStreetName</t>
  </si>
  <si>
    <t>Customer_Addr_AddlStreetName</t>
  </si>
  <si>
    <t>其他街道名称</t>
  </si>
  <si>
    <t>用于进一步说明地址的补充街道名称。</t>
  </si>
  <si>
    <t>Invoice/cac:AccountingCustomerParty/cac:Party/cac:PostalAddress/cbc:AdditionalStreetName</t>
  </si>
  <si>
    <t>Cnr Aberdeen Road</t>
  </si>
  <si>
    <t>BuildingNumber</t>
  </si>
  <si>
    <t>Customer_Addr_BuildingNumber</t>
  </si>
  <si>
    <t>建筑编号</t>
  </si>
  <si>
    <t>PremiseNumber</t>
  </si>
  <si>
    <t>街道内的建筑物门牌号/楼号。</t>
  </si>
  <si>
    <t>Invoice/cac:AccountingCustomerParty/cac:Party/cac:PostalAddress/cbc:BuildingNumber</t>
  </si>
  <si>
    <t>388</t>
  </si>
  <si>
    <t>Department</t>
  </si>
  <si>
    <t>Customer_Addr_Department</t>
  </si>
  <si>
    <t>部门</t>
  </si>
  <si>
    <t>收件人所属部门。</t>
  </si>
  <si>
    <t>Invoice/cac:AccountingCustomerParty/cac:Party/cac:PostalAddress/cbc:Department</t>
  </si>
  <si>
    <t>Accounts Payable</t>
  </si>
  <si>
    <t>PlotIdentification</t>
  </si>
  <si>
    <t>Customer_Addr_PlotId</t>
  </si>
  <si>
    <t>地块标识</t>
  </si>
  <si>
    <t>与该地址关联的地块标识符（例如：宗地号/地块号）。</t>
  </si>
  <si>
    <t>Invoice/cac:AccountingCustomerParty/cac:Party/cac:PostalAddress/cbc:PlotIdentification</t>
  </si>
  <si>
    <t>CitySubdivisionName</t>
  </si>
  <si>
    <t>Customer_Addr_CitySubdivisionName</t>
  </si>
  <si>
    <t>县/区</t>
  </si>
  <si>
    <t>该地址所在城市/城镇/村庄的下属区域名称（如区、街道、自治市镇等）。</t>
  </si>
  <si>
    <t>Invoice/cac:AccountingCustomerParty/cac:Party/cac:PostalAddress/cbc:CitySubdivisionName</t>
  </si>
  <si>
    <t>Customer_Addr_CityName</t>
  </si>
  <si>
    <t>Invoice/cac:AccountingCustomerParty/cac:Party/cac:PostalAddress/cbc:CityName</t>
  </si>
  <si>
    <t>Customer_Addr_PostalZone</t>
  </si>
  <si>
    <t>Invoice/cac:AccountingCustomerParty/cac:Party/cac:PostalAddress/cbc:PostalZone</t>
  </si>
  <si>
    <t>Customer_Addr_Subentity</t>
  </si>
  <si>
    <t>Invoice/cac:AccountingCustomerParty/cac:Party/cac:PostalAddress/cbc:CountrySubentity</t>
  </si>
  <si>
    <t>CountrySubentityCode</t>
  </si>
  <si>
    <t>Customer_Addr_SubentityCode</t>
  </si>
  <si>
    <t>Customer_Addr_AddrLine</t>
  </si>
  <si>
    <t>Invoice/cac:AccountingCustomerParty/cac:Party/cac:PostalAddress/cac:AddressLine</t>
  </si>
  <si>
    <t>Customer_Addr_Line</t>
  </si>
  <si>
    <t>Invoice/cac:AccountingCustomerParty/cac:Party/cac:PostalAddress/cac:AddressLine/cbc:Line</t>
  </si>
  <si>
    <t>Country.IdentificationCode</t>
  </si>
  <si>
    <t>Customer_Addr_CountryCode</t>
  </si>
  <si>
    <t>Invoice/cac:AccountingCustomerParty/cac:Party/cac:PostalAddress/cac:Country/cbc:IdentificationCode</t>
  </si>
  <si>
    <t>Country.Name</t>
  </si>
  <si>
    <t>Customer_Addr_CountryName</t>
  </si>
  <si>
    <t>Invoice/cac:AccountingCustomerParty/cac:Party/cac:PostalAddress/cac:Country/cbc:Name</t>
  </si>
  <si>
    <t>Customer_Tax</t>
  </si>
  <si>
    <t>Invoice/cac:AccountingCustomerParty/cac:Party/cac:PartyTaxScheme</t>
  </si>
  <si>
    <t>TaxScheme.ID</t>
  </si>
  <si>
    <t>Customer_Tax_TaxSchemeID</t>
  </si>
  <si>
    <t>税种</t>
  </si>
  <si>
    <t>Invoice/cac:AccountingCustomerParty/cac:Party/cac:PartyTaxScheme/cac:TaxScheme/cbc:ID</t>
  </si>
  <si>
    <t>CompanyID</t>
  </si>
  <si>
    <t>Customer_Tax_CompanyID</t>
  </si>
  <si>
    <t>税务编号</t>
  </si>
  <si>
    <t>Invoice/cac:AccountingCustomerParty/cac:Party/cac:PartyTaxScheme/cbc:CompanyID</t>
  </si>
  <si>
    <t>Customer_Legal</t>
  </si>
  <si>
    <t>法律主体</t>
  </si>
  <si>
    <t>Invoice/cac:AccountingCustomerParty/cac:Party/cac:PartyLegalEntity</t>
  </si>
  <si>
    <t>Customer_Legal_Name</t>
  </si>
  <si>
    <t>Invoice/cac:AccountingCustomerParty/cac:Party/cac:PartyLegalEntity/cbc:RegistrationName</t>
  </si>
  <si>
    <t>Customer_Legal_CompanyID</t>
  </si>
  <si>
    <t>Invoice/cac:AccountingCustomerParty/cac:Party/cac:PartyLegalEntity/cbc:CompanyID</t>
  </si>
  <si>
    <t>CompanyID.schemeID</t>
  </si>
  <si>
    <t>Customer_Legal_CompanyID_Scheme</t>
  </si>
  <si>
    <t>Invoice/cac:AccountingCustomerParty/cac:Party/cac:PartyLegalEntity/cbc:CompanyID/@schemeID</t>
  </si>
  <si>
    <t>Customer_Party_Contact</t>
  </si>
  <si>
    <t>Invoice/cac:AccountingCustomerParty/cac:Party/cac:Contact</t>
  </si>
  <si>
    <t>Customer_Contact_Name</t>
  </si>
  <si>
    <t>Invoice/cac:AccountingCustomerParty/cac:Party/cac:Contact/cbc:Name</t>
  </si>
  <si>
    <t>Customer_Contact_Phone</t>
  </si>
  <si>
    <t>Invoice/cac:AccountingCustomerParty/cac:Party/cac:Contact/cbc:Telephone</t>
  </si>
  <si>
    <t>Customer_Contact_Email</t>
  </si>
  <si>
    <t>Invoice/cac:AccountingCustomerParty/cac:Party/cac:Contact/cbc:ElectronicMail</t>
  </si>
  <si>
    <t>Party.Person</t>
  </si>
  <si>
    <t>Customer_Person</t>
  </si>
  <si>
    <t>Invoice/cac:AccountingCustomerParty/cac:Party/cac:Person</t>
  </si>
  <si>
    <t>Customer_Person_FirstName</t>
  </si>
  <si>
    <t>Invoice/cac:AccountingCustomerParty/cac:Party/cac:Person/cbc:FirstName</t>
  </si>
  <si>
    <t>Customer_Person_FamilyName</t>
  </si>
  <si>
    <t>Invoice/cac:AccountingCustomerParty/cac:Party/cac:Person/cbc:FamilyName</t>
  </si>
  <si>
    <t>Customer_AccContact</t>
  </si>
  <si>
    <t>客户方用于会计/财务的联系人。</t>
  </si>
  <si>
    <t>Invoice/cac:AccountingCustomerParty/cac:AccountingContact</t>
  </si>
  <si>
    <t>Customer_AccContact_Name</t>
  </si>
  <si>
    <t>Invoice/cac:AccountingCustomerParty/cac:AccountingContact/cbc:Name</t>
  </si>
  <si>
    <t>Customer_AccContact_Phone</t>
  </si>
  <si>
    <t>Invoice/cac:AccountingCustomerParty/cac:AccountingContact/cbc:Telephone</t>
  </si>
  <si>
    <t>Customer_AccContact_Telefax</t>
  </si>
  <si>
    <t>Invoice/cac:AccountingCustomerParty/cac:AccountingContact/cbc:Telefax</t>
  </si>
  <si>
    <t>Customer_AccContact_Email</t>
  </si>
  <si>
    <t>Invoice/cac:AccountingCustomerParty/cac:AccountingContact/cbc:ElectronicMail</t>
  </si>
  <si>
    <t>PayeeParty</t>
  </si>
  <si>
    <t>Payee</t>
  </si>
  <si>
    <t>收款方（Payee）。</t>
  </si>
  <si>
    <t>Invoice/cac:PayeeParty</t>
  </si>
  <si>
    <t>Payee_EndpointID</t>
  </si>
  <si>
    <t>Invoice/cac:PayeeParty/cbc:EndpointID</t>
  </si>
  <si>
    <t>Payee_EndpointID_SchemeID</t>
  </si>
  <si>
    <t>Invoice/cac:PayeeParty/cbc:EndpointID/@schemeID</t>
  </si>
  <si>
    <t>Payee_PartyIdentification</t>
  </si>
  <si>
    <t>付款方信息</t>
  </si>
  <si>
    <t>Invoice/cac:PayeeParty/cac:PartyIdentification</t>
  </si>
  <si>
    <t>Payee_ID</t>
  </si>
  <si>
    <t>Invoice/cac:PayeeParty/cac:PartyIdentification/cbc:ID</t>
  </si>
  <si>
    <t>Payee_ID_SchemeID</t>
  </si>
  <si>
    <t>Invoice/cac:PayeeParty/cac:PartyIdentification/cbc:ID/@schemeID</t>
  </si>
  <si>
    <t>Payee_PartyName</t>
  </si>
  <si>
    <t>Invoice/cac:PayeeParty/cac:PartyName</t>
  </si>
  <si>
    <t>Payee_PartyName_Name</t>
  </si>
  <si>
    <t>Payee_Addr</t>
  </si>
  <si>
    <t>Invoice/cac:PayeeParty/cac:PostalAddress</t>
  </si>
  <si>
    <t>Payee_Addr_Postbox</t>
  </si>
  <si>
    <t>Invoice/cac:PayeeParty/cac:PostalAddress/cbc:Postbox</t>
  </si>
  <si>
    <t>Payee_Addr_StreetName</t>
  </si>
  <si>
    <t>Invoice/cac:PayeeParty/cac:PostalAddress/cbc:StreetName</t>
  </si>
  <si>
    <t>Payee_Addr_AddlStreetName</t>
  </si>
  <si>
    <t>Invoice/cac:PayeeParty/cac:PostalAddress/cbc:AdditionalStreetName</t>
  </si>
  <si>
    <t>Payee_Addr_BuildingNumber</t>
  </si>
  <si>
    <t>Invoice/cac:PayeeParty/cac:PostalAddress/cbc:BuildingNumber</t>
  </si>
  <si>
    <t>Payee_Addr_Department</t>
  </si>
  <si>
    <t>Invoice/cac:PayeeParty/cac:PostalAddress/cbc:Department</t>
  </si>
  <si>
    <t>Payee_Addr_PlotIdentification</t>
  </si>
  <si>
    <t>Invoice/cac:PayeeParty/cac:PostalAddress/cbc:PlotIdentification</t>
  </si>
  <si>
    <t>Payee_Addr_CitySubdivisionName</t>
  </si>
  <si>
    <t>Invoice/cac:PayeeParty/cac:PostalAddress/cbc:CitySubdivisionName</t>
  </si>
  <si>
    <t>Payee_Addr_CityName</t>
  </si>
  <si>
    <t>Invoice/cac:PayeeParty/cac:PostalAddress/cbc:CityName</t>
  </si>
  <si>
    <t>Payee_Addr_PostalZone</t>
  </si>
  <si>
    <t>Invoice/cac:PayeeParty/cac:PostalAddress/cbc:PostalZone</t>
  </si>
  <si>
    <t>Payee_Addr_Subentity</t>
  </si>
  <si>
    <t>Invoice/cac:PayeeParty/cac:PostalAddress/cbc:CountrySubentity</t>
  </si>
  <si>
    <t>Payee_Addr_AddrLine</t>
  </si>
  <si>
    <t>Invoice/cac:PayeeParty/cac:PostalAddress/cac:AddressLine</t>
  </si>
  <si>
    <t>Payee_Addr_Line</t>
  </si>
  <si>
    <t>Invoice/cac:PayeeParty/cac:PostalAddress/cac:AddressLine/cbc:Line</t>
  </si>
  <si>
    <t>Payee_Addr_CountryCode</t>
  </si>
  <si>
    <t>Invoice/cac:PayeeParty/cac:PostalAddress/cac:Country/cbc:IdentificationCode</t>
  </si>
  <si>
    <t>Payee_Addr_CountryName</t>
  </si>
  <si>
    <t>Invoice/cac:PayeeParty/cac:PostalAddress/cac:Country/cbc:Name</t>
  </si>
  <si>
    <t>Payee_Tax</t>
  </si>
  <si>
    <t>Invoice/cac:PayeeParty/cac:PartyTaxScheme</t>
  </si>
  <si>
    <t>Payee_Tax_TaxSchemeID</t>
  </si>
  <si>
    <t>Invoice/cac:PayeeParty/cac:PartyTaxScheme/cac:TaxScheme/cbc:ID</t>
  </si>
  <si>
    <t>Payee_Tax_CompanyID</t>
  </si>
  <si>
    <t>公司ID</t>
  </si>
  <si>
    <t>Invoice/cac:PayeeParty/cac:PartyTaxScheme/cbc:CompanyID</t>
  </si>
  <si>
    <t>Payee_Legal</t>
  </si>
  <si>
    <t>Invoice/cac:PayeeParty/cac:PartyLegalEntity</t>
  </si>
  <si>
    <t>Payee_Legal_Name</t>
  </si>
  <si>
    <t>Invoice/cac:PayeeParty/cac:PartyLegalEntity/cbc:RegistrationName</t>
  </si>
  <si>
    <t>Payee_Legal_CompanyID</t>
  </si>
  <si>
    <t>Invoice/cac:PayeeParty/cac:PartyLegalEntity/cbc:CompanyID</t>
  </si>
  <si>
    <t>Payee_Legal_CompanyID_Scheme</t>
  </si>
  <si>
    <t>Invoice/cac:PayeeParty/cac:PartyLegalEntity/cbc:CompanyID/@schemeID</t>
  </si>
  <si>
    <t>Payee_Party_Contact</t>
  </si>
  <si>
    <t>Invoice/cac:PayeeParty/cac:Contact</t>
  </si>
  <si>
    <t>Payee_Contact_Name</t>
  </si>
  <si>
    <t>Invoice/cac:PayeeParty/cac:Contact/cbc:Name</t>
  </si>
  <si>
    <t>Payee_Contact_Phone</t>
  </si>
  <si>
    <t>Invoice/cac:PayeeParty/cac:Contact/cbc:Telephone</t>
  </si>
  <si>
    <t>Payee_Contact_Email</t>
  </si>
  <si>
    <t>电子邮件</t>
  </si>
  <si>
    <t>Invoice/cac:PayeeParty/cac:Contact/cbc:ElectronicMail</t>
  </si>
  <si>
    <t>Payee_Person</t>
  </si>
  <si>
    <t>个人</t>
  </si>
  <si>
    <t>Invoice/cac:PayeeParty/cac:Person</t>
  </si>
  <si>
    <t>Payee_Person_FirstName</t>
  </si>
  <si>
    <t>Invoice/cac:PayeeParty/cac:Person/cbc:FirstName</t>
  </si>
  <si>
    <t>Payee_Person_FamilyName</t>
  </si>
  <si>
    <t>Invoice/cac:PayeeParty/cac:Person/cbc:FamilyName</t>
  </si>
  <si>
    <t>Payee_AccContact</t>
  </si>
  <si>
    <t>会计联系人</t>
  </si>
  <si>
    <t>语义命中“会计联系人”（AccountingContact 明确用于 accounting），但该行是聚合 Contact（“方式”需落到 Contact 的电话/邮箱等子字段）。</t>
  </si>
  <si>
    <t>否</t>
  </si>
  <si>
    <t>Payee_AccContact_Name</t>
  </si>
  <si>
    <t>首选：SupplierParty 下的 AccountingContact 明确为“会计联系人”。</t>
  </si>
  <si>
    <t>Payee_AccContact_Phone</t>
  </si>
  <si>
    <t>首选：SupplierParty/AccountingContact 为会计联系人入口，语义更贴合“会计联系人电话”。</t>
  </si>
  <si>
    <t>Payee_AccContact_Telefax</t>
  </si>
  <si>
    <t>首选：SupplierParty/AccountingContact（会计联系人）更贴合“传真”。</t>
  </si>
  <si>
    <t>Payee_AccContact_Email</t>
  </si>
  <si>
    <t>首选：SupplierParty/AccountingContact 明确为会计联系人通道。</t>
  </si>
  <si>
    <t>BuyerCustomerParty</t>
  </si>
  <si>
    <t>Buyer</t>
  </si>
  <si>
    <t>买方（Buyer）。</t>
  </si>
  <si>
    <t>Invoice/cac:BuyerCustomerParty</t>
  </si>
  <si>
    <t>Buyer_SupplierAssignedID</t>
  </si>
  <si>
    <t>供应商分配账户ID</t>
  </si>
  <si>
    <t>Invoice/cac:BuyerCustomerParty/cbc:SupplierAssignedAccountID</t>
  </si>
  <si>
    <t>Buyer_Party</t>
  </si>
  <si>
    <t>购买方信息</t>
  </si>
  <si>
    <t>Invoice/cac:BuyerCustomerParty/cac:Party</t>
  </si>
  <si>
    <t>Buyer_EndpointID</t>
  </si>
  <si>
    <t>Invoice/cac:BuyerCustomerParty/cac:Party/cbc:EndpointID</t>
  </si>
  <si>
    <t>Buyer_EndpointID_SchemeID</t>
  </si>
  <si>
    <t>Invoice/cac:BuyerCustomerParty/cac:Party/cbc:EndpointID/@schemeID</t>
  </si>
  <si>
    <t>Buyer_PartyIdentification</t>
  </si>
  <si>
    <t>购方信息&lt;br&gt;买家标识块&lt;br&gt;Buyer Party</t>
  </si>
  <si>
    <t>指代交易中的买方（Buyer）标识聚合信息块</t>
  </si>
  <si>
    <t>必须包含至少一个能够识别买方的子元素</t>
  </si>
  <si>
    <t>Invoice/cac:BuyerCustomerParty/cac:Party/cac:PartyIdentification</t>
  </si>
  <si>
    <t>-</t>
  </si>
  <si>
    <t>润成</t>
  </si>
  <si>
    <t>Buyer_ID</t>
  </si>
  <si>
    <t>企业ID&lt;br&gt;购方标识符&lt;br&gt;纳税人识别号&lt;br&gt;Tax ID</t>
  </si>
  <si>
    <t>用于唯一识别当事方的字符型标识符</t>
  </si>
  <si>
    <t>字符长度通常限制在 50 位以内，不可包含非法字符</t>
  </si>
  <si>
    <t>Invoice/cac:BuyerCustomerParty/cac:Party/cac:PartyIdentification/cbc:ID</t>
  </si>
  <si>
    <t>Buyer_ID_SchemeID</t>
  </si>
  <si>
    <t>方案ID&lt;br&gt;编码体系代码&lt;br&gt;Scheme Code</t>
  </si>
  <si>
    <t>标识用于上述“公司标识”的编码方案（如 GLN、税务登记代码等）</t>
  </si>
  <si>
    <t>建议使用 ISO 6523 方案标识代码（如 0088=GLN, 9999=Internal）</t>
  </si>
  <si>
    <t>Invoice/cac:BuyerCustomerParty/cac:Party/cac:PartyIdentification/cbc:ID/@schemeID</t>
  </si>
  <si>
    <t>Buyer_Addr</t>
  </si>
  <si>
    <t>购方邮寄地址&lt;br&gt;物理地址&lt;br&gt;Postal Address</t>
  </si>
  <si>
    <t>用于定义与地理位置相关的公共信息的聚合类</t>
  </si>
  <si>
    <t>必须包含足够投递的地址要素（如国家、城市、行地址）</t>
  </si>
  <si>
    <t>Invoice/cac:BuyerCustomerParty/cac:Party/cac:PostalAddress</t>
  </si>
  <si>
    <t>Buyer_Addr_Postbox</t>
  </si>
  <si>
    <t>邮政信箱号码</t>
  </si>
  <si>
    <t>信箱号&lt;br&gt;PO Box&lt;br&gt;邮箱</t>
  </si>
  <si>
    <t>登记的邮政信箱号码</t>
  </si>
  <si>
    <t>仅当使用邮政信箱投递时填写，通常为数字或字母组合</t>
  </si>
  <si>
    <t>Invoice/cac:BuyerCustomerParty/cac:Party/cac:PostalAddress/cbc:Postbox</t>
  </si>
  <si>
    <t>Buyer_Addr_StreetName</t>
  </si>
  <si>
    <t>路名&lt;br&gt;街道&lt;br&gt;Street</t>
  </si>
  <si>
    <t>买方邮件地址的街道名称</t>
  </si>
  <si>
    <t>这是一个非结构化的街道名称字段，不应包含门牌号（除非无法拆分）</t>
  </si>
  <si>
    <t>Invoice/cac:BuyerCustomerParty/cac:Party/cac:PostalAddress/cbc:StreetName</t>
  </si>
  <si>
    <t>博云路</t>
  </si>
  <si>
    <t>Buyer_Addr_AddlStreetName</t>
  </si>
  <si>
    <t>补充地址&lt;br&gt;地址行2&lt;br&gt;Address Line 2</t>
  </si>
  <si>
    <t>买方的邮政地址附加街道名称，用于补充详细信息</t>
  </si>
  <si>
    <t>通常用于填写工业园区名称、楼宇名称等补充信息</t>
  </si>
  <si>
    <t>Invoice/cac:BuyerCustomerParty/cac:Party/cac:PostalAddress/cbc:AdditionalStreetName</t>
  </si>
  <si>
    <t>智慧谷产业园</t>
  </si>
  <si>
    <t>Buyer_Addr_BuildingNumber</t>
  </si>
  <si>
    <t>门牌号&lt;br&gt;楼号&lt;br&gt;Building No.</t>
  </si>
  <si>
    <t>买方的邮政地址建筑号</t>
  </si>
  <si>
    <t>标识具体的物理建筑编号</t>
  </si>
  <si>
    <t>Invoice/cac:BuyerCustomerParty/cac:Party/cac:PostalAddress/cbc:BuildingNumber</t>
  </si>
  <si>
    <t>2号楼</t>
  </si>
  <si>
    <t>Buyer_Addr_Department</t>
  </si>
  <si>
    <t>科室&lt;br&gt;Dept.&lt;br&gt;Department</t>
  </si>
  <si>
    <t>买方的邮政地址部门</t>
  </si>
  <si>
    <t>标识收件的具体组织内部部门</t>
  </si>
  <si>
    <t>Invoice/cac:BuyerCustomerParty/cac:Party/cac:PostalAddress/cbc:Department</t>
  </si>
  <si>
    <t>财务部</t>
  </si>
  <si>
    <t>Buyer_Addr_PlotId</t>
  </si>
  <si>
    <t>地块号&lt;br&gt;Plot ID</t>
  </si>
  <si>
    <t>买方邮政地址地块识别</t>
  </si>
  <si>
    <t>通常用于尚未分配街道号码的新开发区域</t>
  </si>
  <si>
    <t>Invoice/cac:BuyerCustomerParty/cac:Party/cac:PostalAddress/cbc:PlotIdentification</t>
  </si>
  <si>
    <t>Plot-A01</t>
  </si>
  <si>
    <t>Buyer_Addr_CitySubName</t>
  </si>
  <si>
    <t>行政区&lt;br&gt;District&lt;br&gt;Subdivision</t>
  </si>
  <si>
    <t>城市内部的行政或区域划分</t>
  </si>
  <si>
    <t>必须是该城市下属的有效行政区划名称</t>
  </si>
  <si>
    <t>Invoice/cac:BuyerCustomerParty/cac:Party/cac:PostalAddress/cbc:CitySubdivisionName</t>
  </si>
  <si>
    <t>浦东新区</t>
  </si>
  <si>
    <t>Buyer_Addr_CityName</t>
  </si>
  <si>
    <t>市&lt;br&gt;City</t>
  </si>
  <si>
    <t>买方邮件地址的城市名称</t>
  </si>
  <si>
    <t>必须是有效的城市名称</t>
  </si>
  <si>
    <t>Invoice/cac:BuyerCustomerParty/cac:Party/cac:PostalAddress/cbc:CityName</t>
  </si>
  <si>
    <t>上海市</t>
  </si>
  <si>
    <t>Buyer_Addr_PostalZone</t>
  </si>
  <si>
    <t>邮编&lt;br&gt;Zip Code&lt;br&gt;Post Code</t>
  </si>
  <si>
    <t>买方邮件地址的邮政编码</t>
  </si>
  <si>
    <t>必须符合该国家/地区的邮政编码格式（如中国为6位数字）</t>
  </si>
  <si>
    <t>Invoice/cac:BuyerCustomerParty/cac:Party/cac:PostalAddress/cbc:PostalZone</t>
  </si>
  <si>
    <t>Buyer_Addr_Subentity</t>
  </si>
  <si>
    <t>省份&lt;br&gt;Region&lt;br&gt;State</t>
  </si>
  <si>
    <t>一个国家的次级行政区划</t>
  </si>
  <si>
    <t>建议填写全称，如“上海市”而非“上海”</t>
  </si>
  <si>
    <t>Invoice/cac:BuyerCustomerParty/cac:Party/cac:PostalAddress/cbc:CountrySubentity</t>
  </si>
  <si>
    <t>Buyer_Addr_AddrLine</t>
  </si>
  <si>
    <t>地址行组&lt;br&gt;Address Block</t>
  </si>
  <si>
    <t>提供多行地址信息（聚合结构）</t>
  </si>
  <si>
    <t>用于处理无法结构化的自由文本地址</t>
  </si>
  <si>
    <t>Invoice/cac:BuyerCustomerParty/cac:Party/cac:PostalAddress/cac:AddressLine</t>
  </si>
  <si>
    <t>Buyer_Addr_Line</t>
  </si>
  <si>
    <t>详细地址&lt;br&gt;Line&lt;br&gt;Full Address</t>
  </si>
  <si>
    <t>一个具体的地址行内容</t>
  </si>
  <si>
    <t>建议包含完整的地址描述，通常用于打印发票</t>
  </si>
  <si>
    <t>Invoice/cac:BuyerCustomerParty/cac:Party/cac:PostalAddress/cac:AddressLine/cbc:Line</t>
  </si>
  <si>
    <t>上海市浦东新区博云路2号</t>
  </si>
  <si>
    <t>Buyer_Addr_CountryCode</t>
  </si>
  <si>
    <t>国家代码</t>
  </si>
  <si>
    <t>国别&lt;br&gt;Country Code</t>
  </si>
  <si>
    <t>国家/地区的代码</t>
  </si>
  <si>
    <t>必须符合 ISO 3166-1 Alpha-2 标准（两位字母代码）</t>
  </si>
  <si>
    <t>Invoice/cac:BuyerCustomerParty/cac:Party/cac:PostalAddress/cac:Country/cbc:IdentificationCode</t>
  </si>
  <si>
    <t>CN</t>
  </si>
  <si>
    <t>Buyer_Addr_CountryName</t>
  </si>
  <si>
    <t>国名&lt;br&gt;Country Name</t>
  </si>
  <si>
    <t>国家/地区的完整名称</t>
  </si>
  <si>
    <t>建议使用国际通用的英文或本地语言全称</t>
  </si>
  <si>
    <t>Invoice/cac:BuyerCustomerParty/cac:Party/cac:PostalAddress/cac:Country/cbc:Name</t>
  </si>
  <si>
    <t>China</t>
  </si>
  <si>
    <t>Buyer_Tax</t>
  </si>
  <si>
    <t>税务登记信息&lt;br&gt;Tax Info</t>
  </si>
  <si>
    <t>关联到当事方的税务方案信息</t>
  </si>
  <si>
    <t>用于描述VAT或GST等税务登记详情</t>
  </si>
  <si>
    <t>Invoice/cac:BuyerCustomerParty/cac:Party/cac:PartyTaxScheme</t>
  </si>
  <si>
    <t>Buyer_Tax_TaxSchemeID</t>
  </si>
  <si>
    <t>税种方案ID</t>
  </si>
  <si>
    <t>税种标识&lt;br&gt;Tax Type ID</t>
  </si>
  <si>
    <t>税务方案的标识符</t>
  </si>
  <si>
    <t>通常填写 "VAT" (增值税) 或 "GST"</t>
  </si>
  <si>
    <t>Invoice/cac:BuyerCustomerParty/cac:Party/cac:PartyTaxScheme/cac:TaxScheme/cbc:ID</t>
  </si>
  <si>
    <t>VAT</t>
  </si>
  <si>
    <t>Buyer_Tax_CompanyID</t>
  </si>
  <si>
    <t>公司税号</t>
  </si>
  <si>
    <t>增值税号&lt;br&gt;VAT Number&lt;br&gt;Tax ID</t>
  </si>
  <si>
    <t>买方的增值税识别号或纳税人识别号</t>
  </si>
  <si>
    <t>必须符合当地税务机关的格式要求</t>
  </si>
  <si>
    <t>Invoice/cac:BuyerCustomerParty/cac:Party/cac:PartyTaxScheme/cbc:CompanyID</t>
  </si>
  <si>
    <t>Buyer_Legal</t>
  </si>
  <si>
    <t>法律实体&lt;br&gt;Legal Entity</t>
  </si>
  <si>
    <t>法律实体相关信息</t>
  </si>
  <si>
    <t>用于标识企业的工商注册信息</t>
  </si>
  <si>
    <t>Invoice/cac:BuyerCustomerParty/cac:Party/cac:PartyLegalEntity</t>
  </si>
  <si>
    <t>Buyer_Legal_Name</t>
  </si>
  <si>
    <t>注册名称&lt;br&gt;抬头&lt;br&gt;Registration Name</t>
  </si>
  <si>
    <t>买方的正式法律注册名称</t>
  </si>
  <si>
    <t>必须与营业执照上的名称完全一致</t>
  </si>
  <si>
    <t>Invoice/cac:BuyerCustomerParty/cac:Party/cac:PartyLegalEntity/cbc:RegistrationName</t>
  </si>
  <si>
    <t>XX科技有限公司</t>
  </si>
  <si>
    <t>Buyer_Legal_CompanyID</t>
  </si>
  <si>
    <t>工商注册号&lt;br&gt;Legal ID</t>
  </si>
  <si>
    <t>由官方注册机构颁发的合法实体标识符</t>
  </si>
  <si>
    <t>通常为统一社会信用代码或工商注册号</t>
  </si>
  <si>
    <t>Invoice/cac:BuyerCustomerParty/cac:Party/cac:PartyLegalEntity/cbc:CompanyID</t>
  </si>
  <si>
    <t>Buyer_Legal_CompanyID_Scheme</t>
  </si>
  <si>
    <t>标识类型&lt;br&gt;Scheme ID</t>
  </si>
  <si>
    <t>标识符方案ID</t>
  </si>
  <si>
    <t>需指明使用的编码体系（如 ISO 6523）</t>
  </si>
  <si>
    <t>Invoice/cac:BuyerCustomerParty/cac:Party/cac:PartyLegalEntity/cbc:CompanyID/@schemeID</t>
  </si>
  <si>
    <t>Buyer_Party_Contact</t>
  </si>
  <si>
    <t>联系方式&lt;br&gt;Contact</t>
  </si>
  <si>
    <t>组织的联系方式聚合信息</t>
  </si>
  <si>
    <t>至少包含一种联系方式（电话、邮箱或姓名）</t>
  </si>
  <si>
    <t>Invoice/cac:BuyerCustomerParty/cac:Party/cac:Contact</t>
  </si>
  <si>
    <t>Buyer_Contact_Name</t>
  </si>
  <si>
    <t>业务联系人&lt;br&gt;Contact Name</t>
  </si>
  <si>
    <t>联系人的名称</t>
  </si>
  <si>
    <t>字符串类型，避免包含称谓（如先生/女士）</t>
  </si>
  <si>
    <t>Invoice/cac:BuyerCustomerParty/cac:Party/cac:Contact/cbc:Name</t>
  </si>
  <si>
    <t>张三</t>
  </si>
  <si>
    <t>Buyer_Contact_Phone</t>
  </si>
  <si>
    <t>手机号&lt;br&gt;座机&lt;br&gt;Telephone</t>
  </si>
  <si>
    <t>建议包含国际区号，格式如 +86-xxx</t>
  </si>
  <si>
    <t>Invoice/cac:BuyerCustomerParty/cac:Party/cac:Contact/cbc:Telephone</t>
  </si>
  <si>
    <t>Buyer_Contact_Email</t>
  </si>
  <si>
    <t>邮箱&lt;br&gt;Email</t>
  </si>
  <si>
    <t>联系人电子邮件地址</t>
  </si>
  <si>
    <t>必须符合标准的 Email 格式 (user@domain)</t>
  </si>
  <si>
    <t>Invoice/cac:BuyerCustomerParty/cac:Party/cac:Contact/cbc:ElectronicMail</t>
  </si>
  <si>
    <t>contact@example.com</t>
  </si>
  <si>
    <t>Buyer_Person</t>
  </si>
  <si>
    <t>自然人&lt;br&gt;Person</t>
  </si>
  <si>
    <t>如果买方是自然人，描述该自然人的信息</t>
  </si>
  <si>
    <t>仅在买方非企业实体时使用</t>
  </si>
  <si>
    <t>Invoice/cac:BuyerCustomerParty/cac:Party/cac:Person</t>
  </si>
  <si>
    <t>Buyer_Person_FirstName</t>
  </si>
  <si>
    <t>名字&lt;br&gt;First Name</t>
  </si>
  <si>
    <t>个人的名字</t>
  </si>
  <si>
    <t>个人名，不含姓氏</t>
  </si>
  <si>
    <t>Invoice/cac:BuyerCustomerParty/cac:Party/cac:Person/cbc:FirstName</t>
  </si>
  <si>
    <t>San</t>
  </si>
  <si>
    <t>Buyer_Person_FamilyName</t>
  </si>
  <si>
    <t>姓氏&lt;br&gt;Family Name</t>
  </si>
  <si>
    <t>个人的姓氏</t>
  </si>
  <si>
    <t>个人姓，不含名字</t>
  </si>
  <si>
    <t>Invoice/cac:BuyerCustomerParty/cac:Party/cac:Person/cbc:FamilyName</t>
  </si>
  <si>
    <t>Zhang</t>
  </si>
  <si>
    <t>Buyer_AccContact</t>
  </si>
  <si>
    <t>财务联系人&lt;br&gt;Accounting Contact</t>
  </si>
  <si>
    <t>专门负责会计/账务处理的联系人</t>
  </si>
  <si>
    <t>用于发票对账或支付问题的沟通</t>
  </si>
  <si>
    <t>Invoice/cac:BuyerCustomerParty/cac:AccountingContact</t>
  </si>
  <si>
    <t>Buyer_AccContact_Name</t>
  </si>
  <si>
    <t>财务人员&lt;br&gt;Acc. Name</t>
  </si>
  <si>
    <t>会计联系人名称</t>
  </si>
  <si>
    <t>具体负责人员姓名</t>
  </si>
  <si>
    <t>Invoice/cac:BuyerCustomerParty/cac:AccountingContact/cbc:Name</t>
  </si>
  <si>
    <t>李四</t>
  </si>
  <si>
    <t>Buyer_AccContact_Phone</t>
  </si>
  <si>
    <t>财务电话&lt;br&gt;Acc. Phone</t>
  </si>
  <si>
    <t>会计联系人电话</t>
  </si>
  <si>
    <t>建议填写直拨电话或分机号</t>
  </si>
  <si>
    <t>Invoice/cac:BuyerCustomerParty/cac:AccountingContact/cbc:Telephone</t>
  </si>
  <si>
    <t>021-12345678</t>
  </si>
  <si>
    <t>Buyer_AccContact_Telefax</t>
  </si>
  <si>
    <t>传真号&lt;br&gt;Fax</t>
  </si>
  <si>
    <t>会计联系人传真</t>
  </si>
  <si>
    <t>现已少用，如无则留空</t>
  </si>
  <si>
    <t>Invoice/cac:BuyerCustomerParty/cac:AccountingContact/cbc:Telefax</t>
  </si>
  <si>
    <t>Buyer_AccContact_Email</t>
  </si>
  <si>
    <t>财务邮箱&lt;br&gt;Acc. Email</t>
  </si>
  <si>
    <t>会计联系人邮箱</t>
  </si>
  <si>
    <t>必须符合标准的 Email 格式</t>
  </si>
  <si>
    <t>Invoice/cac:BuyerCustomerParty/cac:AccountingContact/cbc:ElectronicMail</t>
  </si>
  <si>
    <t>invoice@example.com</t>
  </si>
  <si>
    <t>ExternalReference</t>
  </si>
  <si>
    <t>fofdurl</t>
  </si>
  <si>
    <t>ofd下载地址</t>
  </si>
  <si>
    <t>用于将外部对象标识为互联网资源的统一资源标识符（URI）。</t>
  </si>
  <si>
    <t>varchar(300)</t>
  </si>
  <si>
    <t>Invoice/cac:AdditionalDocumentReference/cac:Attachment/cac:ExternalReference/cbc:URI</t>
  </si>
  <si>
    <t>OFD 属于“附加文档/附件外部引用”场景：Invoice 的 AdditionalDocumentReference → DocumentReference.Attachment → Attachment.ExternalReference → ExternalReference.URI。</t>
  </si>
  <si>
    <t>fpdfurl</t>
  </si>
  <si>
    <t>pdf下载地址</t>
  </si>
  <si>
    <t>语义域=附件/外部文档URL：Invoice 的 AdditionalDocumentReference（引用附加文档） → DocumentReference.Attachment → Attachment.ExternalReference → ExternalReference.URI（互联网资源的URI），与“PDF下载地址”一致。</t>
  </si>
  <si>
    <t>fxmlurl</t>
  </si>
  <si>
    <t>xml下载地址</t>
  </si>
  <si>
    <t>语义域=附件/外部文档URL：与 fpdfurl 同一落位链路（AdditionalDocumentReference→Attachment→ExternalReference→URI）；UBL 仅表达“外部对象的URI”，不区分“PDF/XML”，区分通常依赖同一 ExternalReference 下的 MimeCode/FileName 等字段（本字段未要求映射）。</t>
  </si>
  <si>
    <t>fxmlfileurl</t>
  </si>
  <si>
    <t>fdowload</t>
  </si>
  <si>
    <t>下载次数</t>
  </si>
  <si>
    <t>【未匹配】语义为“下载次数/下载成功失败统计（1/0）”，属于系统访问/审计指标；在 Invoice→(Additional)DocumentReference→Attachment→ExternalReference 链路的 External Reference 字段集中仅见 URI、DocumentHash、ExpiryDate/Time、MimeCode、FileName 等“外部对象描述”字段，无“下载次数/下载状态”概念字段。</t>
  </si>
  <si>
    <t>1 下载成功   0下载失败</t>
  </si>
  <si>
    <t>fcipher_area</t>
  </si>
  <si>
    <t>密码区</t>
  </si>
  <si>
    <t>varchar(200)</t>
  </si>
  <si>
    <t>【未匹配】“密码区”属于中国税控票面要素；在 Invoice 中虽有 Signature（签名）结构，但 Signature ABIE 定义为“signature/validation”等签名语义，与税控“密码区”不一致；报告中未出现可落位的 cipher/encrypt/password 类字段。</t>
  </si>
  <si>
    <t>ffjh</t>
  </si>
  <si>
    <t>分机号</t>
  </si>
  <si>
    <t>varchar(32)</t>
  </si>
  <si>
    <t>【未匹配】联系人域仅有 Contact.Telephone（主电话号码）、Telefax、ElectronicMail、Note 等，未提供“分机号/Extension”独立字段；分机如需表达只能并入 Telephone 文本，无法按“分机号”单独落位。</t>
  </si>
  <si>
    <t>ffwm</t>
  </si>
  <si>
    <t>税控校验码</t>
  </si>
  <si>
    <t>varchar(100)</t>
  </si>
  <si>
    <t>最接近候选为 External Reference/DocumentHash（“A hash value for the externally stored object.”）与 DocumentReference/ResultOfVerification（“The result of an attempt to verify a signature…”），均不等同于“发票税控校验码/查验码”字段本体，含义不一致 → 未匹配。</t>
  </si>
  <si>
    <t>fkabaourl</t>
  </si>
  <si>
    <t>微信卡包链接</t>
  </si>
  <si>
    <t>varchar(400)</t>
  </si>
  <si>
    <t>字段语义为“链接/访问地址”；UBL 的 External Reference/URI 即外部互联网资源标识；路径链路为 Invoice 的 AdditionalDocumentReference → (DocumentReference) Attachment → (Attachment) ExternalReference → URI。</t>
  </si>
  <si>
    <t>fmachine_no</t>
  </si>
  <si>
    <t>机器编码</t>
  </si>
  <si>
    <t>Invoice 及其可达 Details 链路中未找到“开票设备/税控设备唯一编码”的对应字段；CommonLibrary 中最接近的是 Transport Equipment/ID（运输设备标识），但对象语义（运输设备 vs 开票设备）不一致 → 未匹配。</t>
  </si>
  <si>
    <t>fjqbh</t>
  </si>
  <si>
    <t>fqdxmmc</t>
  </si>
  <si>
    <t>清单发票项目名称</t>
  </si>
  <si>
    <t>用于描述被引用文档的文本。</t>
  </si>
  <si>
    <t>需要打印清单时对应发票票面项目名称，清单标志qdbz为1时必填，为0不必处理</t>
  </si>
  <si>
    <t>varchar(128)</t>
  </si>
  <si>
    <t>Invoice/cac:AdditionalDocumentReference/cbc:DocumentDescription</t>
  </si>
  <si>
    <t>若“清单”在 UBL 中按附加文档引用建模（AdditionalDocumentReference），则“清单项目标题/汇总名称”更贴近 DocumentDescription（被引用文档的描述文本）。</t>
  </si>
  <si>
    <t>stock no longer provided</t>
  </si>
  <si>
    <t>fqsbz</t>
  </si>
  <si>
    <t>清单标志</t>
  </si>
  <si>
    <t>char(1)</t>
  </si>
  <si>
    <t>UBL 存在 **LineCountNumeric（The total number of invoiced lines.）**等数量信息，但不是“清单标志/打印策略”的 0/1 开关；未找到语义等价字段 → 未匹配。</t>
  </si>
  <si>
    <t>0：根据项目名称字数，自动产生清单，保持目前逻辑不变，1：区清单对应票面内容字段打印到发票票面上，将项目信息XMXX打印到清单上，默认为0</t>
  </si>
  <si>
    <t>finventorymark</t>
  </si>
  <si>
    <t>t_sim_vatinvoice</t>
  </si>
  <si>
    <t>发票查询主表</t>
  </si>
  <si>
    <t>fvalueaddedtaxuses</t>
  </si>
  <si>
    <t>发票状态</t>
  </si>
  <si>
    <t>varchar</t>
  </si>
  <si>
    <t>【未匹配】已在 Invoice.Details（#Table_Invoice）检索票据头字段：可见的相关“代码/指示”类仅有 InvoiceTypeCode（票种类型）与 CopyIndicator（是否副本）等，但其 Rep. Term 含义不等同于“正常/红冲/作废/部分红冲”等生命周期业务状态，无法语义落位。</t>
  </si>
  <si>
    <t>0-正常,3-红冲,6-作废,7-作废中,2-部分红冲,</t>
  </si>
  <si>
    <t>fcreditingstatus</t>
  </si>
  <si>
    <t>推送状态</t>
  </si>
  <si>
    <t>【未匹配】已在 Invoice.Details 中沿“交付/支付”语义域检索：存在 Delivery、DeliveryTerms、PaymentMeans、PaymentTerms 等结构，但其含义是“交付信息/支付方式/支付条款”，不表达“推送成功/推送中/推送失败/部分成功”等交付流程状态码。</t>
  </si>
  <si>
    <t>0-成功,1-短信推送失败,2-邮件推送失败,3-失败,4-不推送,5-推送中,6-部分成功,</t>
  </si>
  <si>
    <t>fexcisetaxpurposes</t>
  </si>
  <si>
    <t>开票状态</t>
  </si>
  <si>
    <t>【未匹配】已在 Invoice.Details 检索“开票”相关头字段：可见 IssueDate/IssueTime 表达“签发日期/时间”，但未出现与“未开票/开票中/已提交/校验通过/失败”等处理阶段同义的状态字段，无法匹配。</t>
  </si>
  <si>
    <t>2-未开票,4-已提交，4-开票校验通过，5-开票校验不通过，1-开票中,0-已开票,3-开票失败,</t>
  </si>
  <si>
    <t>fissuebillstatus</t>
  </si>
  <si>
    <t>开票审批状态</t>
  </si>
  <si>
    <t>【未匹配】已在 Invoice.Details 检索“审批/签署”相关字段：存在 Signature（对文档的签名），其语义为“签名对象/签名应用”，不等同于“暂存/已提交/已审核/无需审批”等审批流程状态，无法语义落位。</t>
  </si>
  <si>
    <t>A-暂存,B-已提交,C-已审核,D-无需审批,</t>
  </si>
  <si>
    <t>fissuewritebackstatus</t>
  </si>
  <si>
    <t>开票回写状态</t>
  </si>
  <si>
    <t>开票结果回写至来源业务系统/上游系统的处理状态</t>
  </si>
  <si>
    <t>(扩展字段，本轮不输出详细规则)</t>
  </si>
  <si>
    <t>0-未回写,1-回写成功,-1-回写失败,</t>
  </si>
  <si>
    <t>finvalid</t>
  </si>
  <si>
    <t>作废标志</t>
  </si>
  <si>
    <t>【未匹配】已在 Invoice.Details 检索“标志位/指示器”类字段：存在 CopyIndicator，但其 Rep. Term 为“是否副本(true/false)”，与“作废标志（票是否已作废）”不一致，因此不能用作作废标识字段。</t>
  </si>
  <si>
    <t>finvaliddate</t>
  </si>
  <si>
    <t>作废日期</t>
  </si>
  <si>
    <t>Invoice 提供 IssueDate/IssueTime（开具日期/时间）等日期字段，但未出现“作废/失效日期”语义的独立行；因此不强行映射。</t>
  </si>
  <si>
    <t>fisPrint</t>
  </si>
  <si>
    <t>打印状态</t>
  </si>
  <si>
    <t>最接近的是 CopyIndicator（是否为副本 true/false），其语义是“副本标识”而非“打印流程状态”；因此不匹配。</t>
  </si>
  <si>
    <t>TaxExchangeRate</t>
  </si>
  <si>
    <t>TaxExRate</t>
  </si>
  <si>
    <t>税务汇率</t>
  </si>
  <si>
    <t>汇率信息&lt;br&gt;Tax Exchange Rate</t>
  </si>
  <si>
    <t>用于税务计算的货币兑换汇率</t>
  </si>
  <si>
    <t>仅当发票币种与记账币种（或报税币种）不一致时必须提供</t>
  </si>
  <si>
    <t>Invoice/cac:TaxExchangeRate</t>
  </si>
  <si>
    <t>ExchangeRate</t>
  </si>
  <si>
    <t>SourceCurrencyCode</t>
  </si>
  <si>
    <t>TaxExRate_SourceCurrencyCode</t>
  </si>
  <si>
    <t>源币种代码</t>
  </si>
  <si>
    <t>发票币种&lt;br&gt;Source Currency</t>
  </si>
  <si>
    <t>源货币代码（通常为发票币种）</t>
  </si>
  <si>
    <t>必须符合 ISO 4217 货币代码（如 USD, EUR）</t>
  </si>
  <si>
    <t>Invoice/cac:TaxExchangeRate/cbc:SourceCurrencyCode</t>
  </si>
  <si>
    <t>USD</t>
  </si>
  <si>
    <t>TargetCurrencyCode</t>
  </si>
  <si>
    <t>TaxExRate_TargetCurrencyCode</t>
  </si>
  <si>
    <t>目标币种代码</t>
  </si>
  <si>
    <t>记账币种&lt;br&gt;Target Currency</t>
  </si>
  <si>
    <t>目标货币代码（通常为本位币/记账币种）</t>
  </si>
  <si>
    <t>必须符合 ISO 4217 货币代码（如 CNY）</t>
  </si>
  <si>
    <t>Invoice/cac:TaxExchangeRate/cbc:TargetCurrencyCode</t>
  </si>
  <si>
    <t>CNY</t>
  </si>
  <si>
    <t>CalculationRate</t>
  </si>
  <si>
    <t>TaxExRate_CalculationRate</t>
  </si>
  <si>
    <t>计算汇率</t>
  </si>
  <si>
    <t>汇率&lt;br&gt;Rate</t>
  </si>
  <si>
    <t>从源货币转换为目标货币的乘数汇率</t>
  </si>
  <si>
    <t>必须为正数，精度通常保留4-6位小数</t>
  </si>
  <si>
    <t>decimal</t>
  </si>
  <si>
    <t>Invoice/cac:TaxExchangeRate/cbc:CalculationRate</t>
  </si>
  <si>
    <t>MathematicOperatorCode</t>
  </si>
  <si>
    <t>TaxExRate_Operator</t>
  </si>
  <si>
    <t>数学运算符代码</t>
  </si>
  <si>
    <t>运算符&lt;br&gt;Operator</t>
  </si>
  <si>
    <t>汇率计算操作符</t>
  </si>
  <si>
    <t>必须是 "Multiply" (乘) 或 "Divide" (除)，通常为 Multiply</t>
  </si>
  <si>
    <t>Invoice/cac:TaxExchangeRate/cbc:MathematicOperatorCode</t>
  </si>
  <si>
    <t>Multiply</t>
  </si>
  <si>
    <t>Date</t>
  </si>
  <si>
    <t>TaxExRate_Date</t>
  </si>
  <si>
    <t>日期</t>
  </si>
  <si>
    <t>汇率日期&lt;br&gt;Rate Date</t>
  </si>
  <si>
    <t>汇率生效日期</t>
  </si>
  <si>
    <t>格式必须为 YYYY-MM-DD</t>
  </si>
  <si>
    <t>date</t>
  </si>
  <si>
    <t>Invoice/cac:TaxExchangeRate/cbc:Date</t>
  </si>
  <si>
    <t>2023/10/01</t>
  </si>
  <si>
    <t>fextrainfotime</t>
  </si>
  <si>
    <t>税款合计</t>
  </si>
  <si>
    <t>税额汇总&lt;br&gt;Tax Total</t>
  </si>
  <si>
    <t>文档级的税款汇总信息</t>
  </si>
  <si>
    <t>必须按币种汇总，可多次出现（针对不同币种）</t>
  </si>
  <si>
    <t>1..n</t>
  </si>
  <si>
    <t>Invoice/cac:TaxTotal</t>
  </si>
  <si>
    <t>TaxAmount</t>
  </si>
  <si>
    <t>TaxTotal_Amt</t>
  </si>
  <si>
    <t>发票税额&lt;br&gt;Total Tax Amount</t>
  </si>
  <si>
    <t>发票总税额，汇总所有子项税额</t>
  </si>
  <si>
    <t>必须等于所有 TaxSubtotal/TaxAmount 之和</t>
  </si>
  <si>
    <t>TaxAmount.currencyID</t>
  </si>
  <si>
    <t>TaxTotal_Amt_CurrID</t>
  </si>
  <si>
    <t>币种</t>
  </si>
  <si>
    <t>税额币种&lt;br&gt;Currency</t>
  </si>
  <si>
    <t>文档总税额的货币代码</t>
  </si>
  <si>
    <t>必须符合 ISO 4217 货币代码</t>
  </si>
  <si>
    <t>Invoice/cac:TaxTotal/cbc:TaxAmount/@currencyID</t>
  </si>
  <si>
    <t>TaxSubtotal</t>
  </si>
  <si>
    <t>TaxTotal_Sub</t>
  </si>
  <si>
    <t>税款子项</t>
  </si>
  <si>
    <t>税收分类汇总&lt;br&gt;Tax Breakdown</t>
  </si>
  <si>
    <t>按税种/税率分类的明细汇总</t>
  </si>
  <si>
    <t>必须针对每种不同的税率/税别生成一个子项</t>
  </si>
  <si>
    <t>Invoice/cac:TaxTotal/cac:TaxSubtotal</t>
  </si>
  <si>
    <t>TaxableAmount</t>
  </si>
  <si>
    <t>TaxTotal_Sub_ableAmt</t>
  </si>
  <si>
    <t>计税金额</t>
  </si>
  <si>
    <t>不含税金额&lt;br&gt;Taxable Basis</t>
  </si>
  <si>
    <t>该分类下的应税基数金额</t>
  </si>
  <si>
    <t>必须为正数，是计算税额的基础</t>
  </si>
  <si>
    <t>Invoice/cac:TaxTotal/cac:TaxSubtotal/cbc:TaxableAmount</t>
  </si>
  <si>
    <t>currencyID</t>
  </si>
  <si>
    <t>TaxTotal_Sub_ableAmt_CurrID</t>
  </si>
  <si>
    <t>应税金额币种</t>
  </si>
  <si>
    <t>币种&lt;br&gt;Currency</t>
  </si>
  <si>
    <t>计税金额货币代码</t>
  </si>
  <si>
    <t>必须与发票主币种一致</t>
  </si>
  <si>
    <t>Invoice/cac:TaxTotal/cac:TaxSubtotal/cbc:TaxableAmount/@currencyID</t>
  </si>
  <si>
    <t>TaxSubtotal.TaxAmount</t>
  </si>
  <si>
    <t>TaxTotal_Sub_Amt</t>
  </si>
  <si>
    <t>税额总计</t>
  </si>
  <si>
    <t>分类税额&lt;br&gt;Category Tax Amount</t>
  </si>
  <si>
    <t>该分类下的总税额</t>
  </si>
  <si>
    <t>等于 计税金额 * 税率</t>
  </si>
  <si>
    <t>Invoice/cac:TaxTotal/cac:TaxSubtotal/cbc:TaxAmount</t>
  </si>
  <si>
    <t>TaxSubtotal.TaxAmount.currencyID</t>
  </si>
  <si>
    <t>TaxTotal_Sub_Amt_CurrID</t>
  </si>
  <si>
    <t>计税金额币种</t>
  </si>
  <si>
    <t>每个税类的总税额货币代码</t>
  </si>
  <si>
    <t>Invoice/cac:TaxTotal/cac:TaxSubtotal/cbc:TaxAmount/@currencyID</t>
  </si>
  <si>
    <t>TaxCategory</t>
  </si>
  <si>
    <t>TaxSubtotal.TaxCategory.ID</t>
  </si>
  <si>
    <t>TaxTotal_Sub_Cat_ID</t>
  </si>
  <si>
    <t>税码</t>
  </si>
  <si>
    <t>税收类别&lt;br&gt;Tax Category ID</t>
  </si>
  <si>
    <t>标识税类别的代码（如 S=标准, Z=零税率）</t>
  </si>
  <si>
    <t>必须遵循 UN/ECE 5305 标准代码表</t>
  </si>
  <si>
    <t>Invoice/cac:TaxTotal/cac:TaxSubtotal/cac:TaxCategory/cbc:ID</t>
  </si>
  <si>
    <t>S</t>
  </si>
  <si>
    <t>TaxSubtotal.TaxCategory.Percent</t>
  </si>
  <si>
    <t>TaxTotal_Sub_Cat_Pct</t>
  </si>
  <si>
    <t>税率</t>
  </si>
  <si>
    <t>税率百分比&lt;br&gt;Tax Rate</t>
  </si>
  <si>
    <t>税类的百分比税率</t>
  </si>
  <si>
    <t>如 13% 应填写为 13.00 (非0.13)</t>
  </si>
  <si>
    <t>Invoice/cac:TaxTotal/cac:TaxSubtotal/cac:TaxCategory/cbc:Percent</t>
  </si>
  <si>
    <t>ftaxrate</t>
  </si>
  <si>
    <t>TaxSubtotal.TaxCategory.TaxExemptionReasonCode</t>
  </si>
  <si>
    <t>TaxTotal_Sub_Cat_ExemptRsnCode</t>
  </si>
  <si>
    <t>豁免原因</t>
  </si>
  <si>
    <t>免税代码&lt;br&gt;Exemption Code</t>
  </si>
  <si>
    <t>税类的免税原因代码</t>
  </si>
  <si>
    <t>仅适用于免税或零税率商品，需符合相关代码表</t>
  </si>
  <si>
    <t>Invoice/cac:TaxTotal/cac:TaxSubtotal/cac:TaxCategory/cbc:TaxExemptionReasonCode</t>
  </si>
  <si>
    <t>VATEX-EU-132</t>
  </si>
  <si>
    <t>TaxSubtotal.TaxCategory.TaxExemptionReason</t>
  </si>
  <si>
    <t>TaxTotal_Sub_Cat_ExemptRsn</t>
  </si>
  <si>
    <t>豁免原因描述</t>
  </si>
  <si>
    <t>免税说明&lt;br&gt;Exemption Reason</t>
  </si>
  <si>
    <t>免税原因文本描述</t>
  </si>
  <si>
    <t>必须提供人类可读的免税理由</t>
  </si>
  <si>
    <t>Invoice/cac:TaxTotal/cac:TaxSubtotal/cac:TaxCategory/cbc:TaxExemptionReason</t>
  </si>
  <si>
    <t>Export item</t>
  </si>
  <si>
    <t>TaxSubtotal.TaxCategory.TaxScheme.ID</t>
  </si>
  <si>
    <t>TaxTotal_Sub_Scheme_ID</t>
  </si>
  <si>
    <t>税务方案&lt;br&gt;Tax Type</t>
  </si>
  <si>
    <t>税类的税务方案标识符</t>
  </si>
  <si>
    <t>通常填写 "VAT" 或 "GST"</t>
  </si>
  <si>
    <t>Invoice/cac:TaxTotal/cac:TaxSubtotal/cac:TaxCategory/cac:TaxScheme/cbc:ID</t>
  </si>
  <si>
    <t>TaxSubtotal.TaxCategory.TaxScheme.Name</t>
  </si>
  <si>
    <t>TaxTotal_Sub_Scheme_Name</t>
  </si>
  <si>
    <t>税种名称</t>
  </si>
  <si>
    <t>税名&lt;br&gt;Tax Name</t>
  </si>
  <si>
    <t>税类的税务方案名称</t>
  </si>
  <si>
    <t>可选字段，用于补充说明</t>
  </si>
  <si>
    <t>Invoice/cac:TaxTotal/cac:TaxSubtotal/cac:TaxCategory/cac:TaxScheme/cbc:Name</t>
  </si>
  <si>
    <t>Value Added Tax</t>
  </si>
  <si>
    <t>WithholdingTaxTotal</t>
  </si>
  <si>
    <t>WhldTaxTotal</t>
  </si>
  <si>
    <t>预扣税总额</t>
  </si>
  <si>
    <t>扣缴税款&lt;br&gt;Withholding Tax</t>
  </si>
  <si>
    <t>预扣税信息聚合类</t>
  </si>
  <si>
    <t>仅在涉及预扣税业务时出现</t>
  </si>
  <si>
    <t>Invoice/cac:WithholdingTaxTotal</t>
  </si>
  <si>
    <t>WhldTaxTotal_Amt</t>
  </si>
  <si>
    <t>扣税金额&lt;br&gt;WH Tax Amount</t>
  </si>
  <si>
    <t>文档的预扣税总金额</t>
  </si>
  <si>
    <t>必须为正数，表示被扣除的金额</t>
  </si>
  <si>
    <t>Invoice/cac:WithholdingTaxTotal/cbc:TaxAmount</t>
  </si>
  <si>
    <t>WhldTaxTotal_Amt_CurrID</t>
  </si>
  <si>
    <t>预扣税币种</t>
  </si>
  <si>
    <t>预扣税总额的货币代码</t>
  </si>
  <si>
    <t>Invoice/cac:WithholdingTaxTotal/cbc:TaxAmount/@currencyID</t>
  </si>
  <si>
    <t>TaxSubtotal.TaxableAmount</t>
  </si>
  <si>
    <t>WhldTaxTotal_Sub_ableAmt</t>
  </si>
  <si>
    <t>预扣应税金额</t>
  </si>
  <si>
    <t>扣税基数&lt;br&gt;WH Taxable Amount</t>
  </si>
  <si>
    <t>预扣税的应税基数金额</t>
  </si>
  <si>
    <t>必须为正数</t>
  </si>
  <si>
    <t>Invoice/cac:WithholdingTaxTotal/cac:TaxSubtotal/cbc:TaxableAmount</t>
  </si>
  <si>
    <t>WhldTaxTotal_Sub_Amt</t>
  </si>
  <si>
    <t>应扣缴税额</t>
  </si>
  <si>
    <t>扣税额&lt;br&gt;Subtotal Amount</t>
  </si>
  <si>
    <t>每个税类的预扣税额</t>
  </si>
  <si>
    <t>Invoice/cac:WithholdingTaxTotal/cac:TaxSubtotal/cbc:TaxAmount</t>
  </si>
  <si>
    <t>WhldTaxTotal_Sub_Cat_ID</t>
  </si>
  <si>
    <t>扣税代码&lt;br&gt;WH Category ID</t>
  </si>
  <si>
    <t>标识预扣税类别的代码</t>
  </si>
  <si>
    <t>自定义或遵循特定区域标准</t>
  </si>
  <si>
    <t>Invoice/cac:WithholdingTaxTotal/cac:TaxSubtotal/cac:TaxCategory/cbc:ID</t>
  </si>
  <si>
    <t>Standard</t>
  </si>
  <si>
    <t>WhldTaxTotal_Sub_Cat_Pct</t>
  </si>
  <si>
    <t>扣税率&lt;br&gt;WH Percent</t>
  </si>
  <si>
    <t>预扣税的百分比税率</t>
  </si>
  <si>
    <t>如 5% 应填写为 5.00</t>
  </si>
  <si>
    <t>Invoice/cac:WithholdingTaxTotal/cac:TaxSubtotal/cac:TaxCategory/cbc:Percent</t>
  </si>
  <si>
    <t>WhldTaxTotal_Sub_Scheme_ID</t>
  </si>
  <si>
    <t>扣税方案&lt;br&gt;WH Scheme ID</t>
  </si>
  <si>
    <t>预扣税的税务方案标识符</t>
  </si>
  <si>
    <t>如 "IRPF" (个人所得税)</t>
  </si>
  <si>
    <t>Invoice/cac:WithholdingTaxTotal/cac:TaxSubtotal/cac:TaxCategory/cac:TaxScheme/cbc:ID</t>
  </si>
  <si>
    <t>IRPF</t>
  </si>
  <si>
    <t>WhldTaxTotal_Sub_Scheme_Name</t>
  </si>
  <si>
    <t>扣税名称&lt;br&gt;WH Scheme Name</t>
  </si>
  <si>
    <t>预扣税的税务方案名称</t>
  </si>
  <si>
    <t>补充说明税种名称</t>
  </si>
  <si>
    <t>Invoice/cac:WithholdingTaxTotal/cac:TaxSubtotal/cac:TaxCategory/cac:TaxScheme/cbc:Name</t>
  </si>
  <si>
    <t>Income Tax</t>
  </si>
  <si>
    <t>AllowanceCharge</t>
  </si>
  <si>
    <t>AlwChg</t>
  </si>
  <si>
    <t>折扣/收费</t>
  </si>
  <si>
    <t>费用调整&lt;br&gt;Allowance/Charge</t>
  </si>
  <si>
    <t>文档级的折扣和附加收费信息</t>
  </si>
  <si>
    <t>用于调整发票总金额</t>
  </si>
  <si>
    <t>Invoice/cac:AllowanceCharge</t>
  </si>
  <si>
    <t>ChargeIndicator</t>
  </si>
  <si>
    <t>AlwChg_ChargeIndicator</t>
  </si>
  <si>
    <t>类型</t>
  </si>
  <si>
    <t>费用标记&lt;br&gt;Indicator</t>
  </si>
  <si>
    <t>表示是附加费用还是折扣</t>
  </si>
  <si>
    <t>true = 收费(Charge), false = 折扣(Allowance)</t>
  </si>
  <si>
    <t>boolean</t>
  </si>
  <si>
    <t>Invoice/cac:AllowanceCharge/cbc:ChargeIndicator</t>
  </si>
  <si>
    <t>FALSE</t>
  </si>
  <si>
    <t>AllowanceChargeReasonCode</t>
  </si>
  <si>
    <t>AlwChg_AlwChgReasonCode</t>
  </si>
  <si>
    <t>原因</t>
  </si>
  <si>
    <t>原因代码&lt;br&gt;Reason Code</t>
  </si>
  <si>
    <t>折扣或附加费用的原因代码</t>
  </si>
  <si>
    <t>需符合 UN/ECE 5189 (折扣) 或 7161 (收费) 代码表</t>
  </si>
  <si>
    <t>Invoice/cac:AllowanceCharge/cbc:AllowanceChargeReasonCode</t>
  </si>
  <si>
    <t>AllowanceChargeReason</t>
  </si>
  <si>
    <t>AlwChg_AlwChgReason</t>
  </si>
  <si>
    <t>原因说明</t>
  </si>
  <si>
    <t>原因描述&lt;br&gt;Reason Text</t>
  </si>
  <si>
    <t>折扣或附加费用的原因</t>
  </si>
  <si>
    <t>文本描述，如“促销折扣”</t>
  </si>
  <si>
    <t>Invoice/cac:AllowanceCharge/cbc:AllowanceChargeReason</t>
  </si>
  <si>
    <t>Promotional Discount</t>
  </si>
  <si>
    <t>MultiplierFactorNumeric</t>
  </si>
  <si>
    <t>AlwChg_MultiplierFactorNumeric</t>
  </si>
  <si>
    <t>折扣比例</t>
  </si>
  <si>
    <t>百分比因子&lt;br&gt;Multiplier</t>
  </si>
  <si>
    <t>折扣或收费的百分比</t>
  </si>
  <si>
    <t>如 10% 应表示为 10，用于计算金额</t>
  </si>
  <si>
    <t>Invoice/cac:AllowanceCharge/cbc:MultiplierFactorNumeric</t>
  </si>
  <si>
    <t>Amount</t>
  </si>
  <si>
    <t>AlwChg_Amt</t>
  </si>
  <si>
    <t>金额</t>
  </si>
  <si>
    <t>调整金额&lt;br&gt;Amount</t>
  </si>
  <si>
    <t>折扣或收费的具体金额</t>
  </si>
  <si>
    <t>必须为正数，具体是加是减由 Indicator 决定</t>
  </si>
  <si>
    <t>Invoice/cac:AllowanceCharge/cbc:Amount</t>
  </si>
  <si>
    <t>famount</t>
  </si>
  <si>
    <t>Amount.currencyID</t>
  </si>
  <si>
    <t>AlwChg_Amt_CurrID</t>
  </si>
  <si>
    <t>金额币种</t>
  </si>
  <si>
    <t>折扣或收费的金额的货币单位</t>
  </si>
  <si>
    <t>Invoice/cac:AllowanceCharge/cbc:Amount/@currencyID</t>
  </si>
  <si>
    <t>BaseAmount</t>
  </si>
  <si>
    <t>AlwChg_BaseAmt</t>
  </si>
  <si>
    <t>基础金额</t>
  </si>
  <si>
    <t>基数&lt;br&gt;Base Amount</t>
  </si>
  <si>
    <t>计算折扣或收费金额的基础金额</t>
  </si>
  <si>
    <t>Invoice/cac:AllowanceCharge/cbc:BaseAmount</t>
  </si>
  <si>
    <t>BaseAmount.currencyID</t>
  </si>
  <si>
    <t>AlwChg_BaseAmt_CurrID</t>
  </si>
  <si>
    <t>基础金额币种</t>
  </si>
  <si>
    <t>折扣或收费金额的基础金额货币</t>
  </si>
  <si>
    <t>Invoice/cac:AllowanceCharge/cbc:BaseAmount/@currencyID</t>
  </si>
  <si>
    <t>TaxCategory.ID</t>
  </si>
  <si>
    <t>AlwChg_TaxCat_ID</t>
  </si>
  <si>
    <t>税类ID</t>
  </si>
  <si>
    <t>税码&lt;br&gt;Tax Category</t>
  </si>
  <si>
    <t>折扣或收费适用的税种代码</t>
  </si>
  <si>
    <t>Invoice/cac:AllowanceCharge/cac:TaxCategory/cbc:ID</t>
  </si>
  <si>
    <t>TaxCategory.Percent</t>
  </si>
  <si>
    <t>AlwChg_TaxCat_Pct</t>
  </si>
  <si>
    <t>税率百分比</t>
  </si>
  <si>
    <t>税率&lt;br&gt;Rate</t>
  </si>
  <si>
    <t>折扣或收费的税率百分比</t>
  </si>
  <si>
    <t>如 13% 应填写为 13.00</t>
  </si>
  <si>
    <t>Invoice/cac:AllowanceCharge/cac:TaxCategory/cbc:Percent</t>
  </si>
  <si>
    <t>TaxCategory.TaxExemptionReasonCode</t>
  </si>
  <si>
    <t>AlwChg_TaxCat_ExemptRsnCode</t>
  </si>
  <si>
    <t>免税原因代码</t>
  </si>
  <si>
    <t>如果折扣或收费免税，则为免税的原因代码</t>
  </si>
  <si>
    <t>需符合相关代码表</t>
  </si>
  <si>
    <t>Invoice/cac:AllowanceCharge/cac:TaxCategory/cbc:TaxExemptionReasonCode</t>
  </si>
  <si>
    <t>TaxCategory.TaxExemptionReason</t>
  </si>
  <si>
    <t>AlwChg_TaxCat_ExemptRsn</t>
  </si>
  <si>
    <t>免税原因说明</t>
  </si>
  <si>
    <t>免税理由&lt;br&gt;Reason Text</t>
  </si>
  <si>
    <t>如果折扣或收费免税，则为免税的原因</t>
  </si>
  <si>
    <t>文本描述</t>
  </si>
  <si>
    <t>Invoice/cac:AllowanceCharge/cac:TaxCategory/cbc:TaxExemptionReason</t>
  </si>
  <si>
    <t>Export</t>
  </si>
  <si>
    <t>TaxCategory.TaxScheme.ID</t>
  </si>
  <si>
    <t>AlwChg_TaxScheme_ID</t>
  </si>
  <si>
    <t>税务方案ID</t>
  </si>
  <si>
    <t>税种标识&lt;br&gt;Tax Type</t>
  </si>
  <si>
    <t>折扣或收费的税种方案标识符</t>
  </si>
  <si>
    <t>通常填写 "VAT"</t>
  </si>
  <si>
    <t>Invoice/cac:AllowanceCharge/cac:TaxCategory/cac:TaxScheme/cbc:ID</t>
  </si>
  <si>
    <t>TaxTotal.TaxAmount</t>
  </si>
  <si>
    <t>AlwChg_Total_TaxAmt</t>
  </si>
  <si>
    <t>税金总额</t>
  </si>
  <si>
    <t>调整税额&lt;br&gt;Tax Amount</t>
  </si>
  <si>
    <t>折扣或收费产生的相关税额</t>
  </si>
  <si>
    <t>Invoice/cac:AllowanceCharge/cac:TaxTotal/cbc:TaxAmount</t>
  </si>
  <si>
    <t>TaxTotal.TaxAmount.currencyID</t>
  </si>
  <si>
    <t>AlwChg_Total_TaxAmt_CurrID</t>
  </si>
  <si>
    <t>税金总额币种</t>
  </si>
  <si>
    <t>折扣或收费的总税额的货币</t>
  </si>
  <si>
    <t>Invoice/cac:AllowanceCharge/cac:TaxTotal/cbc:TaxAmount/@currencyID</t>
  </si>
  <si>
    <t>是选填生成凭证</t>
  </si>
  <si>
    <t>标识该发票业务是选填已触发财务凭证生成</t>
  </si>
  <si>
    <t>凭证号</t>
  </si>
  <si>
    <t>首选：将“财务凭证”视为与发票关联的“附加文档”，用 AdditionalDocumentReference 引用该凭证，并以 DocumentReference/ID 承载“凭证号”。</t>
  </si>
  <si>
    <t>选填</t>
  </si>
  <si>
    <t>增值税用途</t>
  </si>
  <si>
    <t>UBL 的税务域可表达税种/税类/免税原因等（如 TaxExemptionReasonCode），但你给的“增值税用途”枚举是企业内部抵扣/勾选/退税流程状态，在标准行中无等价字段；因此不匹配。</t>
  </si>
  <si>
    <t>00-已勾选未确认,01-已确认,03-未勾选,1-已申请抵扣,2-已申请退税,3-已申请代办退税,4-已勾选不抵扣（历史数据）,5-已申请代办退税（历史数据）,6-已申请不抵扣,7-内销转出口,8-出口转内销,9-准予退税,10-不予退税,11-冬奥退税,</t>
  </si>
  <si>
    <t>入账状态</t>
  </si>
  <si>
    <t>用于表示被引用文档相对于其原始状态的状态代码。</t>
  </si>
  <si>
    <t>Invoice/cac:AdditionalDocumentReference/cbc:DocumentStatusCode</t>
  </si>
  <si>
    <t>有条件匹配：若 AdditionalDocumentReference 指向“财务凭证”，则可用 DocumentStatusCode 表达“未入账/已入账/撤销”等（此处语义是“被引用文档的状态”，而非 Invoice 自身状态字段）。</t>
  </si>
  <si>
    <t>00-未入账,01-已入账,03-已入账撤销,</t>
  </si>
  <si>
    <t>消费税用途</t>
  </si>
  <si>
    <t>【未匹配】在 Invoice Summary Report 中，税相关语义主要通过 TaxPointDate、TaxCurrencyCode、TaxTotal 等结构表达“计税时点/币种/税额汇总”，未出现与“消费税用途/用途状态码(00/01)”语义一致的字段行；该字段更像企业内部用途归类/勾选状态，不是 UBL Invoice 明确定义的税务业务要素。</t>
  </si>
  <si>
    <t>00-未勾选,01-已勾选,</t>
  </si>
  <si>
    <t>fbyzd1</t>
  </si>
  <si>
    <t>备用字段1</t>
  </si>
  <si>
    <t>varchar(60)</t>
  </si>
  <si>
    <t>语义域=交易单据域（Invoice 本体）。输入为“预留扩展字段/客户化临时信息”，与 Note 的“未被其它结构显式承载的信息的自由文本”可解释一致；且 Card.=0..n 允许多条 Note，用于承载多个备用字段值。</t>
  </si>
  <si>
    <t>fbyzd2</t>
  </si>
  <si>
    <t>备用字段2</t>
  </si>
  <si>
    <t>同 fbyzd1：用 Note 承载“预留扩展/临时客户化信息”，与 Rep. Term 含义一致且可重复出现（0..n）。</t>
  </si>
  <si>
    <t>fbyzd3</t>
  </si>
  <si>
    <t>备用字段3</t>
  </si>
  <si>
    <t>fbyzd4</t>
  </si>
  <si>
    <t>备用字段4</t>
  </si>
  <si>
    <t>fbyzd5</t>
  </si>
  <si>
    <t>备用字段5</t>
  </si>
  <si>
    <t>作为“预留扩展信息”的可解释一致落位：Invoice 头级 Note 明确用于承载未在其他结构中显式表达的自由文本，可用于临时/客户化补充信息。</t>
  </si>
  <si>
    <t>InvoiceLine</t>
  </si>
  <si>
    <t>t_invoice_itemssuccess</t>
  </si>
  <si>
    <t>发票明细表</t>
  </si>
  <si>
    <t>发票明细表主键ID</t>
  </si>
  <si>
    <t>此发票行（Invoice Line）的全局唯一标识符（UUID）。</t>
  </si>
  <si>
    <t>Invoice/cac:InvoiceLine/cbc:UUID</t>
  </si>
  <si>
    <t>输入定义强调“系统内唯一记录标识”；InvoiceLine 的 UUID 与“主键/唯一ID”最贴近。</t>
  </si>
  <si>
    <t>fentryid</t>
  </si>
  <si>
    <t>发票流水号</t>
  </si>
  <si>
    <t>输入强调“追踪生成/交付/处理链路”；ProfileExecutionID 明确用于关联同一协作/执行实例下的交易，最像“链路流水号”。</t>
  </si>
  <si>
    <t>Line_ID</t>
  </si>
  <si>
    <t>标识符</t>
  </si>
  <si>
    <t>行号&lt;br&gt;Line ID&lt;br&gt;Item No.</t>
  </si>
  <si>
    <t>发票行的唯一标识符</t>
  </si>
  <si>
    <t>通常为自增数字（1, 2, 3...），不可重复</t>
  </si>
  <si>
    <t>Invoice/cac:InvoiceLine/cbc:ID</t>
  </si>
  <si>
    <t>Line_Note</t>
  </si>
  <si>
    <t>行备注&lt;br&gt;Note&lt;br&gt;Comment</t>
  </si>
  <si>
    <t>发票行级的备注信息</t>
  </si>
  <si>
    <t>自由文本，用于记录行级特殊说明</t>
  </si>
  <si>
    <t>Invoice/cac:InvoiceLine/cbc:Note</t>
  </si>
  <si>
    <t>Promotion item</t>
  </si>
  <si>
    <t>InvoicedQuantity</t>
  </si>
  <si>
    <t>Line_InvoicedQuantity</t>
  </si>
  <si>
    <t>数量</t>
  </si>
  <si>
    <t>开票数量&lt;br&gt;Quantity&lt;br&gt;Qty</t>
  </si>
  <si>
    <t>物品的实际开票数量</t>
  </si>
  <si>
    <t>必须为正数，退货单可为负数（但在 CreditNote 中通常也为正）</t>
  </si>
  <si>
    <t>Invoice/cac:InvoiceLine/cbc:InvoicedQuantity</t>
  </si>
  <si>
    <t>fnum</t>
  </si>
  <si>
    <t>InvoicedQuantity.unitCode</t>
  </si>
  <si>
    <t>Line_InvoicedQuantity_UnitCode</t>
  </si>
  <si>
    <t>计量单位</t>
  </si>
  <si>
    <t>单位&lt;br&gt;UoM&lt;br&gt;Unit Code</t>
  </si>
  <si>
    <t>物品数量的计量单位代码</t>
  </si>
  <si>
    <t>必须符合 UN/ECE Rec 20 标准代码表 (如 C62=个, KGM=千克)</t>
  </si>
  <si>
    <t>Invoice/cac:InvoiceLine/cbc:InvoicedQuantity/@unitCode</t>
  </si>
  <si>
    <t>C62</t>
  </si>
  <si>
    <t>funit</t>
  </si>
  <si>
    <t>LineExtensionAmount</t>
  </si>
  <si>
    <t>Line_AmtExcl</t>
  </si>
  <si>
    <t>明细行金额（不含税）</t>
  </si>
  <si>
    <t>行净额&lt;br&gt;Net Amount&lt;br&gt;Line Amount</t>
  </si>
  <si>
    <t>该行的净额（数量 * 单价 - 行级折扣）</t>
  </si>
  <si>
    <t>必须保留两位小数，不包含税额</t>
  </si>
  <si>
    <t>Invoice/cac:InvoiceLine/cbc:LineExtensionAmount</t>
  </si>
  <si>
    <t>LineExtensionAmount.currencyID</t>
  </si>
  <si>
    <t>Line_AmtExcl_CurrID</t>
  </si>
  <si>
    <t>明细行金额币种</t>
  </si>
  <si>
    <t>金额货币代码</t>
  </si>
  <si>
    <t>Invoice/cac:InvoiceLine/cbc:LineExtensionAmount/@currencyID</t>
  </si>
  <si>
    <t>Item</t>
  </si>
  <si>
    <t>Line_Item</t>
  </si>
  <si>
    <t>货品/项目</t>
  </si>
  <si>
    <t>商品详情&lt;br&gt;Item&lt;br&gt;Product</t>
  </si>
  <si>
    <t>具体的商品或服务详情聚合类</t>
  </si>
  <si>
    <t>必须包含商品名称或标识</t>
  </si>
  <si>
    <t>Invoice/cac:InvoiceLine/cac:Item</t>
  </si>
  <si>
    <t>Description</t>
  </si>
  <si>
    <t>Line_Item_Desc</t>
  </si>
  <si>
    <t>描述</t>
  </si>
  <si>
    <t>规格型号&lt;br&gt;Description&lt;br&gt;Spec</t>
  </si>
  <si>
    <t>商品描述或规格型号</t>
  </si>
  <si>
    <t>自由文本，用于描述商品特征</t>
  </si>
  <si>
    <t>Invoice/cac:InvoiceLine/cac:Item/cbc:Description</t>
  </si>
  <si>
    <t>红色, XL码</t>
  </si>
  <si>
    <t>Line_Item_Name</t>
  </si>
  <si>
    <t>名称</t>
  </si>
  <si>
    <t>商品名称&lt;br&gt;Product Name</t>
  </si>
  <si>
    <t>商品或服务的名称</t>
  </si>
  <si>
    <t>必填项，清晰描述商品内容</t>
  </si>
  <si>
    <t>Invoice/cac:InvoiceLine/cac:Item/cbc:Name</t>
  </si>
  <si>
    <t>办公椅</t>
  </si>
  <si>
    <t>BuyersItemIdentification</t>
  </si>
  <si>
    <t>Line_Item_BuyersItemId</t>
  </si>
  <si>
    <t>买方商品</t>
  </si>
  <si>
    <t>买方物料&lt;br&gt;Buyer Item ID</t>
  </si>
  <si>
    <t>买方视角定义的商品标识信息</t>
  </si>
  <si>
    <t>用于买方系统自动对账</t>
  </si>
  <si>
    <t>Invoice/cac:InvoiceLine/cac:Item/cac:BuyersItemIdentification</t>
  </si>
  <si>
    <t>ItemIdentification</t>
  </si>
  <si>
    <t>BuyersItemIdentification.ID</t>
  </si>
  <si>
    <t>Line_BuyersItemIdentification_ID</t>
  </si>
  <si>
    <t>买方商品编号</t>
  </si>
  <si>
    <t>买方料号&lt;br&gt;SKU (Buyer)</t>
  </si>
  <si>
    <t>买方内部的物料编号</t>
  </si>
  <si>
    <t>字符串</t>
  </si>
  <si>
    <t>Invoice/cac:InvoiceLine/cac:Item/cac:BuyersItemIdentification/cbc:ID</t>
  </si>
  <si>
    <t>BUY-001</t>
  </si>
  <si>
    <t>SellersItemIdentification</t>
  </si>
  <si>
    <t>Line_Item_SellersItemId</t>
  </si>
  <si>
    <t>卖方商品</t>
  </si>
  <si>
    <t>卖方物料&lt;br&gt;Seller Item ID</t>
  </si>
  <si>
    <t>卖方视角定义的商品标识信息</t>
  </si>
  <si>
    <t>用于卖方库存管理</t>
  </si>
  <si>
    <t>Invoice/cac:InvoiceLine/cac:Item/cac:SellersItemIdentification</t>
  </si>
  <si>
    <t>SellersItemIdentification.ID</t>
  </si>
  <si>
    <t>Line_SellersItemIdentification_ID</t>
  </si>
  <si>
    <t>卖方商品编号</t>
  </si>
  <si>
    <t>货号&lt;br&gt;SKU (Seller)</t>
  </si>
  <si>
    <t>卖方内部的SKU或货号</t>
  </si>
  <si>
    <t>Invoice/cac:InvoiceLine/cac:Item/cac:SellersItemIdentification/cbc:ID</t>
  </si>
  <si>
    <t>SELL-123</t>
  </si>
  <si>
    <t>SellersItemIdentification.ExtendedID</t>
  </si>
  <si>
    <t>Line_SellersItemIdentification_ExtID</t>
  </si>
  <si>
    <t>卖方商品编号扩展</t>
  </si>
  <si>
    <t>扩展货号&lt;br&gt;Extended ID</t>
  </si>
  <si>
    <t>卖方商品编号的扩展信息</t>
  </si>
  <si>
    <t>用于更细粒度的SKU变体标识</t>
  </si>
  <si>
    <t>Invoice/cac:InvoiceLine/cac:Item/cac:SellersItemIdentification/cbc:ExtendedID</t>
  </si>
  <si>
    <t>SELL-123-RED</t>
  </si>
  <si>
    <t>ManufacturersItemIdentification</t>
  </si>
  <si>
    <t>Line_Item_MfrItmId</t>
  </si>
  <si>
    <t>生产商商品</t>
  </si>
  <si>
    <t>制造商物料&lt;br&gt;Manufacturer ID</t>
  </si>
  <si>
    <t>制造商视角定义的商品标识信息</t>
  </si>
  <si>
    <t>用于供应链追溯</t>
  </si>
  <si>
    <t>Invoice/cac:InvoiceLine/cac:Item/cac:ManufacturersItemIdentification</t>
  </si>
  <si>
    <t>ManufacturersItemIdentification.ID</t>
  </si>
  <si>
    <t>Line_MfrItmId_ID</t>
  </si>
  <si>
    <t>生产商商品编号</t>
  </si>
  <si>
    <t>制造商型号&lt;br&gt;MPN</t>
  </si>
  <si>
    <t>制造商的产品编号或型号</t>
  </si>
  <si>
    <t>Invoice/cac:InvoiceLine/cac:Item/cac:ManufacturersItemIdentification/cbc:ID</t>
  </si>
  <si>
    <t>MFG-999</t>
  </si>
  <si>
    <t>StandardItemIdentification</t>
  </si>
  <si>
    <t>Line_Item_StandardItemId</t>
  </si>
  <si>
    <t>标准商品</t>
  </si>
  <si>
    <t>标准编码&lt;br&gt;Standard ID</t>
  </si>
  <si>
    <t>基于国际标准的商品标识信息</t>
  </si>
  <si>
    <t>如 GTIN, EAN, UPC</t>
  </si>
  <si>
    <t>Invoice/cac:InvoiceLine/cac:Item/cac:StandardItemIdentification</t>
  </si>
  <si>
    <t>StandardItemIdentification.ID</t>
  </si>
  <si>
    <t>Line_StandardItemId_ID</t>
  </si>
  <si>
    <t>标准商品编号</t>
  </si>
  <si>
    <t>条形码&lt;br&gt;Barcode&lt;br&gt;GTIN</t>
  </si>
  <si>
    <t>全球标准商品代码</t>
  </si>
  <si>
    <t>必须符合特定标准格式（如13位数字）</t>
  </si>
  <si>
    <t>Invoice/cac:InvoiceLine/cac:Item/cac:StandardItemIdentification/cbc:ID</t>
  </si>
  <si>
    <t>StandardItemIdentification.ID.schemeID</t>
  </si>
  <si>
    <t>Line_ID_schemeID</t>
  </si>
  <si>
    <t>标准商品编号类型</t>
  </si>
  <si>
    <t>编码类型&lt;br&gt;Scheme ID</t>
  </si>
  <si>
    <t>标识使用的标准体系</t>
  </si>
  <si>
    <t>如 GTIN, EAN</t>
  </si>
  <si>
    <t>Invoice/cac:InvoiceLine/cac:Item/cac:StandardItemIdentification/cbc:ID/@schemeID</t>
  </si>
  <si>
    <t>GTIN</t>
  </si>
  <si>
    <t>OriginCountry</t>
  </si>
  <si>
    <t>Line_Item_OriginCountry</t>
  </si>
  <si>
    <t>原产国</t>
  </si>
  <si>
    <t>产地&lt;br&gt;Origin</t>
  </si>
  <si>
    <t>商品的原产国信息</t>
  </si>
  <si>
    <t>用于海关申报或贸易合规</t>
  </si>
  <si>
    <t>Invoice/cac:InvoiceLine/cac:Item/cac:OriginCountry</t>
  </si>
  <si>
    <t>OriginCountry.IdentificationCode</t>
  </si>
  <si>
    <t>Line_OriginCountry_Code</t>
  </si>
  <si>
    <t>原产国代码</t>
  </si>
  <si>
    <t>产地代码&lt;br&gt;Origin Code</t>
  </si>
  <si>
    <t>原产国的 ISO 国家代码</t>
  </si>
  <si>
    <t>必须符合 ISO 3166-1 Alpha-2 标准</t>
  </si>
  <si>
    <t>Invoice/cac:InvoiceLine/cac:Item/cac:OriginCountry/cbc:IdentificationCode</t>
  </si>
  <si>
    <t>CommodityInvoice/cac:Delivery/cac:Shipment/cac:OriginAddress</t>
  </si>
  <si>
    <t>Line_Item_CommodityCls</t>
  </si>
  <si>
    <t>商品分类</t>
  </si>
  <si>
    <t>税收分类&lt;br&gt;Classification</t>
  </si>
  <si>
    <t>商品的分类信息 (如 HS Code, CPV)</t>
  </si>
  <si>
    <t>用于统计或税务分类编码</t>
  </si>
  <si>
    <t>Invoice/cac:InvoiceLine/cac:Item/cac:CommodityClassification</t>
  </si>
  <si>
    <t>CommodityClassification</t>
  </si>
  <si>
    <t>CommodityClassification.ItemClassificationCode</t>
  </si>
  <si>
    <t>Line_CommodityCls_ItemClsCode</t>
  </si>
  <si>
    <t>商品分类代码</t>
  </si>
  <si>
    <t>税收编码&lt;br&gt;Class Code</t>
  </si>
  <si>
    <t>具体的分类代码值</t>
  </si>
  <si>
    <t>如中国税收分类编码（19位数字）或 HS Code</t>
  </si>
  <si>
    <t>Invoice/cac:InvoiceLine/cac:Item/cac:CommodityClassification/cbc:ItemClassificationCode</t>
  </si>
  <si>
    <t>CommodityClassification.ItemClassificationCode.listID</t>
  </si>
  <si>
    <t>Line_ItemCode_listID</t>
  </si>
  <si>
    <t>分类列表标识</t>
  </si>
  <si>
    <t>编码版本&lt;br&gt;List ID</t>
  </si>
  <si>
    <t>标识使用的代码表体系</t>
  </si>
  <si>
    <t>如 "SRV" (中国税收分类), "HS" (海关编码)</t>
  </si>
  <si>
    <t>Invoice/cac:InvoiceLine/cac:Item/cac:CommodityClassification/cbc:ItemClassificationCode/@listID</t>
  </si>
  <si>
    <t>SRV</t>
  </si>
  <si>
    <t>CommodityClassification.ItemClassificationCode.listVersionID</t>
  </si>
  <si>
    <t>Line_ItemCode_listVersionID</t>
  </si>
  <si>
    <t>分类列表版本标识</t>
  </si>
  <si>
    <t>版本号&lt;br&gt;Version</t>
  </si>
  <si>
    <t>代码表的版本号</t>
  </si>
  <si>
    <t>标识分类编码的版本，如 35.0</t>
  </si>
  <si>
    <t>Invoice/cac:InvoiceLine/cac:Item/cac:CommodityClassification/cbc:ItemClassificationCode/@listVersionID</t>
  </si>
  <si>
    <t>ClassifiedTaxCategory</t>
  </si>
  <si>
    <t>Line_Item_ClassifiedTaxCat</t>
  </si>
  <si>
    <t>分类税类</t>
  </si>
  <si>
    <t>商品税类&lt;br&gt;Tax Category</t>
  </si>
  <si>
    <t>商品适用的税类信息</t>
  </si>
  <si>
    <t>关联到具体的税率和税收类别</t>
  </si>
  <si>
    <t>Invoice/cac:InvoiceLine/cac:Item/cac:ClassifiedTaxCategory</t>
  </si>
  <si>
    <t>ClassifiedTaxCategory.ID</t>
  </si>
  <si>
    <t>Line_TaxCat_ID</t>
  </si>
  <si>
    <t>税类代码&lt;br&gt;Category ID</t>
  </si>
  <si>
    <t>税类代码 (S, Z, E 等)</t>
  </si>
  <si>
    <t>Invoice/cac:InvoiceLine/cac:Item/cac:ClassifiedTaxCategory/cbc:ID</t>
  </si>
  <si>
    <t>ClassifiedTaxCategory.ID.schemeID</t>
  </si>
  <si>
    <t>Line_TaxCat_ID_schemeID</t>
  </si>
  <si>
    <t>税码方案</t>
  </si>
  <si>
    <t>方案ID&lt;br&gt;Scheme ID</t>
  </si>
  <si>
    <t>税类代码方案标识</t>
  </si>
  <si>
    <t>通常为 UN/ECE 5305</t>
  </si>
  <si>
    <t>Invoice/cac:InvoiceLine/cac:Item/cac:ClassifiedTaxCategory/cbc:ID/@schemeID</t>
  </si>
  <si>
    <t>UNCL5305</t>
  </si>
  <si>
    <t>ClassifiedTaxCategory.Percent</t>
  </si>
  <si>
    <t>Line_TaxCat_Pct</t>
  </si>
  <si>
    <t>税率&lt;br&gt;Vat Rate</t>
  </si>
  <si>
    <t>适用税率百分比</t>
  </si>
  <si>
    <t>Invoice/cac:InvoiceLine/cac:Item/cac:ClassifiedTaxCategory/cbc:Percent</t>
  </si>
  <si>
    <t>ClassifiedTaxCategoryTaxExemptionReasonCode</t>
  </si>
  <si>
    <t>Line_TaxCat_ExemptRsnCode</t>
  </si>
  <si>
    <t>仅适用于免税商品，需符合相关代码表</t>
  </si>
  <si>
    <t>Invoice/cac:InvoiceLine/cac:Item/cac:ClassifiedTaxCategory/cbc:TaxExemptionReasonCode</t>
  </si>
  <si>
    <t>ClassifiedTaxCategory.TaxExemptionReason</t>
  </si>
  <si>
    <t>Line_TaxCat_ExemptRsn</t>
  </si>
  <si>
    <t>Invoice/cac:InvoiceLine/cac:Item/cac:ClassifiedTaxCategory/cbc:TaxExemptionReason</t>
  </si>
  <si>
    <t>ClassifiedTaxCategory.TaxScheme.ID</t>
  </si>
  <si>
    <t>Line_TaxScheme_ID</t>
  </si>
  <si>
    <t>税种代码&lt;br&gt;Tax Type</t>
  </si>
  <si>
    <t>税种代码</t>
  </si>
  <si>
    <t>通常为 VAT</t>
  </si>
  <si>
    <t>Invoice/cac:InvoiceLine/cac:Item/cac:ClassifiedTaxCategory/cac:TaxScheme/cbc:ID</t>
  </si>
  <si>
    <t>AdditionalItemProperty</t>
  </si>
  <si>
    <t>Line_Item_AddlItemProperty</t>
  </si>
  <si>
    <t>商品属性</t>
  </si>
  <si>
    <t>扩展属性&lt;br&gt;Properties</t>
  </si>
  <si>
    <t>额外的商品名值对属性</t>
  </si>
  <si>
    <t>用于描述商品的非标准特征（如颜色、尺寸）</t>
  </si>
  <si>
    <t>Invoice/cac:InvoiceLine/cac:Item/cac:AdditionalItemProperty</t>
  </si>
  <si>
    <t>ItemProperty</t>
  </si>
  <si>
    <t>AdditionalItemProperty.Name</t>
  </si>
  <si>
    <t>Line_AddlItemProperty_Name</t>
  </si>
  <si>
    <t>属性名</t>
  </si>
  <si>
    <t>特征名&lt;br&gt;Property Name</t>
  </si>
  <si>
    <t>属性的名称</t>
  </si>
  <si>
    <t>字符串，如 "Color"</t>
  </si>
  <si>
    <t>Invoice/cac:InvoiceLine/cac:Item/cac:AdditionalItemProperty/cbc:Name</t>
  </si>
  <si>
    <t>Color</t>
  </si>
  <si>
    <t>AdditionalItemProperty.Value</t>
  </si>
  <si>
    <t>Line_AddlItemProperty_Value</t>
  </si>
  <si>
    <t>属性值</t>
  </si>
  <si>
    <t>特征值&lt;br&gt;Property Value</t>
  </si>
  <si>
    <t>属性的值</t>
  </si>
  <si>
    <t>字符串，如 "Red"</t>
  </si>
  <si>
    <t>Invoice/cac:InvoiceLine/cac:Item/cac:AdditionalItemProperty/cbc:Value</t>
  </si>
  <si>
    <t>Red</t>
  </si>
  <si>
    <t>ItemInstance</t>
  </si>
  <si>
    <t>Line_Item_ItemInstance</t>
  </si>
  <si>
    <t>商品实例</t>
  </si>
  <si>
    <t>单品&lt;br&gt;Instance</t>
  </si>
  <si>
    <t>具体的商品单品实例信息</t>
  </si>
  <si>
    <t>用于追踪单件商品（序列号、批次）</t>
  </si>
  <si>
    <t>Invoice/cac:InvoiceLine/cac:Item/cac:ItemInstance</t>
  </si>
  <si>
    <t>ItemInstance.ManufactureDate</t>
  </si>
  <si>
    <t>Line_ItemInstance_ManufactureDate</t>
  </si>
  <si>
    <t>生产日期</t>
  </si>
  <si>
    <t>制造日期&lt;br&gt;Mfg Date</t>
  </si>
  <si>
    <t>商品制造日期</t>
  </si>
  <si>
    <t>格式 YYYY-MM-DD</t>
  </si>
  <si>
    <t>Invoice/cac:InvoiceLine/cac:Item/cac:ItemInstance/cbc:ManufactureDate</t>
  </si>
  <si>
    <t>2023/05/20</t>
  </si>
  <si>
    <t>ItemInstance.BestBeforeDate</t>
  </si>
  <si>
    <t>Line_ItemInstance_BestBeforeDate</t>
  </si>
  <si>
    <t>保质期至</t>
  </si>
  <si>
    <t>截止使用日期&lt;br&gt;Expiry Date</t>
  </si>
  <si>
    <t>最佳使用日期</t>
  </si>
  <si>
    <t>Invoice/cac:InvoiceLine/cac:Item/cac:ItemInstance/cbc:BestBeforeDate</t>
  </si>
  <si>
    <t>2024/05/20</t>
  </si>
  <si>
    <t>ItemInstance.SerialID</t>
  </si>
  <si>
    <t>Line_ItemInstance_SerialID</t>
  </si>
  <si>
    <t>序列号</t>
  </si>
  <si>
    <t>SN码&lt;br&gt;Serial No.</t>
  </si>
  <si>
    <t>单品序列号</t>
  </si>
  <si>
    <t>唯一标识单件商品</t>
  </si>
  <si>
    <t>Invoice/cac:InvoiceLine/cac:Item/cac:ItemInstance/cbc:SerialID</t>
  </si>
  <si>
    <t>SN-20230520-001</t>
  </si>
  <si>
    <t>LotIdentification</t>
  </si>
  <si>
    <t>ItemInstance.LotIdentification.LotNumberID</t>
  </si>
  <si>
    <t>Line_LotId_LotNumberID</t>
  </si>
  <si>
    <t>批次号</t>
  </si>
  <si>
    <t>批号&lt;br&gt;Lot No.</t>
  </si>
  <si>
    <t>商品批次编号</t>
  </si>
  <si>
    <t>标识同一批次生产的商品</t>
  </si>
  <si>
    <t>Invoice/cac:InvoiceLine/cac:Item/cac:ItemInstance/cac:LotIdentification/cbc:LotNumberID</t>
  </si>
  <si>
    <t>LOT-2305</t>
  </si>
  <si>
    <t>ItemInstance.LotIdentification.ExpiryDate</t>
  </si>
  <si>
    <t>Line_LotIdentification_ExpiryDate</t>
  </si>
  <si>
    <t>批次过期日期</t>
  </si>
  <si>
    <t>批次有效期&lt;br&gt;Lot Expiry</t>
  </si>
  <si>
    <t>批次的过期时间</t>
  </si>
  <si>
    <t>Invoice/cac:InvoiceLine/cac:Item/cac:ItemInstance/cac:LotIdentification/cbc:ExpiryDate</t>
  </si>
  <si>
    <t>2025/01/01</t>
  </si>
  <si>
    <t>Price</t>
  </si>
  <si>
    <t>Line_Price</t>
  </si>
  <si>
    <t>单价信息</t>
  </si>
  <si>
    <t>价格详情&lt;br&gt;Price Details</t>
  </si>
  <si>
    <t>商品的价格详情</t>
  </si>
  <si>
    <t>通常指不含税单价</t>
  </si>
  <si>
    <t>Invoice/cac:InvoiceLine/cac:Price</t>
  </si>
  <si>
    <t>PriceAmount</t>
  </si>
  <si>
    <t>Line_Price_UnitPrice</t>
  </si>
  <si>
    <t>单价金额</t>
  </si>
  <si>
    <t>单价&lt;br&gt;Unit Price</t>
  </si>
  <si>
    <t>不含税单价</t>
  </si>
  <si>
    <t>必须为正数，通常保留多位小数以保证精度</t>
  </si>
  <si>
    <t>Invoice/cac:InvoiceLine/cac:Price/cbc:PriceAmount</t>
  </si>
  <si>
    <t>PriceAmount.currencyID</t>
  </si>
  <si>
    <t>Line_UnitPrice_CurrID</t>
  </si>
  <si>
    <t>单价金额币种</t>
  </si>
  <si>
    <t>单价货币代码</t>
  </si>
  <si>
    <t>Invoice/cac:InvoiceLine/cac:Price/cbc:PriceAmount/@currencyID</t>
  </si>
  <si>
    <t>BaseQuantity</t>
  </si>
  <si>
    <t>Line_Price_BaseQuantity</t>
  </si>
  <si>
    <t>基础数量</t>
  </si>
  <si>
    <t>计价单位数量&lt;br&gt;Base Qty</t>
  </si>
  <si>
    <t>单价对应的单位数量（如每1个，每10个）</t>
  </si>
  <si>
    <t>默认为1，若单价为“每10个的价格”则填10</t>
  </si>
  <si>
    <t>Invoice/cac:InvoiceLine/cac:Price/cbc:BaseQuantity</t>
  </si>
  <si>
    <t>BaseQuantity.unitCode</t>
  </si>
  <si>
    <t>Line_BaseQuantity_unitCode</t>
  </si>
  <si>
    <t>基础数量单位代码</t>
  </si>
  <si>
    <t>单位&lt;br&gt;Unit</t>
  </si>
  <si>
    <t>单位代码</t>
  </si>
  <si>
    <t>必须符合 UN/ECE Rec 20 标准</t>
  </si>
  <si>
    <t>Invoice/cac:InvoiceLine/cac:Price/cbc:BaseQuantity/@unitCode</t>
  </si>
  <si>
    <t>Line_Price_AlwChg</t>
  </si>
  <si>
    <t>折扣或附加费用</t>
  </si>
  <si>
    <t>单价调整&lt;br&gt;Price Adjustment</t>
  </si>
  <si>
    <t>包含在单价中的折扣/费用</t>
  </si>
  <si>
    <t>用于说明单价的构成（如目录价减折扣后的净单价）</t>
  </si>
  <si>
    <t>Invoice/cac:InvoiceLine/cac:Price/cac:AllowanceCharge</t>
  </si>
  <si>
    <t>AllowanceCharge.ChargeIndicator</t>
  </si>
  <si>
    <t>Line_Price_AlwChg_ChargeIndicator</t>
  </si>
  <si>
    <t>费用指示</t>
  </si>
  <si>
    <t>类型标记&lt;br&gt;Indicator</t>
  </si>
  <si>
    <t>指示是否为收费</t>
  </si>
  <si>
    <t>true=收费(Surcharge), false=折扣(Discount)</t>
  </si>
  <si>
    <t>Invoice/cac:InvoiceLine/cac:Price/cac:AllowanceCharge/cbc:ChargeIndicator</t>
  </si>
  <si>
    <t>AllowanceCharge.Amount</t>
  </si>
  <si>
    <t>Line_Price_AlwChg_Amt</t>
  </si>
  <si>
    <t>调整额&lt;br&gt;Adjustment Amount</t>
  </si>
  <si>
    <t>包含在价格中的折扣金额</t>
  </si>
  <si>
    <t>Invoice/cac:InvoiceLine/cac:Price/cac:AllowanceCharge/cbc:Amount</t>
  </si>
  <si>
    <t>AllowanceCharge.Amount.currencyID</t>
  </si>
  <si>
    <t>Line_Price_AlwChg_Amt_CurrID</t>
  </si>
  <si>
    <t>货币代码&lt;br&gt;Currency ID</t>
  </si>
  <si>
    <t>折扣或收费金额的货币单位</t>
  </si>
  <si>
    <t>必须符合 ISO 4217 货币代码标准，且通常与发票主币种一致</t>
  </si>
  <si>
    <t>code</t>
  </si>
  <si>
    <t>Invoice/cac:InvoiceLine/cac:Price/cac:AllowanceCharge/cbc:Amount/@currencyID</t>
  </si>
  <si>
    <t>淑琪</t>
  </si>
  <si>
    <t>AllowanceCharge.BaseAmount</t>
  </si>
  <si>
    <t>Line_Price_AlwChg_BaseAmt</t>
  </si>
  <si>
    <t>基数金额&lt;br&gt;Base Amount</t>
  </si>
  <si>
    <t>计算折扣或收费的基准金额（在应用比率之前）</t>
  </si>
  <si>
    <t>必须为正数，保留两位小数</t>
  </si>
  <si>
    <t>Invoice/cac:InvoiceLine/cac:Price/cac:AllowanceCharge/cbc:BaseAmount</t>
  </si>
  <si>
    <t>AllowanceCharge.BaseAmount.currencyID</t>
  </si>
  <si>
    <t>Line_Price_AlwChg_BaseAmt_CurrID</t>
  </si>
  <si>
    <t>基数币种&lt;br&gt;Base Currency</t>
  </si>
  <si>
    <t>基础金额的货币单位</t>
  </si>
  <si>
    <t>必须符合 ISO 4217 货币代码标准</t>
  </si>
  <si>
    <t>Invoice/cac:InvoiceLine/cac:Price/cac:AllowanceCharge/cbc:BaseAmount/@currencyID</t>
  </si>
  <si>
    <t>Line_AlwChg</t>
  </si>
  <si>
    <t>折扣/附加费</t>
  </si>
  <si>
    <t>行级调整&lt;br&gt;Line Allowance</t>
  </si>
  <si>
    <t>行级的折扣及附加费用信息</t>
  </si>
  <si>
    <t>可多次出现，用于调整该行的最终金额</t>
  </si>
  <si>
    <t>Invoice/cac:InvoiceLine/cac:AllowanceCharge</t>
  </si>
  <si>
    <t>Line_AlwChg_ChargeIndicator</t>
  </si>
  <si>
    <t>指示是费用 (true) 还是折扣 (false)</t>
  </si>
  <si>
    <t>true = 收费 (Charge), false = 折扣 (Allowance)</t>
  </si>
  <si>
    <t>Invoice/cac:InvoiceLine/cac:AllowanceCharge/cbc:ChargeIndicator</t>
  </si>
  <si>
    <t>Line_AlwChg_AlwChgReasonCode</t>
  </si>
  <si>
    <t>折扣/收费原因</t>
  </si>
  <si>
    <t>费用或折扣的原因代码</t>
  </si>
  <si>
    <t>Invoice/cac:InvoiceLine/cac:AllowanceCharge/cbc:AllowanceChargeReasonCode</t>
  </si>
  <si>
    <t>Line_AlwChg_AlwChgReason</t>
  </si>
  <si>
    <t>折扣/收费原因说明</t>
  </si>
  <si>
    <t>费用或折扣原因的文本描述</t>
  </si>
  <si>
    <t>自由文本，用于补充说明调整原因</t>
  </si>
  <si>
    <t>Invoice/cac:InvoiceLine/cac:AllowanceCharge/cbc:AllowanceChargeReason</t>
  </si>
  <si>
    <t>Promotion</t>
  </si>
  <si>
    <t>Line_AlwChg_MulNumeric</t>
  </si>
  <si>
    <t>比例</t>
  </si>
  <si>
    <t>百分比&lt;br&gt;Percentage</t>
  </si>
  <si>
    <t>费用或折扣计算的百分比因子</t>
  </si>
  <si>
    <t>如 10% 应填写为 10，用于计算 Amount</t>
  </si>
  <si>
    <t>Invoice/cac:InvoiceLine/cac:AllowanceCharge/cbc:MultiplierFactorNumeric</t>
  </si>
  <si>
    <t>Line_AlwChg_Amt</t>
  </si>
  <si>
    <t>费用或折扣的具体金额</t>
  </si>
  <si>
    <t>必须为正数，是加是减由 Indicator 决定</t>
  </si>
  <si>
    <t>Invoice/cac:InvoiceLine/cac:AllowanceCharge/cbc:Amount</t>
  </si>
  <si>
    <t>Line_AlwChg_Amt_CurrID</t>
  </si>
  <si>
    <t>费用或折扣金额的货币代码</t>
  </si>
  <si>
    <t>Invoice/cac:InvoiceLine/cac:AllowanceCharge/cbc:Amount/@currencyID</t>
  </si>
  <si>
    <t>Line_AlwChg_BaseAmt</t>
  </si>
  <si>
    <t>计算费用或折扣的基准金额</t>
  </si>
  <si>
    <t>必须为正数，通常为行金额 (LineExtensionAmount)</t>
  </si>
  <si>
    <t>Invoice/cac:InvoiceLine/cac:AllowanceCharge/cbc:BaseAmount</t>
  </si>
  <si>
    <t>Line_AlwChg_BaseAmt_CurrID</t>
  </si>
  <si>
    <t>基数币种&lt;br&gt;Currency</t>
  </si>
  <si>
    <t>基准金额的货币代码</t>
  </si>
  <si>
    <t>Invoice/cac:InvoiceLine/cac:AllowanceCharge/cbc:BaseAmount/@currencyID</t>
  </si>
  <si>
    <t>Line_TaxTotal</t>
  </si>
  <si>
    <t>税款总额</t>
  </si>
  <si>
    <t>行级税额&lt;br&gt;Line Tax Total</t>
  </si>
  <si>
    <t>该发票行的税款汇总信息</t>
  </si>
  <si>
    <t>必须针对该行涉及的所有税种进行汇总</t>
  </si>
  <si>
    <t>Invoice/cac:InvoiceLine/cac:TaxTotal</t>
  </si>
  <si>
    <t>Line_TaxTotal_Amt</t>
  </si>
  <si>
    <t>税金金额</t>
  </si>
  <si>
    <t>行税额&lt;br&gt;Tax Amount</t>
  </si>
  <si>
    <t>该行的总税额</t>
  </si>
  <si>
    <t>必须等于下级 TaxSubtotal/TaxAmount 之和</t>
  </si>
  <si>
    <t>Invoice/cac:InvoiceLine/cac:TaxTotal/cbc:TaxAmount</t>
  </si>
  <si>
    <t>Line_TaxTotal_Amt_CurrID</t>
  </si>
  <si>
    <t>税金币种</t>
  </si>
  <si>
    <t>总税额货币代码</t>
  </si>
  <si>
    <t>Invoice/cac:InvoiceLine/cac:TaxTotal/cbc:TaxAmount/@currencyID</t>
  </si>
  <si>
    <t>Line_TaxTotal_Sub</t>
  </si>
  <si>
    <t>税收明细&lt;br&gt;Tax Subtotal</t>
  </si>
  <si>
    <t>按税率/类别区分的税收明细</t>
  </si>
  <si>
    <t>针对该行的每种税率生成一个子项</t>
  </si>
  <si>
    <t>Invoice/cac:InvoiceLine/cac:TaxTotal/cac:TaxSubtotal</t>
  </si>
  <si>
    <t>Line_TaxSub_TaxableAmt</t>
  </si>
  <si>
    <t>应税金额</t>
  </si>
  <si>
    <t>计税基数&lt;br&gt;Taxable Amount</t>
  </si>
  <si>
    <t>必须为正数，通常等于行净额</t>
  </si>
  <si>
    <t>Invoice/cac:InvoiceLine/cac:TaxTotal/cac:TaxSubtotal/cbc:TaxableAmount</t>
  </si>
  <si>
    <t>TaxSubtotal.TaxableAmount.currencyID</t>
  </si>
  <si>
    <t>Line_TaxSub_TaxableAmt_CurrID</t>
  </si>
  <si>
    <t>应税金额的货币代码</t>
  </si>
  <si>
    <t>Invoice/cac:InvoiceLine/cac:TaxTotal/cac:TaxSubtotal/cbc:TaxableAmount/@currencyID</t>
  </si>
  <si>
    <t>Line_TaxSub_TaxAmt</t>
  </si>
  <si>
    <t>分类税额&lt;br&gt;Subtotal Tax</t>
  </si>
  <si>
    <t>该税率下的计算税额</t>
  </si>
  <si>
    <t>等于 TaxableAmount * Percent</t>
  </si>
  <si>
    <t>Invoice/cac:InvoiceLine/cac:TaxTotal/cac:TaxSubtotal/cbc:TaxAmount</t>
  </si>
  <si>
    <t>Line_TaxSub_TaxAmt_CurrID</t>
  </si>
  <si>
    <t>税额的货币代码</t>
  </si>
  <si>
    <t>Invoice/cac:InvoiceLine/cac:TaxTotal/cac:TaxSubtotal/cbc:TaxAmount/@currencyID</t>
  </si>
  <si>
    <t>Line_TaxSub_TaxCat_ID</t>
  </si>
  <si>
    <t>税码&lt;br&gt;Category ID</t>
  </si>
  <si>
    <t>标识税类别的代码 (S, Z, E)</t>
  </si>
  <si>
    <t>Invoice/cac:InvoiceLine/cac:TaxTotal/cac:TaxSubtotal/cac:TaxCategory/cbc:ID</t>
  </si>
  <si>
    <t>Line_TaxSub_TaxCat_Pct</t>
  </si>
  <si>
    <t>Invoice/cac:InvoiceLine/cac:TaxTotal/cac:TaxSubtotal/cac:TaxCategory/cbc:Percent</t>
  </si>
  <si>
    <t>Line_TaxSub_TaxCat_ExemptRsnCode</t>
  </si>
  <si>
    <t>税收豁免原因代码</t>
  </si>
  <si>
    <t>Invoice/cac:InvoiceLine/cac:TaxTotal/cac:TaxSubtotal/cac:TaxCategory/cbc:TaxExemptionReasonCode</t>
  </si>
  <si>
    <t>Line_TaxSub_TaxCat_ExemptRsn</t>
  </si>
  <si>
    <t>税收豁免原因说明</t>
  </si>
  <si>
    <t>免税理由&lt;br&gt;Reason</t>
  </si>
  <si>
    <t>免税原因文本说明</t>
  </si>
  <si>
    <t>自由文本描述</t>
  </si>
  <si>
    <t>Invoice/cac:InvoiceLine/cac:TaxTotal/cac:TaxSubtotal/cac:TaxCategory/cbc:TaxExemptionReason</t>
  </si>
  <si>
    <t>Export Item</t>
  </si>
  <si>
    <t>Line_TaxSub_TaxScheme_ID</t>
  </si>
  <si>
    <t>税种标识&lt;br&gt;Tax Scheme</t>
  </si>
  <si>
    <t>税务方案标识符 (VAT/GST)</t>
  </si>
  <si>
    <t>必须遵循 UN/ECE 5153 标准代码表</t>
  </si>
  <si>
    <t>Invoice/cac:InvoiceLine/cac:TaxTotal/cac:TaxSubtotal/cac:TaxCategory/cac:TaxScheme/cbc:ID</t>
  </si>
  <si>
    <t>Line_Whld</t>
  </si>
  <si>
    <t>行级扣税&lt;br&gt;Line WH Tax</t>
  </si>
  <si>
    <t>该发票行的预扣税信息</t>
  </si>
  <si>
    <t>仅在需要行级预扣税计算时使用</t>
  </si>
  <si>
    <t>Invoice/cac:InvoiceLine/cac:WithholdingTaxTotal</t>
  </si>
  <si>
    <t>Line_Whld_Amt</t>
  </si>
  <si>
    <t>预扣税总税额</t>
  </si>
  <si>
    <t>扣税金额&lt;br&gt;WH Amount</t>
  </si>
  <si>
    <t>预扣税总金额</t>
  </si>
  <si>
    <t>Invoice/cac:InvoiceLine/cac:WithholdingTaxTotal/cbc:TaxAmount</t>
  </si>
  <si>
    <t>Line_Whld_Amt_CurrID</t>
  </si>
  <si>
    <t>税额币别</t>
  </si>
  <si>
    <t>预扣税金额的货币代码</t>
  </si>
  <si>
    <t>Invoice/cac:InvoiceLine/cac:WithholdingTaxTotal/cbc:TaxAmount/@currencyID</t>
  </si>
  <si>
    <t>Line_Whld_Sub_TaxableAmt</t>
  </si>
  <si>
    <t>应税总额</t>
  </si>
  <si>
    <t>扣税基数&lt;br&gt;WH Base</t>
  </si>
  <si>
    <t>Invoice/cac:InvoiceLine/cac:WithholdingTaxTotal/cac:TaxSubtotal/cbc:TaxableAmount</t>
  </si>
  <si>
    <t>Line_Whld_Sub_TaxableAmt_CurrID</t>
  </si>
  <si>
    <t>应税总额币别</t>
  </si>
  <si>
    <t>应税基数的货币代码</t>
  </si>
  <si>
    <t>Invoice/cac:InvoiceLine/cac:WithholdingTaxTotal/cac:TaxSubtotal/cbc:TaxableAmount/@currencyID</t>
  </si>
  <si>
    <t>Line_Whld_Sub_TaxAmt</t>
  </si>
  <si>
    <t>分类扣税&lt;br&gt;WH Subtotal</t>
  </si>
  <si>
    <t>该类别下的预扣税额</t>
  </si>
  <si>
    <t>Invoice/cac:InvoiceLine/cac:WithholdingTaxTotal/cac:TaxSubtotal/cbc:TaxAmount</t>
  </si>
  <si>
    <t>Line_Whld_Sub_TaxAmt_CurrID</t>
  </si>
  <si>
    <t>总税额币别</t>
  </si>
  <si>
    <t>预扣税额的货币代码</t>
  </si>
  <si>
    <t>Invoice/cac:InvoiceLine/cac:WithholdingTaxTotal/cac:TaxSubtotal/cbc:TaxAmount/@currencyID</t>
  </si>
  <si>
    <t>Line_Whld_Sub_TaxCat_ID</t>
  </si>
  <si>
    <t>税类代码</t>
  </si>
  <si>
    <t>扣税类别&lt;br&gt;WH Category</t>
  </si>
  <si>
    <t>预扣税类别代码</t>
  </si>
  <si>
    <t>遵循相关区域标准或自定义代码</t>
  </si>
  <si>
    <t>Invoice/cac:InvoiceLine/cac:WithholdingTaxTotal/cac:TaxSubtotal/cac:TaxCategory/cbc:ID</t>
  </si>
  <si>
    <t>Line_Whld_Sub_TaxCat_Pct</t>
  </si>
  <si>
    <t>扣税率&lt;br&gt;WH Rate</t>
  </si>
  <si>
    <t>如 10% 应填写为 10.00</t>
  </si>
  <si>
    <t>Invoice/cac:InvoiceLine/cac:WithholdingTaxTotal/cac:TaxSubtotal/cac:TaxCategory/cbc:Percent</t>
  </si>
  <si>
    <t>Line_Whld_Sub_TaxCat_ExemptRsnCode</t>
  </si>
  <si>
    <t>豁免代码&lt;br&gt;WH Exempt Code</t>
  </si>
  <si>
    <t>预扣税豁免原因代码</t>
  </si>
  <si>
    <t>Invoice/cac:InvoiceLine/cac:WithholdingTaxTotal/cac:TaxSubtotal/cac:TaxCategory/cbc:TaxExemptionReasonCode</t>
  </si>
  <si>
    <t>Line_Whld_Sub_TaxCat_ExemptRsn</t>
  </si>
  <si>
    <t>免税原因</t>
  </si>
  <si>
    <t>豁免理由&lt;br&gt;Reason</t>
  </si>
  <si>
    <t>预扣税豁免原因说明</t>
  </si>
  <si>
    <t>Invoice/cac:InvoiceLine/cac:WithholdingTaxTotal/cac:TaxSubtotal/cac:TaxCategory/cbc:TaxExemptionReason</t>
  </si>
  <si>
    <t>Line_Whld_Sub_TaxScheme_ID</t>
  </si>
  <si>
    <t>税标识</t>
  </si>
  <si>
    <t>扣税方案&lt;br&gt;WH Scheme</t>
  </si>
  <si>
    <t>通常与普通税种区分，如 IRPF</t>
  </si>
  <si>
    <t>Invoice/cac:InvoiceLine/cac:WithholdingTaxTotal/cac:TaxSubtotal/cac:TaxCategory/cac:TaxScheme/cbc:ID</t>
  </si>
  <si>
    <t>AccountingCost</t>
  </si>
  <si>
    <t>Line_AccountingCost</t>
  </si>
  <si>
    <t>会计成本</t>
  </si>
  <si>
    <t>成本中心&lt;br&gt;Cost Center</t>
  </si>
  <si>
    <t>发票行的会计参考/成本中心代码</t>
  </si>
  <si>
    <t>用于买方财务系统自动记账</t>
  </si>
  <si>
    <t>Invoice/cac:InvoiceLine/cbc:AccountingCost</t>
  </si>
  <si>
    <t>CC-102</t>
  </si>
  <si>
    <t>InvoicePeriod</t>
  </si>
  <si>
    <t>Line_InvoicePeriod</t>
  </si>
  <si>
    <t>发票期间</t>
  </si>
  <si>
    <t>计费周期&lt;br&gt;Billing Period</t>
  </si>
  <si>
    <t>该行项目所涵盖的时间段</t>
  </si>
  <si>
    <t>必须包含开始和结束日期</t>
  </si>
  <si>
    <t>Invoice/cac:InvoiceLine/cac:InvoicePeriod</t>
  </si>
  <si>
    <t>Period</t>
  </si>
  <si>
    <t>StartDate</t>
  </si>
  <si>
    <t>Line_InvoicePeriod_StartDate</t>
  </si>
  <si>
    <t>起始日期</t>
  </si>
  <si>
    <t>开始日&lt;br&gt;Start Date</t>
  </si>
  <si>
    <t>计费周期的开始日期</t>
  </si>
  <si>
    <t>Invoice/cac:InvoiceLine/cac:InvoicePeriod/cbc:StartDate</t>
  </si>
  <si>
    <t>2023/01/01</t>
  </si>
  <si>
    <t>EndDate</t>
  </si>
  <si>
    <t>Line_InvoicePeriod_EndDate</t>
  </si>
  <si>
    <t>结束日期</t>
  </si>
  <si>
    <t>截止日&lt;br&gt;End Date</t>
  </si>
  <si>
    <t>计费周期的结束日期</t>
  </si>
  <si>
    <t>格式必须为 YYYY-MM-DD，且不早于开始日期</t>
  </si>
  <si>
    <t>Invoice/cac:InvoiceLine/cac:InvoicePeriod/cbc:EndDate</t>
  </si>
  <si>
    <t>2023/01/31</t>
  </si>
  <si>
    <t>fenddate</t>
  </si>
  <si>
    <t>OrderLineReference</t>
  </si>
  <si>
    <t>OrderLine</t>
  </si>
  <si>
    <t>Line_OrderLineRef_LineID</t>
  </si>
  <si>
    <t>订单行号</t>
  </si>
  <si>
    <t>PO行号&lt;br&gt;PO Line No</t>
  </si>
  <si>
    <t>对应采购订单中的行号</t>
  </si>
  <si>
    <t>用于订单匹配验证 (Three-way match)</t>
  </si>
  <si>
    <t>Invoice/cac:InvoiceLine/cac:OrderLineReference/cbc:LineID</t>
  </si>
  <si>
    <t>Line_OrderRef_ID</t>
  </si>
  <si>
    <t>PO号&lt;br&gt;PO Number</t>
  </si>
  <si>
    <t>对应采购订单的单号</t>
  </si>
  <si>
    <t>必须匹配有效的采购订单号</t>
  </si>
  <si>
    <t>Invoice/cac:InvoiceLine/cac:OrderLineReference/cbc:OrderReference/cbc:ID</t>
  </si>
  <si>
    <t>PO-2023-001</t>
  </si>
  <si>
    <t>Line_DocRef</t>
  </si>
  <si>
    <t>文件引用</t>
  </si>
  <si>
    <t>关联文档&lt;br&gt;Doc Ref</t>
  </si>
  <si>
    <t>与本发票行相关的引用文档</t>
  </si>
  <si>
    <t>如合同、发货单、计量单等</t>
  </si>
  <si>
    <t>Invoice/cac:InvoiceLine/cac:DocumentReference</t>
  </si>
  <si>
    <t>Line_DocRef_ID</t>
  </si>
  <si>
    <t>文档号&lt;br&gt;Document ID</t>
  </si>
  <si>
    <t>引用文档的唯一标识符</t>
  </si>
  <si>
    <t>Invoice/cac:InvoiceLine/cac:DocumentReference/cbc:ID</t>
  </si>
  <si>
    <t>CON-001</t>
  </si>
  <si>
    <t>ID.schemeID</t>
  </si>
  <si>
    <t>Line_DocRef_ID_SchemeID</t>
  </si>
  <si>
    <t>标识符编码方案</t>
  </si>
  <si>
    <t>文档标识符的编码体系</t>
  </si>
  <si>
    <t>如 VN (Vendor Number) 等</t>
  </si>
  <si>
    <t>Invoice/cac:InvoiceLine/cac:DocumentReference/cbc:ID/@schemeID</t>
  </si>
  <si>
    <t>VN</t>
  </si>
  <si>
    <t>IssueDate</t>
  </si>
  <si>
    <t>Line_DocRef_IssueDate</t>
  </si>
  <si>
    <t>开具日期</t>
  </si>
  <si>
    <t>文档日期&lt;br&gt;Issue Date</t>
  </si>
  <si>
    <t>引用文档的发行日期</t>
  </si>
  <si>
    <t>Invoice/cac:InvoiceLine/cac:DocumentReference/cbc:IssueDate</t>
  </si>
  <si>
    <t>Line_DocRef_IssueTime</t>
  </si>
  <si>
    <t>开具时间</t>
  </si>
  <si>
    <t>文档时间&lt;br&gt;Issue Time</t>
  </si>
  <si>
    <t>引用文档的发行时间</t>
  </si>
  <si>
    <t>格式 HH:mm:ss</t>
  </si>
  <si>
    <t>time</t>
  </si>
  <si>
    <t>Invoice/cac:InvoiceLine/cac:DocumentReference/cbc:IssueTime</t>
  </si>
  <si>
    <t>12:00:00</t>
  </si>
  <si>
    <t>DocumentTypeCode</t>
  </si>
  <si>
    <t>Line_DocRef_DocumentTypeCode</t>
  </si>
  <si>
    <t>文件类型代码</t>
  </si>
  <si>
    <t>文档类型&lt;br&gt;Doc Type</t>
  </si>
  <si>
    <t>标识引用文档类型的代码</t>
  </si>
  <si>
    <t>需符合 UN/ECE 1001 代码表 (如 130=发票, 220=订单)</t>
  </si>
  <si>
    <t>Invoice/cac:InvoiceLine/cac:DocumentReference/cbc:DocumentTypeCode</t>
  </si>
  <si>
    <t>fredprice</t>
  </si>
  <si>
    <t>可红冲单价</t>
  </si>
  <si>
    <t>unit price</t>
  </si>
  <si>
    <t>价格金额。</t>
  </si>
  <si>
    <t>“可红冲单价”语义=行项目单价；InvoiceLine 明确有 Price（Unit Price），其 PriceAmount 定义为价格金额，且 Alt term/例子直接呈现“unit price / 23.45”。</t>
  </si>
  <si>
    <t>23.45</t>
  </si>
  <si>
    <t>BillingReferenceLine</t>
  </si>
  <si>
    <t>foriginseq</t>
  </si>
  <si>
    <t>原蓝票序号</t>
  </si>
  <si>
    <t>计费单据中该交易行的标识符。</t>
  </si>
  <si>
    <t>Invoice/cac:InvoiceLine/cac:BillingReference/cac:BillingReferenceLine/cbc:ID</t>
  </si>
  <si>
    <t>“原蓝票序号”语义=被引用的原票（billing document）交易行标识；InvoiceLine 具备 BillingReference，其下 BillingReferenceLine/ID 正是“billing document 的 transaction line 标识”。</t>
  </si>
  <si>
    <t>fitemremainredamount</t>
  </si>
  <si>
    <t>剩余可红冲金额</t>
  </si>
  <si>
    <t>【未匹配】已检索 Invoice → InvoiceLine.Details 的 LineExtensionAmount（“The total amount for this invoice line…net of taxes.”）及 InvoiceLine → TaxTotal → TaxSubtotal 的 TaxableAmount（“The net amount…for this tax subtotal.”），它们表达“本行原始金额/计税净额”，不表达“原票多次/部分红冲后的剩余可红冲不含税额度”。</t>
  </si>
  <si>
    <t>fitemremainredtax</t>
  </si>
  <si>
    <t>剩余可红冲税额</t>
  </si>
  <si>
    <t>—</t>
  </si>
  <si>
    <t>fitemremainrednum</t>
  </si>
  <si>
    <t>剩余可红冲数量</t>
  </si>
  <si>
    <t>语义为“预留扩展字段/企业自定义信息容器”，在 Invoice 表及其可达的 *.Details 中未找到可落位的标准 UBL Name 行（若需承载此类字段更像走扩展机制），因此按规则输出【未匹配】。</t>
  </si>
  <si>
    <t>fbusinesstype</t>
  </si>
  <si>
    <t>特定业务类型</t>
  </si>
  <si>
    <t>Identifies a user-defined customization of UBL for a specific use.</t>
  </si>
  <si>
    <t>varchar(4)</t>
  </si>
  <si>
    <t>Invoice/cbc:CustomizationID</t>
  </si>
  <si>
    <t>候选1：字段语义为“特定业务场景/特殊开票业务类型标识”；CustomizationID 的描述句是“用于特定用途的用户自定义”，可解释为“场景/业务类型编码入口”，且为单值可选(0..1)。</t>
  </si>
  <si>
    <t>01：成品油发票02：稀土发票03：建筑发票04：货物运输服务发票05：不服务动产销售服务发票06：不动产租赁服务发票07：代收车船税08：通行费09：旅客运输服务发票10：医疗服务（住院）发票11：医疗服务（门诊）发票12：自产农产品销售发票13 拖拉机和联合收割机发票14：机动车15：二手车16：农产品收购发票17：光伏收购发票18：卷烟发票</t>
  </si>
  <si>
    <t>NES</t>
  </si>
  <si>
    <t>fcoalheat</t>
  </si>
  <si>
    <t>每千克煤炭发热量(千卡)</t>
  </si>
  <si>
    <t>The value of this item property, expressed as a quantity.</t>
  </si>
  <si>
    <t>Invoice/cac:InvoiceLine/cac:Item/cac:AdditionalItemProperty/cbc:ValueQuantity</t>
  </si>
  <si>
    <t>煤炭“发热量”属于商品质量指标，UBL 无专用煤质字段；可用 Item 的 AdditionalItemProperty（ItemProperty）承载，数值更贴近 ValueQuantity；需配合 ItemProperty/Name 存放“发热量”以区分不同指标。</t>
  </si>
  <si>
    <t>ftotalsulfurindry</t>
  </si>
  <si>
    <t>干基全硫(%)</t>
  </si>
  <si>
    <t>“干基全硫(%)”为商品附加属性；优先用 ValueQuantity 承载数值（必要时单位/百分号由实现侧表达），并用 ItemProperty/Name 标明“干基全硫”。</t>
  </si>
  <si>
    <t>fdryashfreevolatilematter</t>
  </si>
  <si>
    <t>干燥无灰基挥发分(%)</t>
  </si>
  <si>
    <t>“干燥无灰基挥发分(%)”同属商品附加属性；用 AdditionalItemProperty→ItemProperty 的 ValueQuantity 承载数值，并以 ItemProperty/Name 标明指标名称。</t>
  </si>
  <si>
    <t>fcardtype</t>
  </si>
  <si>
    <t>证件类型</t>
  </si>
  <si>
    <t>A code signifying the type of this document.</t>
  </si>
  <si>
    <t>Invoice/cac:AccountingCustomerParty/cac:Party/cac:Person/cac:IdentityDocumentReference/cbc:DocumentTypeCode</t>
  </si>
  <si>
    <t>“证件类型”更贴近“文件/证件类型代码”：Person 可挂 IdentityDocumentReference（DocumentReference），其 DocumentTypeCode 表达类型代码；以 AccountingCustomerParty 作为“购方/应付方”入口。</t>
  </si>
  <si>
    <t>fdifferencetaxtype</t>
  </si>
  <si>
    <t>差额征税类型</t>
  </si>
  <si>
    <t>在 TaxCategory/TaxScheme 等税务链路中仅看到“税类标识/名称/税率/免税原因”等字段（如 TaxCategory/ID、Percent、TaxExemptionReasonCode/TaxExemptionReason），未出现可表达“差额征税业务类型/计税口径类型”的对应行。</t>
  </si>
  <si>
    <t>01-全额开票,02-差额开票</t>
  </si>
  <si>
    <t>freductiontaxtype</t>
  </si>
  <si>
    <t>减按征税类型</t>
  </si>
  <si>
    <t>在 TaxCategory/TaxScheme 等税务链路中仅看到“税类标识/名称/税率/免税原因”等字段，未出现可表达“减按征税类型（减按口径类型）”的对应行。</t>
  </si>
  <si>
    <t>ftotaldeduction</t>
  </si>
  <si>
    <t>合计扣除额</t>
  </si>
  <si>
    <t>The total monetary amount of all allowances.</t>
  </si>
  <si>
    <t>差额征税时必填,在差额征税类型为01时应为0</t>
  </si>
  <si>
    <t>Invoice/cac:LegalMonetaryTotal/cbc:AllowanceTotalAmount</t>
  </si>
  <si>
    <t>语义可解释一致：输入“扣除额合计”≈单据层面“Allowance（折让/扣减）合计金额”。上下文链路：Invoice → LegalMonetaryTotal → AllowanceTotalAmount。</t>
  </si>
  <si>
    <t>festatesalecoflag</t>
  </si>
  <si>
    <t>是选填共同购买方</t>
  </si>
  <si>
    <t>Invoice 中存在 BuyerCustomerParty（0..1）等“参与方对象”入口，但未见“是否存在共同购买方/共同受票方”的布尔指示字段；UBL 通常用“是否出现相应 Party/CustomerParty 结构”来表达，而非单独标识位。</t>
  </si>
  <si>
    <t>Y-是，N是选填</t>
  </si>
  <si>
    <t>fsgfp</t>
  </si>
  <si>
    <t>收购发票标志</t>
  </si>
  <si>
    <t>在 Invoice 表头 BBIE 中未见“收购发票/收购类场景”专用标志；最接近是 InvoiceTypeCode（A code signifying the type of the Invoice.）但为“类型代码”而非“收购场景 Y/N 标志”。</t>
  </si>
  <si>
    <t>0 其他增值税普通发票  1 农产品销售发票 2 农产品收购发票</t>
  </si>
  <si>
    <t>t_invoice_etax_buildinfo</t>
  </si>
  <si>
    <t>数电票建筑服务表</t>
  </si>
  <si>
    <t>数电票建筑服务表主键ID</t>
  </si>
  <si>
    <t>Invoice 可达的 ProjectReference 仅表示“项目信息引用”（Information about a project.），其 Details 也仅含 ID/UUID/IssueDate/WorkPhaseReference，未出现“建筑服务相关信息记录/子表主键ID”语义域对应字段。</t>
  </si>
  <si>
    <t>fbuildingname</t>
  </si>
  <si>
    <t>建筑项目名称</t>
  </si>
  <si>
    <t>Invoice 虽有 ProjectReference（Information about a project.），但其可落位的 ProjectReference/ID 定义为“项目引用标识符”（An identifier for the referenced project.），与“建筑项目名称（名称/文本）”语义不一致；未找到“项目名称 Name/Text”对应行。</t>
  </si>
  <si>
    <t>fcrosscitysign</t>
  </si>
  <si>
    <t>跨地（市）标志</t>
  </si>
  <si>
    <t>Invoice 表未见“跨地（市）服务/跨区域提供服务”标志；表内可见的 Indicator 示例为 CopyIndicator（Indicates whether this document is a copy (true) or not (false).）但语义不符。</t>
  </si>
  <si>
    <t>fcrosscitytaxverifyno</t>
  </si>
  <si>
    <t>跨区域涉税事项报验管理编号</t>
  </si>
  <si>
    <t>An identifier for the referenced document.</t>
  </si>
  <si>
    <t>将“跨区域涉税事项报验管理编号”作为“附加单据引用”的标识号：Invoice 的 AdditionalDocumentReference（附加单据引用）→ DocumentReference.ID。</t>
  </si>
  <si>
    <t>fdetailaddress</t>
  </si>
  <si>
    <t>具体地址</t>
  </si>
  <si>
    <t>An address line expressed as unstructured text.</t>
  </si>
  <si>
    <t>varchar(120)</t>
  </si>
  <si>
    <t>Invoice/cac:Delivery/cac:DeliveryAddress/cac:AddressLine/cbc:Line</t>
  </si>
  <si>
    <t>施工地点“详细地址”更像非结构化地址行；Invoice 头存在 Delivery（交付信息），其下有 DeliveryAddress（交付地址），AddressLine/Line 定义为非结构化地址行。</t>
  </si>
  <si>
    <t>ProjectReference</t>
  </si>
  <si>
    <t>flandtaxno</t>
  </si>
  <si>
    <t>土地增值税项目编号</t>
  </si>
  <si>
    <t>An identifier for the referenced project.</t>
  </si>
  <si>
    <t>Invoice/cac:ProjectReference/cbc:ID</t>
  </si>
  <si>
    <t>你字段是“项目编号”，UBL 在 Invoice 上有 ProjectReference（项目信息/项目引用），其 ID 定义为“被引用项目的标识”。但 UBL 语境偏“procurement project”，与“土地增值税项目”存在业务口径差异（仍可证伪/替换为扩展字段）。</t>
  </si>
  <si>
    <t>fserialno</t>
  </si>
  <si>
    <t>A universally unique identifier for an instance of this document.</t>
  </si>
  <si>
    <t>你字段强调“系统内流水编号/内部追踪（区别于票面发票号码）”，与 Invoice 的 UUID（文档实例唯一标识）最一致。</t>
  </si>
  <si>
    <t>fsimpleaddress</t>
  </si>
  <si>
    <t>建筑服务发生地</t>
  </si>
  <si>
    <t>Line An address line expressed as unstructured text.</t>
  </si>
  <si>
    <t>省市区县 省市区县+具体地址</t>
  </si>
  <si>
    <t>“建筑服务发生地”可按交付地址表达：Invoice→Delivery（交付信息）→DeliveryAddress（交付地址）→AddressLine/Line（非结构化地址行）。</t>
  </si>
  <si>
    <t>t_invoice_etax_cobuyerinfo</t>
  </si>
  <si>
    <t>数电票共同购买方信息表</t>
  </si>
  <si>
    <t>数电票共同购买方信息表主键ID</t>
  </si>
  <si>
    <t>“共同购买方信息表主键ID”是系统实现的明细表记录主键；UBL Invoice 无此类实现字段。</t>
  </si>
  <si>
    <t>fcobuyername</t>
  </si>
  <si>
    <t>共同购买人</t>
  </si>
  <si>
    <t>UBL Invoice 仅提供单一 BuyerCustomerParty（0..1）；无法表达“共同购买方列表”。最接近概念是 Party 的 Name（A name for this party），但缺少“共同购买方（多方）”语义落位。</t>
  </si>
  <si>
    <t>fidcardnumber</t>
  </si>
  <si>
    <t>证件号码</t>
  </si>
  <si>
    <t>varchar(30)</t>
  </si>
  <si>
    <t>最接近候选为 PartyIdentification 的 ID（An identifier for the party），但它用于“某个 Party 的标识”，且 Invoice 结构无“共同购买方列表”入口，无法语义一致落位。</t>
  </si>
  <si>
    <t>fcobuyercardno</t>
  </si>
  <si>
    <t>fidcardtype</t>
  </si>
  <si>
    <t>“证件类型”在该 Summary Report 中无独立元素行可匹配（通常需依赖标识符的 scheme/属性表达，但此报告未提供对应“字段行”）；因此按规则未匹配。</t>
  </si>
  <si>
    <t>fcobuyercardtype</t>
  </si>
  <si>
    <t>UUID A universally unique identifier for an instance of this document.</t>
  </si>
  <si>
    <t>与“系统内部追踪用的发票流水号（区别于票面发票号码）”更贴近：UUID 可作为文档实例的内部唯一追踪号。</t>
  </si>
  <si>
    <t>t_invoice_etax_estateleaseinfo</t>
  </si>
  <si>
    <t>数电票发票不动产经营租赁服务信息表</t>
  </si>
  <si>
    <t>数电票发票不动产经营租赁服务信息表主键ID</t>
  </si>
  <si>
    <t>“不动产经营租赁服务信息表主键ID”是系统实现的明细表记录主键；UBL Invoice 无此类实现字段。</t>
  </si>
  <si>
    <t>t_invoice_etax_estatesaleinfo</t>
  </si>
  <si>
    <t>数电票发票不动产销售服务信息表</t>
  </si>
  <si>
    <t>factualturnover</t>
  </si>
  <si>
    <t>实际成交含税金额</t>
  </si>
  <si>
    <t>The monetary amount including taxes; the sum of payable amount and prepaid amount.</t>
  </si>
  <si>
    <t>含税总额口径，和“实际成交含税金额（含税）”语义最贴近；位于 Invoice → LegalMonetaryTotal（MonetaryTotal）下。</t>
  </si>
  <si>
    <t>factualtotalamount</t>
  </si>
  <si>
    <t>fapprovedprice</t>
  </si>
  <si>
    <t>核定计税价格</t>
  </si>
  <si>
    <t>The amount of the monetary total to be paid.</t>
  </si>
  <si>
    <t>Invoice/cac:LegalMonetaryTotal/cbc:PayableAmount</t>
  </si>
  <si>
    <t>若你们“实际成交含税金额”更偏“最终应付/应收金额”（可能已考虑预付、舍入等），则该字段也成立；但语义更偏“应付”。</t>
  </si>
  <si>
    <t>fassessmenttaxamount</t>
  </si>
  <si>
    <t>fareaunit</t>
  </si>
  <si>
    <t>面积单位</t>
  </si>
  <si>
    <t>The quantity (of items) on this invoice line.</t>
  </si>
  <si>
    <t>含义：输入为“面积单位”，在 UBL 中最接近的是“数量字段的计量单位”，可落在 InvoiceLine 的 InvoicedQuantity 上；单位由 Quantity. Type 的 unitCode 属性表达。</t>
  </si>
  <si>
    <t>fsaleunit</t>
  </si>
  <si>
    <t>未找到语义一致字段：在 Invoice 及可达的 Address 相关字段中，能定位到的是 Region/District 等“地区文本”字段，并非“跨地（市）标志”这类跨区域涉税规则的布尔/枚举标识，含义不一致而淘汰。</t>
  </si>
  <si>
    <t>含义：输入为“具体地址（详细地址）”，最贴近的是 AddressLine/Line 的“非结构化地址行文本”；上下文：Invoice 可关联 Delivery，Delivery 下有 DeliveryAddress（Address）从而可达 AddressLine/Line。</t>
  </si>
  <si>
    <t>fsaledetailaddress</t>
  </si>
  <si>
    <t>festatecode</t>
  </si>
  <si>
    <t>不动产单元代码/网签合同备案编号无</t>
  </si>
  <si>
    <t>A reference to a contract associated with this document.</t>
  </si>
  <si>
    <t>Invoice/cac:ContractDocumentReference</t>
  </si>
  <si>
    <t>候选1（首选）：输入包含“网签合同备案编号”，与“合同引用”语义更可解释一致；但该行是 DocumentReference 对象本身（并非具体编号字段），用于承载“合同类编号/引用”。</t>
  </si>
  <si>
    <t>festateid</t>
  </si>
  <si>
    <t>房屋产权证书/不动产权证号</t>
  </si>
  <si>
    <t>A reference to an additional document associated with this document.</t>
  </si>
  <si>
    <t>Invoice/cac:AdditionalDocumentReference</t>
  </si>
  <si>
    <t>候选1（首选）：输入为“房屋产权证书/不动产权证号”，更像“证书/证明类附加材料引用”，可解释落位到“附加文档引用”对象。</t>
  </si>
  <si>
    <t>数电票发票不动产销售服务信息表主键ID</t>
  </si>
  <si>
    <t>该 fid 指“数电票不动产销售/租赁服务扩展信息表主键”，UBL 报告中未见对应“不动产服务扩展对象/记录主键”；Invoice/UUID 仅标识“发票文档实例”，语义不等同。</t>
  </si>
  <si>
    <t>“土地增值税项目编号”最接近“项目编号”：Invoice 具备 ProjectReference 入口，且 Project Reference. Details 下的 ID 定义为项目标识。</t>
  </si>
  <si>
    <t>fsalelandtaxno</t>
  </si>
  <si>
    <t>Identifies an instance of executing a profile, to associate all transactions in a collaboration.</t>
  </si>
  <si>
    <t>与“发票开具/处理过程中的业务流水编号”更贴近“执行实例标识”。</t>
  </si>
  <si>
    <t>省市区县</t>
  </si>
  <si>
    <t>Invoice/cac:Delivery/cac:DeliveryLocation/cac:Address/cac:AddressLine/cbc:Line</t>
  </si>
  <si>
    <t>你的字段是“省市区县”合并串时，最稳妥是落在 AddressLine/Line（非结构化整行地址）；链路使用 Delivery → DeliveryLocation → Address。</t>
  </si>
  <si>
    <t>The quantity of items (invoiced).</t>
  </si>
  <si>
    <t>“面积单位”在 UBL 中通常以数量/度量的 @unitCode 表达（unitCode=单位类型）。此处以明细数量 InvoicedQuantity 作为宿主元素，属性含义为“单位代码”。</t>
  </si>
  <si>
    <t>RoadTransport</t>
  </si>
  <si>
    <t>fcarbrandno</t>
  </si>
  <si>
    <t>车牌号</t>
  </si>
  <si>
    <t>An identifier for the license plate of this road transport.</t>
  </si>
  <si>
    <t>varchar(80)</t>
  </si>
  <si>
    <t>Invoice/cac:Delivery/cac:Shipment/cac:ShipmentStage/cac:TransportMeans/cac:RoadTransport/cbc:LicensePlateID</t>
  </si>
  <si>
    <t>语义最贴近“车牌号”；链路可由 Invoice 的 Delivery 进入，并在交付/运输链路下落到 RoadTransport 的 LicensePlateID。</t>
  </si>
  <si>
    <t>在 Invoice/Delivery/Shipment/Tax 等链路相关表中未找到与“跨地（市）标志（跨地市发生）”语义一致的 UBL 字段；属于地方税务/行业口径标志，需通过扩展或业务侧自定义承载。</t>
  </si>
  <si>
    <t>An unstructured address line.</t>
  </si>
  <si>
    <t>“具体地址”更像一条非结构化地址行；并且字段语义偏“发生地点/坐落”，优先落在 DeliveryLocation 的 Address → AddressLine → Line。</t>
  </si>
  <si>
    <t>fendLeaseDate</t>
  </si>
  <si>
    <t>租赁期止</t>
  </si>
  <si>
    <t>The date on which this period ends.</t>
  </si>
  <si>
    <t>Invoice/cac:InvoicePeriod/cbc:EndDate</t>
  </si>
  <si>
    <t>“租赁期止”可解释为发票适用期间的结束日期：Invoice 具备 InvoicePeriod（Period），Period 下 EndDate 表达期间结束日。</t>
  </si>
  <si>
    <t>日期格式YYYYMMDD</t>
  </si>
  <si>
    <t>fendleasedate</t>
  </si>
  <si>
    <t>没有证书填写"无"</t>
  </si>
  <si>
    <t>在 Invoice 及可达的 CommonLibrary（交付/地点/税务/参与方）链路中，未找到与“房屋产权证书/不动产权证号（权属证书编号）”语义直接对应的标准字段；该信息通常需以附加业务属性/扩展或作为外部凭证引用来表达。</t>
  </si>
  <si>
    <t>若“发票流水号”强调系统内追踪/唯一实例号，与 UUID（文档实例唯一标识）更一致。</t>
  </si>
  <si>
    <t>AdministrativeArea</t>
  </si>
  <si>
    <t>A subdivision of a country such as a region, county, or state.</t>
  </si>
  <si>
    <t>Invoice/cac:Delivery/cac:DeliveryAddress/cbc:CountrySubentity</t>
  </si>
  <si>
    <t>语义域=地点/地理；用发票交付/发生地的 Address 表达（Invoice→Delivery→DeliveryAddress）。 该输入字段“省市区县”是组合字段，UBL按省/州（CountrySubentity）拆分存放。</t>
  </si>
  <si>
    <t>Florida</t>
  </si>
  <si>
    <t>fstartleasedate</t>
  </si>
  <si>
    <t>租赁期起</t>
  </si>
  <si>
    <t>The date on which this period begins.</t>
  </si>
  <si>
    <t>Invoice/cac:InvoicePeriod/cbc:StartDate</t>
  </si>
  <si>
    <t>语义域=交易单据/期间；InvoicePeriod 的定义是“the period covered by this invoice”，可承载“租赁期”这类服务期间起始日。</t>
  </si>
  <si>
    <t>t_invoice_etax_deductioninfo</t>
  </si>
  <si>
    <t>数电票差额扣除额清单表</t>
  </si>
  <si>
    <t>数电票差额扣除额清单表主键ID</t>
  </si>
  <si>
    <t>【未匹配】在该 HTML 的 Invoice 表及可达 Details 中未找到语义等价的“差额扣除额清单表主键ID/系统内记录主键”标准 UBL 行；该字段更像系统内部数据库主键，若需承载通常需走扩展，但本任务禁止强行匹配/编造。</t>
  </si>
  <si>
    <t>fdeduction</t>
  </si>
  <si>
    <t>本次扣除金额</t>
  </si>
  <si>
    <t>The monetary amount of this allowance or charge to be applied.</t>
  </si>
  <si>
    <t>语义最接近“扣除金额=某项扣减的金额值”；Invoice 在单据层支持 AllowanceCharge 聚合。 但 UBL 的 AllowanceCharge 语义是“charge/discount”，与“差额扣除（计税基础扣除）”不完全等价，属于“可解释一致”的候选。</t>
  </si>
  <si>
    <t>35,23</t>
  </si>
  <si>
    <t>fdeductionamount</t>
  </si>
  <si>
    <t>fetaxinvoiceno</t>
  </si>
  <si>
    <t>An identifier for this document, assigned by the sender.</t>
  </si>
  <si>
    <t>“数电发票号码”本质仍为发票文档标识号；UBL 中对应 Invoice 的 ID（Invoice Number）。</t>
  </si>
  <si>
    <t>fevidenceamount</t>
  </si>
  <si>
    <t>凭证合计金额</t>
  </si>
  <si>
    <t>仅在“凭证金额≈该发票应付总额”这一口径下可解释匹配；若“凭证”是独立业务单据金额，UBL Invoice 未见可直接落位的“凭证合计金额”字段。</t>
  </si>
  <si>
    <t>fevidenceno</t>
  </si>
  <si>
    <t>凭证号码</t>
  </si>
  <si>
    <t>将“凭证”视为“被引用的外部单据”，最通用入口是 Invoice 的 AdditionalDocumentReference（附加文档引用）。</t>
  </si>
  <si>
    <t>PO-001；3333-44-123</t>
  </si>
  <si>
    <t>fevidencetype</t>
  </si>
  <si>
    <t>凭证类型</t>
  </si>
  <si>
    <t>The type of document being referenced, expressed as text.</t>
  </si>
  <si>
    <t>Invoice/cac:AdditionalDocumentReference/cbc:DocumentType</t>
  </si>
  <si>
    <t>输入举例为“收款凭证/付款凭证…”更像文本类型名；因此优先用 DocumentType（text）。</t>
  </si>
  <si>
    <t>01数电发票02增值税专用发票03增值税普通发票04营业税发票05财政票据06法院裁决书07契税完税凭证08其他发票类09 其他扣除凭证</t>
  </si>
  <si>
    <t>同上：Invoice Summary Report 表内未出现与“中国票面发票代码”语义一致的独立字段行。</t>
  </si>
  <si>
    <t>fdeductioninvoicecode</t>
  </si>
  <si>
    <t>finvoicedate</t>
  </si>
  <si>
    <t>The date, assigned by the sender, on which this document was issued.</t>
  </si>
  <si>
    <t>日期格式"YYYY-MM-DD"</t>
  </si>
  <si>
    <t>与“开具日期/开票日期”一致（IssueDate）。</t>
  </si>
  <si>
    <t>与“发票号码”一致（Invoice/cbc:ID）。</t>
  </si>
  <si>
    <t>fdeductioninvoiceno</t>
  </si>
  <si>
    <t>Free-form text pertinent to this document, conveying information that is not contained explicitly in other structures.</t>
  </si>
  <si>
    <t>与“备注/补充说明”高度一致（自由文本备注，可多条）。</t>
  </si>
  <si>
    <t>fdeductionremark</t>
  </si>
  <si>
    <t>“发票流水号(系统内业务流水标识)”更像“文档实例唯一标识”，优先 UUID；与票面 ID（发票号码）区分。</t>
  </si>
  <si>
    <t>t_invoice_etax_extrainfo</t>
  </si>
  <si>
    <t>数电票附加要素信息表</t>
  </si>
  <si>
    <t>fextraname</t>
  </si>
  <si>
    <t>附加要素名称</t>
  </si>
  <si>
    <t>The name of this item property.</t>
  </si>
  <si>
    <t>若将“附加要素”建模为“商品/服务条目的附加属性(AdditionalItemProperty)”，则 Name 可承载“附加要素名称(项目/地点/运输等标签)”。路径链路：Invoice→InvoiceLine→Item→AdditionalItemProperty。</t>
  </si>
  <si>
    <t>Energy Rating , Collar Size , Fat Content</t>
  </si>
  <si>
    <t>fextrainfoname</t>
  </si>
  <si>
    <t>fextratype</t>
  </si>
  <si>
    <t>附加要素类型</t>
  </si>
  <si>
    <t>The name of this item property, expressed as a code.</t>
  </si>
  <si>
    <t>varchar(10)</t>
  </si>
  <si>
    <t>Invoice/cac:InvoiceLine/cac:Item/cac:AdditionalItemProperty/cbc:NameCode</t>
  </si>
  <si>
    <t>若“附加要素类型”本质是对“要素名称/类别”的代码化分类（而非纯文本标签），则用 NameCode 更一致（名称的代码表达）。</t>
  </si>
  <si>
    <t>string文本number数值date日期</t>
  </si>
  <si>
    <t>fextrainfotype</t>
  </si>
  <si>
    <t>fextravalue</t>
  </si>
  <si>
    <t>附加要素内容</t>
  </si>
  <si>
    <t>The value of this item property, expressed as text.</t>
  </si>
  <si>
    <t>与“附加要素内容（承载实际数据）”的 key-value 结构最一致：Name/NameCode + Value。</t>
  </si>
  <si>
    <t>100 watts , 15 European , 20% +/- 5%</t>
  </si>
  <si>
    <t>数电票附加要素信息表主键ID</t>
  </si>
  <si>
    <t>An identifier for this property of an item.</t>
  </si>
  <si>
    <t>Invoice/cac:InvoiceLine/cac:Item/cac:AdditionalItemProperty/cbc:ID</t>
  </si>
  <si>
    <t>对“附加要素信息表主键ID（单条附加要素明细记录的唯一标识）”最贴近的是 ItemProperty 的 ID（属性记录标识）。</t>
  </si>
  <si>
    <t>“发票流水号（用于关联主数据/明细/扩展表）”若用于跨表关联的稳定唯一键，UUID 更符合“全局唯一标识”语义。</t>
  </si>
  <si>
    <t>Shipment</t>
  </si>
  <si>
    <t>t_invoice_etax_freightinfo</t>
  </si>
  <si>
    <t>数电票发票货物运输服务信息表</t>
  </si>
  <si>
    <t>Delivery_Shipment_ID</t>
  </si>
  <si>
    <t>数电票发票货物运输服务信息表主键ID</t>
  </si>
  <si>
    <t>Waybill Number</t>
  </si>
  <si>
    <t>An identifier for this shipment.</t>
  </si>
  <si>
    <t>Invoice/cac:Delivery/cac:Shipment/cbc:ID</t>
  </si>
  <si>
    <t>语义最接近“Shipment 标识（运单/货运标识）”；但你字段定义是“系统内主键”，口径不完全一致（UBL不表达数据库主键）。</t>
  </si>
  <si>
    <t>fendplace</t>
  </si>
  <si>
    <t>Delivery_Shipment_DeliveryAddr_AddrLine_Line</t>
  </si>
  <si>
    <t>到达地 省市区县</t>
  </si>
  <si>
    <t>Invoice/cac:Delivery/cac:Shipment/cac:Delivery/cac:DeliveryAddress/cac:AddressLine/cbc:Line</t>
  </si>
  <si>
    <t>“到达地”更像 Shipment 的交付目的地地址：Shipment→Delivery（该票运送）→DeliveryAddress（交付地址）→AddressLine.Line（非结构化地址行，可承载省市区县串）。</t>
  </si>
  <si>
    <t>ShipmentStage</t>
  </si>
  <si>
    <t>flicenseplate</t>
  </si>
  <si>
    <t>Delivery_Shipment_TransportMeans_TransportMeansTypeCode</t>
  </si>
  <si>
    <t>运输工具种类</t>
  </si>
  <si>
    <t>Transport Mode</t>
  </si>
  <si>
    <t>A code signifying the method of transport used for this shipment stage.</t>
  </si>
  <si>
    <t>Invoice/cac:Delivery/cac:Shipment/cac:ShipmentStage/cbc:TransportModeCode</t>
  </si>
  <si>
    <t>你示例值“公路/铁路/水路/航空”更符合“运输方式/运输模式（method of transport）”，优先匹配 TransportModeCode。</t>
  </si>
  <si>
    <t>fstartplace</t>
  </si>
  <si>
    <t>起运地 省市区县</t>
  </si>
  <si>
    <t>Invoice/cac:Delivery/cac:Shipment/cac:Delivery/cac:Despatch/cac:DespatchAddress/cac:AddressLine/cbc:Line</t>
  </si>
  <si>
    <t>“起运地”更像提货/发运地（pickup）：Delivery→Despatch（pickup）→DespatchAddress（提货地址）→AddressLine.Line（承载省市区县串）。</t>
  </si>
  <si>
    <t>t_invoice_etax_motorvehicleinfo</t>
  </si>
  <si>
    <t>数电发票机动车信息表</t>
  </si>
  <si>
    <t>“系统内唯一流水标识/用于关联子表”更贴近文档实例级唯一标识（UUID），而非票面号码。</t>
  </si>
  <si>
    <t>ftransportgoods</t>
  </si>
  <si>
    <t>运输货物名称</t>
  </si>
  <si>
    <t>Short description</t>
  </si>
  <si>
    <t>A short name optionally given to this item, such as a name from a catalogue, as distinct from a description.</t>
  </si>
  <si>
    <t>Invoice/cac:Delivery/cac:Shipment/cac:GoodsItem/cac:Item/cbc:Name</t>
  </si>
  <si>
    <t>运输“货物名称”在 UBL 更贴近“Item 的短名称（Name）”。路径链路：Invoice→Delivery→Shipment→GoodsItem→Item→Name。</t>
  </si>
  <si>
    <t>ftransporttype</t>
  </si>
  <si>
    <t>运输工具牌号</t>
  </si>
  <si>
    <t>Vehicle registration number (WCO ID 167)</t>
  </si>
  <si>
    <t>The license plate identifier of this vehicle.</t>
  </si>
  <si>
    <t>“运输工具牌号”与 RoadTransport/LicensePlateID 语义一致；链路：Invoice→Delivery→Shipment→ShipmentStage→TransportMeans→RoadTransport→LicensePlateID。</t>
  </si>
  <si>
    <t>数电发票机动车信息表主键ID</t>
  </si>
  <si>
    <t>输入为“数电发票机动车信息子表主键ID”（内部落库主键/表记录ID）。UBL Invoice 2.1 Summary Report 中不存在“内部子表主键ID”这类字段；可表达的相关信息更偏“运输工具/车辆要素”（如 RoadTransport/LicensePlateID），但并非“子表主键”。</t>
  </si>
  <si>
    <t>Certificate</t>
  </si>
  <si>
    <t>fbusinessno</t>
  </si>
  <si>
    <t>商检单号</t>
  </si>
  <si>
    <t>An identifier for this certificate.</t>
  </si>
  <si>
    <t>Invoice/cac:InvoiceLine/cac:Item/cac:Certificate/cbc:ID</t>
  </si>
  <si>
    <t>Item 下支持 Certificate（证书）且证书有 ID；可用证书编号表达“商检单号”，但需配合 CertificateTypeCode/Type 区分“商检”。</t>
  </si>
  <si>
    <t>fchassisno</t>
  </si>
  <si>
    <t>车辆识别代号/车架号码</t>
  </si>
  <si>
    <t>The serial number of this item instance.</t>
  </si>
  <si>
    <t>varchar(64)</t>
  </si>
  <si>
    <t>Item Instance 的 SerialID 明确为“实例序列号”，且示例直接给出“chassis number of a car”。</t>
  </si>
  <si>
    <t>chassis number of a car</t>
  </si>
  <si>
    <t>fcomplianceno</t>
  </si>
  <si>
    <t>合格证号</t>
  </si>
  <si>
    <t>“出厂合格证号”可按“证书编号”落在 Certificate/ID；需配合 CertificateTypeCode/Type 指明证书类型。</t>
  </si>
  <si>
    <t>fengineno</t>
  </si>
  <si>
    <t>发动机号码</t>
  </si>
  <si>
    <t>备选：若将发动机号按“实例序列号”管理，可复用 SerialID；但示例更偏底盘号，口径存在风险。</t>
  </si>
  <si>
    <t>fimportno</t>
  </si>
  <si>
    <t>进口证明书号</t>
  </si>
  <si>
    <t>进口证明书号更像与发票关联的外部单据编号；可用 AdditionalDocumentReference → Document Reference/ID 表达，并配合文档类型字段区分“进口证明”。</t>
  </si>
  <si>
    <t>fmanufacturer</t>
  </si>
  <si>
    <t>生产企业名称</t>
  </si>
  <si>
    <t>The name of the party as registered with the relevant legal authority.</t>
  </si>
  <si>
    <t>Invoice/cac:InvoiceLine/cac:Item/cac:ManufacturerParty/cac:PartyLegalEntity/cbc:RegistrationName</t>
  </si>
  <si>
    <t>“生产企业名称”更像“制造方(ManufacturerParty)的企业法定注册名称(RegistrationName)”；ManufacturerParty 在 Item 下，RegistrationName 在 Party Legal Entity 下。</t>
  </si>
  <si>
    <t>fmodel</t>
  </si>
  <si>
    <t>厂牌型号</t>
  </si>
  <si>
    <t>A model name of this item.</t>
  </si>
  <si>
    <t>Invoice/cac:InvoiceLine/cac:Item/cbc:ModelName</t>
  </si>
  <si>
    <t>“厂牌型号”包含“型号”成分；UBL 将型号拆为 Item/ModelName。</t>
  </si>
  <si>
    <t>VW Beetle</t>
  </si>
  <si>
    <t>forigin</t>
  </si>
  <si>
    <t>产地</t>
  </si>
  <si>
    <t>The country of origin of this item.</t>
  </si>
  <si>
    <t>“产地”若按“国家口径”落位，可直接映射为 Item/OriginCountry（国家对象）。</t>
  </si>
  <si>
    <t>“发票流水号”若用于系统内唯一关联一张发票主记录，UBL 最贴近的是 Invoice/UUID（实例唯一标识）。</t>
  </si>
  <si>
    <t>ftaxationvoucher</t>
  </si>
  <si>
    <t>完税凭证号码</t>
  </si>
  <si>
    <t>【未匹配】“完税凭证号码（车辆相关税费完税凭证编号）”在已检索链路未发现语义等同字段；若作为外部凭证，更像“文档引用类”建模，但本次未在已展开片段中找到可直接对应的行来抽列。</t>
  </si>
  <si>
    <t>fvehiclecapacity</t>
  </si>
  <si>
    <t>限乘人数</t>
  </si>
  <si>
    <t>The total number of passengers aboard a transport means.</t>
  </si>
  <si>
    <t>Invoice/cac:Delivery/cac:Shipment/cac:ShipmentStage/cbc:PassengerQuantity</t>
  </si>
  <si>
    <t>含义与“限乘人数”最接近（乘客数量）；但它描述的是“实际/在途乘客数”语义，若你要表达“核定限乘”需注意业务口径差异。</t>
  </si>
  <si>
    <t>TransportEquipment</t>
  </si>
  <si>
    <t>fvehicletype</t>
  </si>
  <si>
    <t>车辆类型代码</t>
  </si>
  <si>
    <t>A code signifying the type of this piece of transport equipment.</t>
  </si>
  <si>
    <t>varchar(24)</t>
  </si>
  <si>
    <t>Invoice/cac:Delivery/cac:Shipment/cac:TransportHandlingUnit/cac:TransportEquipment/cbc:TransportEquipmentTypeCode</t>
  </si>
  <si>
    <t>以“运输设备类型码”承载“车辆类型代码”（车/挂车/运输设备分类）最可解释一致；上下文为 Shipment → TransportHandlingUnit → TransportEquipment。</t>
  </si>
  <si>
    <t>fvehicleuuid</t>
  </si>
  <si>
    <t>机动车uuid</t>
  </si>
  <si>
    <t>An identifier for this piece of transport equipment.</t>
  </si>
  <si>
    <t>Invoice/cac:Delivery/cac:Shipment/cac:TransportHandlingUnit/cac:TransportEquipment/cbc:ID</t>
  </si>
  <si>
    <t>“机动车uuid（唯一标识）”可用“运输设备标识”承载（语义为设备/载具标识）；若你更偏“追踪ID”，见下一行候选。</t>
  </si>
  <si>
    <t>OCLU 1234567</t>
  </si>
  <si>
    <t>fvehicleweight</t>
  </si>
  <si>
    <t>吨位</t>
  </si>
  <si>
    <t>The gross weight of this piece of transport equipment.</t>
  </si>
  <si>
    <t>varchar(16)</t>
  </si>
  <si>
    <t>Invoice/cac:Delivery/cac:Shipment/cac:TransportHandlingUnit/cac:TransportEquipment/cbc:GrossWeightMeasure</t>
  </si>
  <si>
    <t>“吨位/载重”在 UBL 中没有“核定载重”专用字段；可用“运输设备毛重”近似承载，但语义更像“设备自重/总重”。</t>
  </si>
  <si>
    <t>t_invoice_etax_tractorinfo</t>
  </si>
  <si>
    <t>数电票发票拖拉机和联合收割机信息表</t>
  </si>
  <si>
    <t>数电票发票拖拉机和联合收割机信息表主键ID</t>
  </si>
  <si>
    <t>在 ItemInstance 中可找到用于“追踪该实例”的 ProductTraceID，但其含义是“tracing this item instance”，不等同于系统子表主键；在 ItemProperty 中也有 “ID=An identifier for this property of an item”，仍非“子表记录主键”。</t>
  </si>
  <si>
    <t>底盘号/机架号</t>
  </si>
  <si>
    <t>用于登记时发动机号码与底盘号/机架号至少填写一项</t>
  </si>
  <si>
    <t>Rep. Term 直接定义为“item instance 的 serial number”，且示例明确给出 “chassis number of a car”；上下文链路可落位到 Invoice→InvoiceLine→Item→ItemInstance。</t>
  </si>
  <si>
    <t>Invoice/cac:InvoiceLine/cac:Item/cac:ItemInstance/cac:AdditionalItemProperty/cbc:Value</t>
  </si>
  <si>
    <t>UBL 未提供“发动机号码”专用字段；可用 ItemInstance 的 AdditionalItemProperty（ItemProperty）承载“附加属性”，以 Name 表明属性名（如 Engine Number），Value 填发动机号。</t>
  </si>
  <si>
    <t>fforregister</t>
  </si>
  <si>
    <t>是选填用于办理拖拉机和联合收割机登记</t>
  </si>
  <si>
    <t>UBL 未提供“是否用于办理登记”的专用标识字段；可同样通过 ItemInstance 的 AdditionalItemProperty 表达：Name 写明该标识含义（如 For Registration），Value 存放标识值（文本）。</t>
  </si>
  <si>
    <t>A universally unique identifier for this document.</t>
  </si>
  <si>
    <t>你给的定义是“用于把特定信息子表与发票主记录关联”的发票流水标识；文档级唯一标识最贴近 cbc:UUID。</t>
  </si>
  <si>
    <t>t_invoice_etax_travelerinfo</t>
  </si>
  <si>
    <t>数电票旅客运输服务特定信息表</t>
  </si>
  <si>
    <t>数电票旅客运输服务特定信息表主键ID</t>
  </si>
  <si>
    <t>【未匹配】“旅客运输服务特定信息子表主键”属于实现层数据库键；UBL Invoice Summary Report 未提供该类字段。</t>
  </si>
  <si>
    <t>fcardno</t>
  </si>
  <si>
    <t>出行人证件号码</t>
  </si>
  <si>
    <t>Invoice/cac:AccountingCustomerParty/cac:Party/cac:Person/cac:IdentityDocumentReference/cbc:ID</t>
  </si>
  <si>
    <t>“证件号码”与“身份文件引用（IdentityDocumentReference）→ DocumentReference/ID”语义最贴近（证件号=被引用证件的标识）。IdentityDocumentReference 在 Person 下存在。</t>
  </si>
  <si>
    <t>PO-001; 3333-44-123</t>
  </si>
  <si>
    <t>出行人证件类型</t>
  </si>
  <si>
    <t>The type of document being referenced, expressed as a code.</t>
  </si>
  <si>
    <t>“证件类型（身份证/护照等）”更像“证件引用的类型代码”，与 DocumentTypeCode 直接对位。IdentityDocumentReference 路径同上。</t>
  </si>
  <si>
    <t>ftravelercardtype</t>
  </si>
  <si>
    <t>The administrative subdivision of a country.</t>
  </si>
  <si>
    <t>“省/州”层级最贴近 CountrySubentity；但你字段把省市区县合并为一项，需结合你们落位规则（可拆或选主字段）。</t>
  </si>
  <si>
    <t>Florida; Tamilnadu</t>
  </si>
  <si>
    <t>fseatclass</t>
  </si>
  <si>
    <t>等级</t>
  </si>
  <si>
    <t>若交通工具类型选择“火车、飞机、船舶”，则等级为必填项，选填则为非必填项</t>
  </si>
  <si>
    <t>【未匹配】在 Invoice→Delivery→Shipment→ShipmentStage 链路下，能找到“运输方式/运输工具类型”等字段，但未找到与“舱位/席别/等级（服务档次）”同概念的 UBL 行；最接近的仅是运输方式/工具类型，语义不等同。</t>
  </si>
  <si>
    <t>ftravelerseatclass</t>
  </si>
  <si>
    <t>候选1：若你的“发票流水号”偏“系统内唯一实例ID”，更贴近 UUID（唯一性更强）。</t>
  </si>
  <si>
    <t>出发地 省市区县</t>
  </si>
  <si>
    <t>A territorial division of a country, such as a county or state.</t>
  </si>
  <si>
    <t>Invoice/cac:Delivery/cac:Shipment/cac:ShipmentStage/cac:ActualDepartureTransportEvent/cac:Location/cac:Address/cbc:CountrySubentity</t>
  </si>
  <si>
    <t>“出发地 省市区县”在 UBL 中通常拆分到地址多个层级；CountrySubentity 更偏“省/州/县”等上级行政区。链路：ShipmentStage 含 ActualDepartureTransportEvent →TransportEvent 含 Location →Location 含 Address 。</t>
  </si>
  <si>
    <t>TAFSC</t>
  </si>
  <si>
    <t>交通工具类型</t>
  </si>
  <si>
    <t>首选：你的枚举示例“飞机/高铁/客运汽车/轮船”等更像“运输方式/模式”。路径依据：Invoice 含 Delivery ；Delivery 含 Shipment ；Shipment 含 ShipmentStage 。</t>
  </si>
  <si>
    <t>1飞机2火车3长途汽车4公共交通5出租车6汽车7船舶9其他</t>
  </si>
  <si>
    <t>ftravelertransporttype</t>
  </si>
  <si>
    <t>ftraveldate</t>
  </si>
  <si>
    <t>出行日期</t>
  </si>
  <si>
    <t>Invoice/cac:Delivery/cac:Shipment/cac:ShipmentStage/cac:TransitPeriod/cbc:StartDate</t>
  </si>
  <si>
    <t>对应：出行日期（实际发生日期）；在运输阶段 ShipmentStage 的 TransitPeriod（实际发生期间）中，用 StartDate 表达“发生日期/起始日”。</t>
  </si>
  <si>
    <t>ftraveler</t>
  </si>
  <si>
    <t>出行人</t>
  </si>
  <si>
    <t>A person's given name.</t>
  </si>
  <si>
    <t>Invoice/cac:Delivery/cac:Shipment/cac:ShipmentStage/cac:PassengerPerson/cbc:FirstName</t>
  </si>
  <si>
    <t>对应：出行人（旅客姓名）；UBL 在 PassengerPerson（乘客）下拆分为 FirstName/FamilyName，若输入为“全名”需组合。</t>
  </si>
  <si>
    <t>t_invoice_etax_usedcarinfo</t>
  </si>
  <si>
    <t>数电发票二手车信息表</t>
  </si>
  <si>
    <t>数电发票二手车信息表主键ID</t>
  </si>
  <si>
    <t>对应：数电发票二手车信息表主键ID（系统内子表主键）；UBL 无对应“子表主键”概念字段。</t>
  </si>
  <si>
    <t>对应：车辆识别代号/车架号码（VIN/车架号）；ItemInstance/SerialID 的示例即“chassis number of a car”，语义与上下文（作为发票行项目实例）一致。</t>
  </si>
  <si>
    <t>flicenseplatenumber</t>
  </si>
  <si>
    <t>车牌号码</t>
  </si>
  <si>
    <t>The registration identifier of this item instance.</t>
  </si>
  <si>
    <t>Invoice/cac:InvoiceLine/cac:Item/cac:ItemInstance/cbc:RegistrationID</t>
  </si>
  <si>
    <t>对应：车牌号码；ItemInstance/RegistrationID 示例为“car registration or licensing number”，可用于表达车辆牌照/注册号（作为商品实例属性）。</t>
  </si>
  <si>
    <t>car registration or licensing number</t>
  </si>
  <si>
    <t>对应：厂牌型号；UBL Item/ModelName 直接表达“型号名”，语义匹配。</t>
  </si>
  <si>
    <t>fpersonalidcard</t>
  </si>
  <si>
    <t>自然人证件号码</t>
  </si>
  <si>
    <t>Invoice/cac:AccountingSupplierParty/cac:Party/cac:Person/cac:IdentityDocumentReference/cbc:ID</t>
  </si>
  <si>
    <t>“证件号码”更贴近“用于识别自然人的证件文档”→Person.IdentityDocumentReference（可识别人的证件）；再落到DocumentReference.ID（被引用证件的编号）；参与方上下文走发票的AccountingSupplierParty→Party→Person</t>
  </si>
  <si>
    <t>fpersonalidtype</t>
  </si>
  <si>
    <t>自然人认证类型代码</t>
  </si>
  <si>
    <t>A code signifying the type of the referenced document.</t>
  </si>
  <si>
    <t>Invoice/cac:AccountingSupplierParty/cac:Party/cac:Person/cac:IdentityDocumentReference/cbc:DocumentTypeCode</t>
  </si>
  <si>
    <t>“证件类型代码（身份证/护照等）”与DocumentReference.DocumentTypeCode语义一致；并通过Person.IdentityDocumentReference限定为“可识别此人的证件文档”；供应方上下文</t>
  </si>
  <si>
    <t>fpersonalnationality</t>
  </si>
  <si>
    <t>自然人国家代码</t>
  </si>
  <si>
    <t>The nationalities of this person.</t>
  </si>
  <si>
    <t>Invoice/cac:AccountingSupplierParty/cac:Party/cac:Person/cbc:NationalityID</t>
  </si>
  <si>
    <t>“自然人国家/地区代码（国籍）”与Person.NationalityID（人员国籍/国籍集合）一致；供应方Person上下文</t>
  </si>
  <si>
    <t>fregistrationcertificatenumber</t>
  </si>
  <si>
    <t>登记证号</t>
  </si>
  <si>
    <t>“车辆登记证书编号”本质是“某证书（文档）的编号”，可作为Invoice.AdditionalDocumentReference（附加文档引用） 的DocumentReference.ID落位（需在业务侧用DocumentType/DocumentTypeCode区分其为车辆登记证书）</t>
  </si>
  <si>
    <t>fselleraddress</t>
  </si>
  <si>
    <t>卖方地址</t>
  </si>
  <si>
    <t>“卖方地址（可能为完整地址字符串）”与AddressLine.Line（非结构化地址行）更贴合；卖方=AccountingSupplierParty→Party→PostalAddress</t>
  </si>
  <si>
    <t>fselleridentificationnumber</t>
  </si>
  <si>
    <t>卖方识别号</t>
  </si>
  <si>
    <t>An identifier for the party assigned for tax purposes by the taxation authority.</t>
  </si>
  <si>
    <t>“卖方识别号（纳税人识别号等税务识别）”与PartyTaxScheme.CompanyID（税务目的由税务机关赋予/认可的识别号）一致；卖方Party下存在PartyTaxScheme链路</t>
  </si>
  <si>
    <t>fsellerphonenumber</t>
  </si>
  <si>
    <t>卖方电话</t>
  </si>
  <si>
    <t>The primary telephone number of this contact.</t>
  </si>
  <si>
    <t>Invoice/cac:AccountingSupplierParty/cac:SellerContact/cbc:Telephone</t>
  </si>
  <si>
    <t>上下文用 SupplierParty 的 SellerContact（“sales contact”）落位为卖方销售联系人电话，再取 Contact.Telephone。</t>
  </si>
  <si>
    <t>fsellername</t>
  </si>
  <si>
    <t>卖方名称</t>
  </si>
  <si>
    <t>The name of the party.</t>
  </si>
  <si>
    <t>语义为“主体名称”，与“卖方名称（企业/个人名称）”一致；上下文为 AccountingSupplierParty → Party → PartyName。</t>
  </si>
  <si>
    <t>fsellerpersonalidcard</t>
  </si>
  <si>
    <t>Person 下有 IdentityDocumentReference（“document used for identification”），用其 DocumentReference.ID 表达“证件号码”最贴近“身份证明文件编号”。</t>
  </si>
  <si>
    <t>PO-001</t>
  </si>
  <si>
    <t>fsellerpersonalidtype</t>
  </si>
  <si>
    <t>与“证件类型代码（身份证/护照等）”语义一致：在身份证明引用（IdentityDocumentReference）下用 DocumentTypeCode 表达类型。</t>
  </si>
  <si>
    <t>LC</t>
  </si>
  <si>
    <t>fsellerpersonalnationality</t>
  </si>
  <si>
    <t>An identifier for this person's nationality.</t>
  </si>
  <si>
    <t>语义直接命中“国籍标识符”，无需扩展。</t>
  </si>
  <si>
    <t>若“发票流水号”指系统侧唯一流水/UUID，UBL 的 UUID 语义最贴近“实例唯一标识”。</t>
  </si>
  <si>
    <t>ftransferdestinationvehicleadminname</t>
  </si>
  <si>
    <t>转入地车辆管</t>
  </si>
  <si>
    <t>未在已检查的 Invoice/CommonLibrary 相关表中发现与“车辆管理机构（转入地车辆管）名称”语义一致的标准字段行（Invoice 侧更多是贸易/交付/税务通用模型）。</t>
  </si>
  <si>
    <t>fusedcarenterprisenature</t>
  </si>
  <si>
    <t>二手车企业性质</t>
  </si>
  <si>
    <t>A code signifying the party's primary economic activity.</t>
  </si>
  <si>
    <t>用于表达“企业性质/经营类别”最贴近“主体的经济活动分类代码”；落位到发票参与方（供应方）主体信息域。</t>
  </si>
  <si>
    <t>SIC</t>
  </si>
  <si>
    <t>t_invoice_eatxsuccess</t>
  </si>
  <si>
    <t>数电票发票经办人信息表</t>
  </si>
  <si>
    <t>fagentcardno</t>
  </si>
  <si>
    <t>经办人证件号码</t>
  </si>
  <si>
    <t>Invoice/cac:AccountingSupplierParty/cac:Party/cac:AgentParty/cac:Person/cac:IdentityDocumentReference/cbc:ID</t>
  </si>
  <si>
    <t>“证件号码”最贴近“身份识别文件的标识”；通过 Person 的 IdentityDocumentReference（可精确识别人的证件）链路进入 DocumentReference/ID；“经办人”语义更像 Party 的 AgentParty 下的 Person。</t>
  </si>
  <si>
    <t>fagentcardtype</t>
  </si>
  <si>
    <t>经办人证件类型</t>
  </si>
  <si>
    <t>varchar(40)</t>
  </si>
  <si>
    <t>Invoice/cac:AccountingSupplierParty/cac:Party/cac:AgentParty/cac:Person/cac:IdentityDocumentReference/cbc:DocumentTypeCode</t>
  </si>
  <si>
    <t>“证件类型”与“被引用证件文档的类型代码”语义一致；同样通过 Person/IdentityDocumentReference 链路表达；“经办人”优先落位 AgentParty 下的 Person。</t>
  </si>
  <si>
    <t>fagentcountry</t>
  </si>
  <si>
    <t>经办人国籍(地区)</t>
  </si>
  <si>
    <t>This person's nationality.</t>
  </si>
  <si>
    <t>含义直接匹配“国籍(地区)”；供方 Party 的 Person 上有明确 NationalityID。</t>
  </si>
  <si>
    <t>fagenttaxno</t>
  </si>
  <si>
    <t>经办人自然人纳税人识别号</t>
  </si>
  <si>
    <t>含义最贴近“纳税人识别号（税务机关赋予）”；但该字段在 PartyTaxScheme 上（主体为 Party），等价成立前提：经办人被建模为一个 Party（自然人主体）。</t>
  </si>
  <si>
    <t>fagentuser</t>
  </si>
  <si>
    <t>经办人姓名</t>
  </si>
  <si>
    <t>This person's given name.</t>
  </si>
  <si>
    <t>varchar(150)</t>
  </si>
  <si>
    <t>含义匹配“姓名-名”；将“经办人”落位为 Invoice→AccountingSupplierParty→Party→Person（经办人归属不明，给出供方/购方两套）。</t>
  </si>
  <si>
    <t>Delivery</t>
  </si>
  <si>
    <t>交付信息</t>
  </si>
  <si>
    <t>配送信息&lt;br&gt;Delivery Info</t>
  </si>
  <si>
    <t>货物或服务的交付详情</t>
  </si>
  <si>
    <t>可包含交付日期、地点、收货方信息</t>
  </si>
  <si>
    <t>Invoice/cac:Delivery</t>
  </si>
  <si>
    <t>ActualDeliveryDate</t>
  </si>
  <si>
    <t>Delivery_ActualDeliveryDate</t>
  </si>
  <si>
    <t>实际交付日期</t>
  </si>
  <si>
    <t>到货日期&lt;br&gt;Actual Date</t>
  </si>
  <si>
    <t>货物实际送达或服务实际完成的日期</t>
  </si>
  <si>
    <t>格式 YYYY-MM-DD，用于确认收入确认时点</t>
  </si>
  <si>
    <t>Invoice/cac:Delivery/cbc:ActualDeliveryDate</t>
  </si>
  <si>
    <t>2023/01/15</t>
  </si>
  <si>
    <t>LatestDeliveryDate</t>
  </si>
  <si>
    <t>Delivery_LatestDeliveryDate</t>
  </si>
  <si>
    <t>最晚交付日期</t>
  </si>
  <si>
    <t>截止日期&lt;br&gt;Latest Date</t>
  </si>
  <si>
    <t>承诺或要求的最后交付日期</t>
  </si>
  <si>
    <t>Invoice/cac:Delivery/cbc:LatestDeliveryDate</t>
  </si>
  <si>
    <t>2023/01/20</t>
  </si>
  <si>
    <t>Location</t>
  </si>
  <si>
    <t>DeliveryLocation.ID</t>
  </si>
  <si>
    <t>Delivery_DeliveryLocation_ID</t>
  </si>
  <si>
    <t>交付地点标识</t>
  </si>
  <si>
    <t>地点代码&lt;br&gt;Location ID</t>
  </si>
  <si>
    <t>交货地点的唯一标识符 (如 GLN)</t>
  </si>
  <si>
    <t>字符串，通常用于系统自动识别地址</t>
  </si>
  <si>
    <t>Invoice/cac:Delivery/cac:DeliveryLocation/cbc:ID</t>
  </si>
  <si>
    <t>DeliveryLocation.ID.schemeID</t>
  </si>
  <si>
    <t>Delivery_ID_schemeID</t>
  </si>
  <si>
    <t>交付地点标识编码方案</t>
  </si>
  <si>
    <t>方案代码&lt;br&gt;Scheme ID</t>
  </si>
  <si>
    <t>标识符的编码体系</t>
  </si>
  <si>
    <t>如 0088 (GLN)</t>
  </si>
  <si>
    <t>Invoice/cac:Delivery/cac:DeliveryLocation/cbc:ID/@schemeID</t>
  </si>
  <si>
    <t>DeliveryLocation.Description</t>
  </si>
  <si>
    <t>Delivery_DeliveryLocation_Desc</t>
  </si>
  <si>
    <t>交付地点描述</t>
  </si>
  <si>
    <t>地点说明&lt;br&gt;Description</t>
  </si>
  <si>
    <t>交货地点的文本描述</t>
  </si>
  <si>
    <t>用于辅助识别交货点（如“西门仓库”）</t>
  </si>
  <si>
    <t>Invoice/cac:Delivery/cac:DeliveryLocation/cbc:Description</t>
  </si>
  <si>
    <t>Warehouse West Gate</t>
  </si>
  <si>
    <t>Delivery_Addr</t>
  </si>
  <si>
    <t>交付地点</t>
  </si>
  <si>
    <t>送货地址&lt;br&gt;Ship-to Address</t>
  </si>
  <si>
    <t>交货的具体物理地址结构</t>
  </si>
  <si>
    <t>必须包含足够的地址要素供物流使用</t>
  </si>
  <si>
    <t>Invoice/cac:Delivery/cac:DeliveryLocation/cac:Address</t>
  </si>
  <si>
    <t>DeliveryLocation.Address.Postbox</t>
  </si>
  <si>
    <t>Delivery_Addr_Postbox</t>
  </si>
  <si>
    <t>交付地点邮政信箱</t>
  </si>
  <si>
    <t>信箱号&lt;br&gt;PO Box</t>
  </si>
  <si>
    <t>交货地址的邮政信箱</t>
  </si>
  <si>
    <t>通常用于非物理直接交付的场景</t>
  </si>
  <si>
    <t>Invoice/cac:Delivery/cac:DeliveryLocation/cac:Address/cbc:Postbox</t>
  </si>
  <si>
    <t>DeliveryLocation.Address.Floor</t>
  </si>
  <si>
    <t>Delivery_Addr_Floor</t>
  </si>
  <si>
    <t>交付地点楼层</t>
  </si>
  <si>
    <t>楼层&lt;br&gt;Floor</t>
  </si>
  <si>
    <t>交货地址的楼层信息</t>
  </si>
  <si>
    <t>Invoice/cac:Delivery/cac:DeliveryLocation/cac:Address/cbc:Floor</t>
  </si>
  <si>
    <t>5F</t>
  </si>
  <si>
    <t>DeliveryLocation.Address.Room</t>
  </si>
  <si>
    <t>Delivery_Addr_Room</t>
  </si>
  <si>
    <t>交付地点房间号</t>
  </si>
  <si>
    <t>房间号&lt;br&gt;Room</t>
  </si>
  <si>
    <t>交货地址的房间或套间号</t>
  </si>
  <si>
    <t>Invoice/cac:Delivery/cac:DeliveryLocation/cac:Address/cbc:Room</t>
  </si>
  <si>
    <t>DeliveryLocation.Address.StreetName</t>
  </si>
  <si>
    <t>Delivery_Addr_StreetName</t>
  </si>
  <si>
    <t>交付地点街道名</t>
  </si>
  <si>
    <t>街道&lt;br&gt;Street</t>
  </si>
  <si>
    <t>交货地址的街道名称</t>
  </si>
  <si>
    <t>必填项，物流配送关键信息</t>
  </si>
  <si>
    <t>Invoice/cac:Delivery/cac:DeliveryLocation/cac:Address/cbc:StreetName</t>
  </si>
  <si>
    <t>Nanjing Road</t>
  </si>
  <si>
    <t>DeliveryLocation.Address.AdditionalStreetName</t>
  </si>
  <si>
    <t>Delivery_Addr_AddlStreetName</t>
  </si>
  <si>
    <t>交付地点附加街道名</t>
  </si>
  <si>
    <t>地址补充&lt;br&gt;Street 2</t>
  </si>
  <si>
    <t>交货地址的补充信息</t>
  </si>
  <si>
    <t>如工业园名称、地标等</t>
  </si>
  <si>
    <t>Invoice/cac:Delivery/cac:DeliveryLocation/cac:Address/cbc:AdditionalStreetName</t>
  </si>
  <si>
    <t>Building B</t>
  </si>
  <si>
    <t>DeliveryLocation.Address.CityName</t>
  </si>
  <si>
    <t>Delivery_Addr_CityName</t>
  </si>
  <si>
    <t>交付地点城市名</t>
  </si>
  <si>
    <t>城市&lt;br&gt;City</t>
  </si>
  <si>
    <t>交货地址所在的城市</t>
  </si>
  <si>
    <t>Invoice/cac:Delivery/cac:DeliveryLocation/cac:Address/cbc:CityName</t>
  </si>
  <si>
    <t>Shanghai</t>
  </si>
  <si>
    <t>DeliveryLocation.Address.PostalZone</t>
  </si>
  <si>
    <t>Delivery_Addr_PostalZone</t>
  </si>
  <si>
    <t>交付地点邮政编码</t>
  </si>
  <si>
    <t>邮编&lt;br&gt;Zip Code</t>
  </si>
  <si>
    <t>交货地址的邮政编码</t>
  </si>
  <si>
    <t>需符合目的地国家的邮编格式</t>
  </si>
  <si>
    <t>Invoice/cac:Delivery/cac:DeliveryLocation/cac:Address/cbc:PostalZone</t>
  </si>
  <si>
    <t>DeliveryLocation.Address.CountrySubentity</t>
  </si>
  <si>
    <t>Delivery_Addr _Subentity</t>
  </si>
  <si>
    <t>交付地点的省/州/地区</t>
  </si>
  <si>
    <t>省份&lt;br&gt;Region</t>
  </si>
  <si>
    <t>交货地址的省/州</t>
  </si>
  <si>
    <t>建议填写全称</t>
  </si>
  <si>
    <t>Invoice/cac:Delivery/cac:DeliveryLocation/cac:Address /cbc:CountrySubentity</t>
  </si>
  <si>
    <t>DeliveryLocation.Address.AddressLine</t>
  </si>
  <si>
    <t>Delivery_Addr_AddrLine</t>
  </si>
  <si>
    <t>地址行&lt;br&gt;Address Line</t>
  </si>
  <si>
    <t>结构化地址的补充行</t>
  </si>
  <si>
    <t>聚合类</t>
  </si>
  <si>
    <t>Invoice/cac:Delivery/cac:DeliveryLocation/cac:Address/cbc:AddressLine</t>
  </si>
  <si>
    <t>DeliveryLocation.Address.AddressLine.Line</t>
  </si>
  <si>
    <t>Delivery_AddrLine_Line</t>
  </si>
  <si>
    <t>详细地址&lt;br&gt;Line</t>
  </si>
  <si>
    <t>自由文本形式的完整地址</t>
  </si>
  <si>
    <t>用于打印运单</t>
  </si>
  <si>
    <t>Invoice/cac:Delivery/cac:DeliveryLocation/cac:Address/cbc:AddressLine/cbc:Line</t>
  </si>
  <si>
    <t>No.123 Nanjing Road, Shanghai</t>
  </si>
  <si>
    <t>DeliveryLocation.Address.Country.IdentificationCode</t>
  </si>
  <si>
    <t>Delivery_Country_Code</t>
  </si>
  <si>
    <t>交付地点国家</t>
  </si>
  <si>
    <t>国家代码&lt;br&gt;Country Code</t>
  </si>
  <si>
    <t>交货地址的国家代码</t>
  </si>
  <si>
    <t>Invoice/cac:Delivery/cac:DeliveryLocation/cac:Address/cac:Country/cbc:IdentificationCode</t>
  </si>
  <si>
    <t>DeliveryLocation.Country.Name</t>
  </si>
  <si>
    <t>Delivery_Country_Name</t>
  </si>
  <si>
    <t>交付地点国家名称</t>
  </si>
  <si>
    <t>国家名称&lt;br&gt;Country Name</t>
  </si>
  <si>
    <t>交货地址的国家全称</t>
  </si>
  <si>
    <t>Invoice/cac:Delivery/cac:DeliveryLocation/cac:Country/cbc:Name</t>
  </si>
  <si>
    <t>CarrierParty.PartyName.Name</t>
  </si>
  <si>
    <t>Delivery_CarrierParty_Name</t>
  </si>
  <si>
    <t>运输方名称</t>
  </si>
  <si>
    <t>承运商&lt;br&gt;Carrier Name</t>
  </si>
  <si>
    <t>负责运输的物流公司名称</t>
  </si>
  <si>
    <t>Invoice/cac:Delivery/cac:CarrierParty/cac:PartyName/cbc:Name</t>
  </si>
  <si>
    <t>SF Express</t>
  </si>
  <si>
    <t>Delivery_DeliveryParty_TaxScheme</t>
  </si>
  <si>
    <t>交付方税务信息</t>
  </si>
  <si>
    <t>收货方税号信息&lt;br&gt;Tax Info</t>
  </si>
  <si>
    <t>收货方的税务登记信息</t>
  </si>
  <si>
    <t>通常用于跨境贸易清关</t>
  </si>
  <si>
    <t>Invoice/cac:Delivery/cac:DeliveryParty/cac:PartyTaxScheme</t>
  </si>
  <si>
    <t>Delivery_DeliveryParty_TaxSchemeId</t>
  </si>
  <si>
    <t>交付方税务编码</t>
  </si>
  <si>
    <t>税务方案标识符</t>
  </si>
  <si>
    <t>如 VAT</t>
  </si>
  <si>
    <t>Invoice/cac:Delivery/cac:DeliveryParty/cac:PartyTaxScheme/cac:TaxScheme/cbc:ID</t>
  </si>
  <si>
    <t>Delivery_DeliveryParty_TaxId</t>
  </si>
  <si>
    <t>交付方税务标识</t>
  </si>
  <si>
    <t>税号&lt;br&gt;Tax ID</t>
  </si>
  <si>
    <t>收货方的纳税人识别号</t>
  </si>
  <si>
    <t>Invoice/cac:Delivery/cac:DeliveryParty/cac:PartyTaxScheme/cbc:CompanyID</t>
  </si>
  <si>
    <t>Delivery_DeliveryParty_Legal</t>
  </si>
  <si>
    <t>交付方</t>
  </si>
  <si>
    <t>收货方法律实体&lt;br&gt;Legal Entity</t>
  </si>
  <si>
    <t>收货方的工商注册信息</t>
  </si>
  <si>
    <t>标识收货主体的法律身份</t>
  </si>
  <si>
    <t>Invoice/cac:Delivery/cac:DeliveryParty/cac:PartyLegalEntity</t>
  </si>
  <si>
    <t>DeliveryParty.PartyName.Name</t>
  </si>
  <si>
    <t>Delivery_DeliveryParty_Name</t>
  </si>
  <si>
    <t>交付方名称</t>
  </si>
  <si>
    <t>收货方名称&lt;br&gt;Party Name</t>
  </si>
  <si>
    <t>收货方的正式注册名称</t>
  </si>
  <si>
    <t>必须与工商注册一致</t>
  </si>
  <si>
    <t>Invoice/cac:Delivery/cac:DeliveryParty/cac:PartyLegalEntity/cbc:RegistrationName</t>
  </si>
  <si>
    <t>ABC Trading Co., Ltd.</t>
  </si>
  <si>
    <t>DeliveryParty.Contact.Name</t>
  </si>
  <si>
    <t>Delivery_Contact_Name</t>
  </si>
  <si>
    <t>交付方联系人姓名</t>
  </si>
  <si>
    <t>收货人&lt;br&gt;Contact Name</t>
  </si>
  <si>
    <t>收货现场联系人的姓名</t>
  </si>
  <si>
    <t>Invoice/cac:Delivery/cac:DeliveryParty/cac:Contact/cbc:Name</t>
  </si>
  <si>
    <t>John Doe</t>
  </si>
  <si>
    <t>DeliveryParty.Contact.Telephone</t>
  </si>
  <si>
    <t>Delivery_Contact_Phone</t>
  </si>
  <si>
    <t>交付方联系人电话</t>
  </si>
  <si>
    <t>收货电话&lt;br&gt;Phone</t>
  </si>
  <si>
    <t>收货联系人的电话</t>
  </si>
  <si>
    <t>建议包含国家代码</t>
  </si>
  <si>
    <t>Invoice/cac:Delivery/cac:DeliveryParty/cac:Contact/cbc:Telephone</t>
  </si>
  <si>
    <t>DeliveryParty.Contact.ElectronicMail</t>
  </si>
  <si>
    <t>Delivery_Contact_Email</t>
  </si>
  <si>
    <t>交付方联系人邮箱</t>
  </si>
  <si>
    <t>收货邮箱&lt;br&gt;Email</t>
  </si>
  <si>
    <t>收货联系人的邮箱</t>
  </si>
  <si>
    <t>必须符合 Email 格式</t>
  </si>
  <si>
    <t>Invoice/cac:Delivery/cac:DeliveryParty/cac:Contact/cbc:ElectronicMail</t>
  </si>
  <si>
    <t>delivery@abc.com</t>
  </si>
  <si>
    <t>Delivery_Ship_Id</t>
  </si>
  <si>
    <t>发货单标识</t>
  </si>
  <si>
    <t>运单号&lt;br&gt;Shipment ID</t>
  </si>
  <si>
    <t>物流运单号或发货单号</t>
  </si>
  <si>
    <t>字符串，用于物流追踪</t>
  </si>
  <si>
    <t>SHIP-2023-888</t>
  </si>
  <si>
    <t>Delivery_Ship_Addr</t>
  </si>
  <si>
    <t>发货地址</t>
  </si>
  <si>
    <t>起运地&lt;br&gt;Origin Address</t>
  </si>
  <si>
    <t>货物的发货/起运地址</t>
  </si>
  <si>
    <t>物流起始点信息</t>
  </si>
  <si>
    <t>Invoice/cac:Delivery/cac:Shipment/cac:OriginAddress</t>
  </si>
  <si>
    <t>Delivery_Ship_Addr_Postbox</t>
  </si>
  <si>
    <t>信箱&lt;br&gt;PO Box</t>
  </si>
  <si>
    <t>发货地址的邮政信箱</t>
  </si>
  <si>
    <t>Invoice/cac:Delivery/cac:Shipment/cac:OriginAddress/cbc:Postbox</t>
  </si>
  <si>
    <t>Delivery_Ship_Addr_StreetName</t>
  </si>
  <si>
    <t>发货地址的街道名称</t>
  </si>
  <si>
    <t>必填项</t>
  </si>
  <si>
    <t>Invoice/cac:Delivery/cac:Shipment/cac:OriginAddress/cbc:StreetName</t>
  </si>
  <si>
    <t>Industry Road</t>
  </si>
  <si>
    <t>Delivery_Ship_Addr_AddlStreetName</t>
  </si>
  <si>
    <t>发货地址的补充信息</t>
  </si>
  <si>
    <t>Invoice/cac:Delivery/cac:Shipment/cac:OriginAddress/cbc:AdditionalStreetName</t>
  </si>
  <si>
    <t>Zone A</t>
  </si>
  <si>
    <t>Delivery_Ship_Addr_BuildingNumber</t>
  </si>
  <si>
    <t>门牌号&lt;br&gt;Building</t>
  </si>
  <si>
    <t>发货地址的门牌/楼号</t>
  </si>
  <si>
    <t>Invoice/cac:Delivery/cac:Shipment/cac:OriginAddress/cbc:BuildingNumber</t>
  </si>
  <si>
    <t>Delivery_Ship_Addr_Department</t>
  </si>
  <si>
    <t>发货部门&lt;br&gt;Dept</t>
  </si>
  <si>
    <t>负责发货的部门名称</t>
  </si>
  <si>
    <t>Invoice/cac:Delivery/cac:Shipment/cac:OriginAddress/cbc:Department</t>
  </si>
  <si>
    <t>Logistics Dept</t>
  </si>
  <si>
    <t>Delivery_Ship_Addr_PlotId</t>
  </si>
  <si>
    <t>地块&lt;br&gt;Plot ID</t>
  </si>
  <si>
    <t>发货地址的地块标识</t>
  </si>
  <si>
    <t>Invoice/cac:Delivery/cac:Shipment/cac:OriginAddress/cbc:PlotIdentification</t>
  </si>
  <si>
    <t>Delivery_Ship_Addr_CitySubName</t>
  </si>
  <si>
    <t>行政区&lt;br&gt;District</t>
  </si>
  <si>
    <t>发货地址的行政区划</t>
  </si>
  <si>
    <t>Invoice/cac:Delivery/cac:Shipment/cac:OriginAddress/cbc:CitySubdivisionName</t>
  </si>
  <si>
    <t>Haidian District</t>
  </si>
  <si>
    <t>Delivery_Ship_Addr_CityName</t>
  </si>
  <si>
    <t>发货地址的城市</t>
  </si>
  <si>
    <t>必须是有效城市名</t>
  </si>
  <si>
    <t>Invoice/cac:Delivery/cac:Shipment/cac:OriginAddress/cbc:CityName</t>
  </si>
  <si>
    <t>Beijing</t>
  </si>
  <si>
    <t>Delivery_Ship_Addr_PostalZone</t>
  </si>
  <si>
    <t>邮编&lt;br&gt;Postal Code</t>
  </si>
  <si>
    <t>发货地址的邮政编码</t>
  </si>
  <si>
    <t>Invoice/cac:Delivery/cac:Shipment/cac:OriginAddress/cbc:PostalZone</t>
  </si>
  <si>
    <t>Delivery_Ship_Addr_Subentity</t>
  </si>
  <si>
    <t>省份&lt;br&gt;Province</t>
  </si>
  <si>
    <t>发货地址的省份</t>
  </si>
  <si>
    <t>Invoice/cac:Delivery/cac:Shipment/cac:OriginAddress/cbc:CountrySubentity</t>
  </si>
  <si>
    <t>Delivery_Ship_Addr_AddrLine</t>
  </si>
  <si>
    <t>结构化地址的补充</t>
  </si>
  <si>
    <t>Invoice/cac:Delivery/cac:Shipment/cac:OriginAddress/cac:AddressLine</t>
  </si>
  <si>
    <t>Delivery_Ship_Addr_Line</t>
  </si>
  <si>
    <t>自由文本地址</t>
  </si>
  <si>
    <t>Invoice/cac:Delivery/cac:Shipment/cac:OriginAddress/cac:AddressLine/cbc:Line</t>
  </si>
  <si>
    <t>No.88 Industry Road, Beijing</t>
  </si>
  <si>
    <t>Delivery_Ship_Addr_CountryCode</t>
  </si>
  <si>
    <t>发货地址的国家代码</t>
  </si>
  <si>
    <t>Invoice/cac:Delivery/cac:Shipment/cac:OriginAddress/cac:Country/cbc:IdentificationCode</t>
  </si>
  <si>
    <t>Delivery_Ship_Addr_CountryName</t>
  </si>
  <si>
    <t>国家名&lt;br&gt;Country Name</t>
  </si>
  <si>
    <t>发货地址的国家名称</t>
  </si>
  <si>
    <t>Invoice/cac:Delivery/cac:Shipment/cac:OriginAddress/cac:Country/cbc:Name</t>
  </si>
  <si>
    <t>Delivery_Ship_LastPort</t>
  </si>
  <si>
    <t>港口</t>
  </si>
  <si>
    <t>出口港&lt;br&gt;Exit Port</t>
  </si>
  <si>
    <t>货物离开出口国的最后港口/地点</t>
  </si>
  <si>
    <t>用于国际贸易物流</t>
  </si>
  <si>
    <t>Invoice/cac:Delivery/cac:Shipment/cac:LastExitPortLocation</t>
  </si>
  <si>
    <t>DeliveryTerms</t>
  </si>
  <si>
    <t>交货条款</t>
  </si>
  <si>
    <t>贸易条款&lt;br&gt;Incoterms</t>
  </si>
  <si>
    <t>约定交货责任和风险转移的条款</t>
  </si>
  <si>
    <t>如 CIF, FOB, EXW</t>
  </si>
  <si>
    <t>Invoice/cac:DeliveryTerms</t>
  </si>
  <si>
    <t>DeliveryTerms_ID</t>
  </si>
  <si>
    <t>交货条款标识</t>
  </si>
  <si>
    <t>条款代码&lt;br&gt;Incoterm Code</t>
  </si>
  <si>
    <t>贸易术语代码</t>
  </si>
  <si>
    <t>建议使用 Incoterms 代码 (如 CIF, FOB)</t>
  </si>
  <si>
    <t>Invoice/cac:DeliveryTerms/cbc:ID</t>
  </si>
  <si>
    <t>CIF</t>
  </si>
  <si>
    <t>SpecialTerms</t>
  </si>
  <si>
    <t>DeliveryTerms_SpecialTerms</t>
  </si>
  <si>
    <t>特殊条款</t>
  </si>
  <si>
    <t>补充条款&lt;br&gt;Special Terms</t>
  </si>
  <si>
    <t>对标准交货条款的补充描述</t>
  </si>
  <si>
    <t>自由文本</t>
  </si>
  <si>
    <t>Invoice/cac:DeliveryTerms/cbc:SpecialTerms</t>
  </si>
  <si>
    <t>Insurance covered by seller</t>
  </si>
  <si>
    <t>LossRiskResponsibilityCode</t>
  </si>
  <si>
    <t>DeliveryTerms_LossRiskRespCode</t>
  </si>
  <si>
    <t>损失风险责任代码</t>
  </si>
  <si>
    <t>风险代码&lt;br&gt;Risk Code</t>
  </si>
  <si>
    <t>描述谁承担损失风险的代码</t>
  </si>
  <si>
    <t>较少使用，通常由 ID (Incoterms) 隐含</t>
  </si>
  <si>
    <t>Invoice/cac:DeliveryTerms/cbc:LossRiskResponsibilityCode</t>
  </si>
  <si>
    <t>LossRisk</t>
  </si>
  <si>
    <t>DeliveryTerms_LossRisk</t>
  </si>
  <si>
    <t>损失风险</t>
  </si>
  <si>
    <t>风险描述&lt;br&gt;Loss Risk</t>
  </si>
  <si>
    <t>损失风险责任的文本描述</t>
  </si>
  <si>
    <t>说明风险何时转移</t>
  </si>
  <si>
    <t>Invoice/cac:DeliveryTerms/cbc:LossRisk</t>
  </si>
  <si>
    <t>Risk passes on loading</t>
  </si>
  <si>
    <t>PaymentMeans</t>
  </si>
  <si>
    <t>PmtMeans</t>
  </si>
  <si>
    <t>支付方式信息</t>
  </si>
  <si>
    <t>付款方式&lt;br&gt;Payment Means</t>
  </si>
  <si>
    <t>定义发票的预期付款方式</t>
  </si>
  <si>
    <t>可包含银行账户、卡信息等</t>
  </si>
  <si>
    <t>Invoice/cac:PaymentMeans</t>
  </si>
  <si>
    <t>PaymentMeansCode</t>
  </si>
  <si>
    <t>PmtMeans_Code</t>
  </si>
  <si>
    <t>支付方式</t>
  </si>
  <si>
    <t>付款代码&lt;br&gt;Means Code</t>
  </si>
  <si>
    <t>付款方式的代码</t>
  </si>
  <si>
    <t>必须符合 UN/ECE 4461 代码表 (如 30=汇款, 42=银行账户)</t>
  </si>
  <si>
    <t>Invoice/cac:PaymentMeans/cbc:PaymentMeansCode</t>
  </si>
  <si>
    <t>PaymentMeansCode.name</t>
  </si>
  <si>
    <t>PmtMeans_Code_name</t>
  </si>
  <si>
    <t>支付方式代码名称</t>
  </si>
  <si>
    <t>方式名称&lt;br&gt;Code Name</t>
  </si>
  <si>
    <t>付款方式的名称说明</t>
  </si>
  <si>
    <t>对应代码的文本解释</t>
  </si>
  <si>
    <t>Invoice/cac:PaymentMeans/cbc:PaymentMeansCode/@name</t>
  </si>
  <si>
    <t>Credit Transfer</t>
  </si>
  <si>
    <t>PaymentID</t>
  </si>
  <si>
    <t>PmtMeans_PaymentID</t>
  </si>
  <si>
    <t>支付标识</t>
  </si>
  <si>
    <t>汇款附言&lt;br&gt;Remittance ID</t>
  </si>
  <si>
    <t>用于对账的付款参考号</t>
  </si>
  <si>
    <t>支付时需附带此ID以便收款方核销</t>
  </si>
  <si>
    <t>Invoice/cac:PaymentMeans/cbc:PaymentID</t>
  </si>
  <si>
    <t>INV-2023-001</t>
  </si>
  <si>
    <t>CardAccount</t>
  </si>
  <si>
    <t>CardAccount.PrimaryAccountNumberID</t>
  </si>
  <si>
    <t>PmtMeans_Account_ID</t>
  </si>
  <si>
    <t>银行卡账户主账号ID</t>
  </si>
  <si>
    <t>卡号&lt;br&gt;Card No (Masked)</t>
  </si>
  <si>
    <t>支付卡的主账号 (PAN)</t>
  </si>
  <si>
    <t>出于安全需脱敏，仅显示后四位</t>
  </si>
  <si>
    <t>Invoice/cac:PaymentMeans/cac:CardAccount/cbc:PrimaryAccountNumberID</t>
  </si>
  <si>
    <t>****1234</t>
  </si>
  <si>
    <t>CardAccount.NetworkID</t>
  </si>
  <si>
    <t>PmtMeans_Account_NetworkID</t>
  </si>
  <si>
    <t>卡账户网络ID</t>
  </si>
  <si>
    <t>发卡行/网络&lt;br&gt;Network</t>
  </si>
  <si>
    <t>银行卡网络名称</t>
  </si>
  <si>
    <t>如 Visa, MasterCard, UnionPay</t>
  </si>
  <si>
    <t>Invoice/cac:PaymentMeans/cac:CardAccount/cbc:NetworkID</t>
  </si>
  <si>
    <t>UnionPay</t>
  </si>
  <si>
    <t>CardAccount.HolderName</t>
  </si>
  <si>
    <t>PmtMeans_Account_Name</t>
  </si>
  <si>
    <t>卡账户持有人姓名</t>
  </si>
  <si>
    <t>持卡人&lt;br&gt;Holder Name</t>
  </si>
  <si>
    <t>银行卡持有人的姓名</t>
  </si>
  <si>
    <t>Invoice/cac:PaymentMeans/cac:CardAccount/cbc:HolderName</t>
  </si>
  <si>
    <t>Zhang San</t>
  </si>
  <si>
    <t>FinancialAccount</t>
  </si>
  <si>
    <t>PayeeFinancialAccount.ID</t>
  </si>
  <si>
    <t>PmtMeans_Fin_ID</t>
  </si>
  <si>
    <t>收款账户号</t>
  </si>
  <si>
    <t>银行账号&lt;br&gt;Account No</t>
  </si>
  <si>
    <t>收款方的银行账号</t>
  </si>
  <si>
    <t>IBAN 或本地银行账号</t>
  </si>
  <si>
    <t>Invoice/cac:PaymentMeans/cac:PayeeFinancialAccount/cbc:ID</t>
  </si>
  <si>
    <t>PayeeFinancialAccount.Name</t>
  </si>
  <si>
    <t>PmtMeans_Fin_Name</t>
  </si>
  <si>
    <t>收款账户名称</t>
  </si>
  <si>
    <t>户名&lt;br&gt;Account Name</t>
  </si>
  <si>
    <t>银行账户的户名</t>
  </si>
  <si>
    <t>通常为公司全称</t>
  </si>
  <si>
    <t>Invoice/cac:PaymentMeans/cac:PayeeFinancialAccount/cbc:Name</t>
  </si>
  <si>
    <t>XX Technology Co., Ltd.</t>
  </si>
  <si>
    <t>PayeeFinancialAccount.CurrencyCode</t>
  </si>
  <si>
    <t>PmtMeans_Fin_CurrencyCode</t>
  </si>
  <si>
    <t>收款账户币种代码</t>
  </si>
  <si>
    <t>账户币种&lt;br&gt;Currency</t>
  </si>
  <si>
    <t>银行账户持有的货币代码</t>
  </si>
  <si>
    <t>必须符合 ISO 4217 标准</t>
  </si>
  <si>
    <t>Invoice/cac:PaymentMeans/cac:PayeeFinancialAccount/cbc:CurrencyCode</t>
  </si>
  <si>
    <t>Branch</t>
  </si>
  <si>
    <t>PayeeFinancialAccount.FinancialInstitutionBranch.ID</t>
  </si>
  <si>
    <t>PmtMeans_Fin_BrchID</t>
  </si>
  <si>
    <t>银行机构ID</t>
  </si>
  <si>
    <t>联行号/BIC&lt;br&gt;Bank ID</t>
  </si>
  <si>
    <t>开户行的唯一标识</t>
  </si>
  <si>
    <t>BIC/SWIFT 或国内联行号</t>
  </si>
  <si>
    <t>Invoice/cac:PaymentMeans/cac:PayeeFinancialAccount/cac:FinancialInstitutionBranch/cbc:ID</t>
  </si>
  <si>
    <t>ICBCCNBJ</t>
  </si>
  <si>
    <t>PayeeFinancialAccount.FinancialInstitutionBranch.Name</t>
  </si>
  <si>
    <t>PmtMeans_Fin_BrchName</t>
  </si>
  <si>
    <t>银行机构名称</t>
  </si>
  <si>
    <t>银行名称&lt;br&gt;Bank Name</t>
  </si>
  <si>
    <t>开户银行支行的名称</t>
  </si>
  <si>
    <t>Invoice/cac:PaymentMeans/cac:PayeeFinancialAccount/cac:FinancialInstitutionBranch/cbc:Name</t>
  </si>
  <si>
    <t>ICBC Beijing Branch</t>
  </si>
  <si>
    <t>PmtMeans_Fin_BrchAddr</t>
  </si>
  <si>
    <t>机构地址</t>
  </si>
  <si>
    <t>银行地址&lt;br&gt;Bank Address</t>
  </si>
  <si>
    <t>开户行的物理地址</t>
  </si>
  <si>
    <t>Invoice/cac:PaymentMeans/cac:PayeeFinancialAccount/cac:FinancialInstitutionBranch/cac:Address</t>
  </si>
  <si>
    <t>PayeeFinancialAccount.FinancialInstitutionBranch.Address.Postbox</t>
  </si>
  <si>
    <t>PmtMeans_Fin_BrchAddr_Postbox</t>
  </si>
  <si>
    <t>机构地址邮政信箱</t>
  </si>
  <si>
    <t>银行信箱&lt;br&gt;PO Box</t>
  </si>
  <si>
    <t>银行地址信箱</t>
  </si>
  <si>
    <t>Invoice/cac:PaymentMeans/cac:PayeeFinancialAccount/cac:FinancialInstitutionBranch/cac:Address/cbc:Postbox</t>
  </si>
  <si>
    <t>PayeeFinancialAccount.FinancialInstitutionBranch.Address.Floor</t>
  </si>
  <si>
    <t>PmtMeans_Fin_BrchAddr_Floor</t>
  </si>
  <si>
    <t>机构地址楼层</t>
  </si>
  <si>
    <t>银行楼层&lt;br&gt;Floor</t>
  </si>
  <si>
    <t>银行地址楼层</t>
  </si>
  <si>
    <t>Invoice/cac:PaymentMeans/cac:PayeeFinancialAccount/cac:FinancialInstitutionBranch/cac:Address/cbc:Floor</t>
  </si>
  <si>
    <t>1F</t>
  </si>
  <si>
    <t>PayeeFinancialAccount.FinancialInstitutionBranch.Address.Room</t>
  </si>
  <si>
    <t>PmtMeans_Fin_BrchAddr_Room</t>
  </si>
  <si>
    <t>机构地址房间号</t>
  </si>
  <si>
    <t>银行房间&lt;br&gt;Room</t>
  </si>
  <si>
    <t>银行地址房间号</t>
  </si>
  <si>
    <t>Invoice/cac:PaymentMeans/cac:PayeeFinancialAccount/cac:FinancialInstitutionBranch/cac:Address/cbc:Room</t>
  </si>
  <si>
    <t>PayeeFinancialAccount.FinancialInstitutionBranch.Address.StreetName</t>
  </si>
  <si>
    <t>PmtMeans_Fin_BrchAddr_StreetName</t>
  </si>
  <si>
    <t>机构地址街道</t>
  </si>
  <si>
    <t>银行街道&lt;br&gt;Street</t>
  </si>
  <si>
    <t>银行地址街道名</t>
  </si>
  <si>
    <t>Invoice/cac:PaymentMeans/cac:PayeeFinancialAccount/cac:FinancialInstitutionBranch/cac:Address/cbc:StreetName</t>
  </si>
  <si>
    <t>Finance Street</t>
  </si>
  <si>
    <t>PayeeFinancialAccount.FinancialInstitutionBranch.Address.CityName</t>
  </si>
  <si>
    <t>PmtMeans_Fin_BrchAddr_CityName</t>
  </si>
  <si>
    <t>分支机构地址城市</t>
  </si>
  <si>
    <t>银行城市&lt;br&gt;City</t>
  </si>
  <si>
    <t>银行所在城市</t>
  </si>
  <si>
    <t>Invoice/cac:PaymentMeans/cac:PayeeFinancialAccount/cac:FinancialInstitutionBranch/cac:Address/cbc:CityName</t>
  </si>
  <si>
    <t>PayeeFinancialAccount.FinancialInstitutionBranch.Address.Country.IdentificationCode</t>
  </si>
  <si>
    <t>PmtMeans_Fin_BrchCountry_Code</t>
  </si>
  <si>
    <t>分支机构地址国家</t>
  </si>
  <si>
    <t>银行国家&lt;br&gt;Country</t>
  </si>
  <si>
    <t>银行所在国家代码</t>
  </si>
  <si>
    <t>ISO 3166-1 Alpha-2</t>
  </si>
  <si>
    <t>Invoice/cac:PaymentMeans/cac:PayeeFinancialAccount/cac:FinancialInstitutionBranch/cac:Address/cac:Country/cbc:IdentificationCode</t>
  </si>
  <si>
    <t>PaymentMandate</t>
  </si>
  <si>
    <t>PaymentMandate.ID</t>
  </si>
  <si>
    <t>PmtMeans_Mandate_ID</t>
  </si>
  <si>
    <t>支付授权标识</t>
  </si>
  <si>
    <t>协议号&lt;br&gt;Mandate ID</t>
  </si>
  <si>
    <t>自动扣款授权协议号</t>
  </si>
  <si>
    <t>用于 SEPA Direct Debit 等场景</t>
  </si>
  <si>
    <t>Invoice/cac:PaymentMeans/cac:PaymentMandate/cbc:ID</t>
  </si>
  <si>
    <t>MND-12345</t>
  </si>
  <si>
    <t>PaymentMandate.PayerFinancialAccount.ID</t>
  </si>
  <si>
    <t>PmtMeans_Mandate_PayerFin_ID</t>
  </si>
  <si>
    <t>付款账户ID</t>
  </si>
  <si>
    <t>付款账号&lt;br&gt;Debtor Account</t>
  </si>
  <si>
    <t>付款方用于扣款的银行账号</t>
  </si>
  <si>
    <t>Invoice/cac:PaymentMeans/cac:PaymentMandate/cac:PayerFinancialAccount/cbc:ID</t>
  </si>
  <si>
    <t>622202...</t>
  </si>
  <si>
    <t>PaymentTerms</t>
  </si>
  <si>
    <t>PmtTerms</t>
  </si>
  <si>
    <t>付款条款</t>
  </si>
  <si>
    <t>账期条款&lt;br&gt;Payment Terms</t>
  </si>
  <si>
    <t>约定发票付款期限和条件</t>
  </si>
  <si>
    <t>如 Net 30, COD</t>
  </si>
  <si>
    <t>Invoice/cac:PaymentTerms</t>
  </si>
  <si>
    <t>PmtTerms_Note</t>
  </si>
  <si>
    <t>付款条款备注</t>
  </si>
  <si>
    <t>条款描述&lt;br&gt;Note</t>
  </si>
  <si>
    <t>付款条款的文本描述</t>
  </si>
  <si>
    <t>如 "Net 30 Days"</t>
  </si>
  <si>
    <t>Invoice/cac:PaymentTerms/cbc:Note</t>
  </si>
  <si>
    <t>Payment due within 30 days</t>
  </si>
  <si>
    <t>PenaltySurchargePercent</t>
  </si>
  <si>
    <t>PmtTerms_PenaltySurchargePercent</t>
  </si>
  <si>
    <t>罚款附加百分比</t>
  </si>
  <si>
    <t>罚息率&lt;br&gt;Penalty%</t>
  </si>
  <si>
    <t>逾期付款的罚息比率</t>
  </si>
  <si>
    <t>纯数值，如 5.0 表示 5%</t>
  </si>
  <si>
    <t>Invoice/cac:PaymentTerms/cbc:PenaltySurchargePercent</t>
  </si>
  <si>
    <t>PrepaidPayment</t>
  </si>
  <si>
    <t>PmtTerms_PrepaidPayment</t>
  </si>
  <si>
    <t>预付款项</t>
  </si>
  <si>
    <t>已付金额&lt;br&gt;Prepaid</t>
  </si>
  <si>
    <t>发票开具前已支付的金额信息</t>
  </si>
  <si>
    <t>用于从应付总额中扣除</t>
  </si>
  <si>
    <t>Invoice/cac:PrepaidPayment</t>
  </si>
  <si>
    <t>Payment</t>
  </si>
  <si>
    <t>PrepaidPaymentID</t>
  </si>
  <si>
    <t>Prepaid_Id</t>
  </si>
  <si>
    <t>预付款ID</t>
  </si>
  <si>
    <t>预付单号&lt;br&gt;Prepaid ID</t>
  </si>
  <si>
    <t>关联的预付款单据号</t>
  </si>
  <si>
    <t>Invoice/cac:PrepaidPayment/cbc:ID</t>
  </si>
  <si>
    <t>PRE-001</t>
  </si>
  <si>
    <t>PaidAmount</t>
  </si>
  <si>
    <t>PmtTerms_PrepaidPayment_PaidAmt</t>
  </si>
  <si>
    <t>已付款金额</t>
  </si>
  <si>
    <t>预付金额&lt;br&gt;Amount</t>
  </si>
  <si>
    <t>实际已支付的金额</t>
  </si>
  <si>
    <t>Invoice/cac:PrepaidPayment/cbc:PaidAmount</t>
  </si>
  <si>
    <t>PaidAmount.currencyID</t>
  </si>
  <si>
    <t>PmtTerms_PaidAmt_CurrID</t>
  </si>
  <si>
    <t>已付款金额币种</t>
  </si>
  <si>
    <t>预付金额的货币代码</t>
  </si>
  <si>
    <t>Invoice/cac:PrepaidPayment/cbc:PaidAmount/@currencyID</t>
  </si>
  <si>
    <t>ReceivedDate</t>
  </si>
  <si>
    <t>Prepaid_RcvDate</t>
  </si>
  <si>
    <t>收款日期</t>
  </si>
  <si>
    <t>收到日期&lt;br&gt;Received Date</t>
  </si>
  <si>
    <t>卖方收到预付款的日期</t>
  </si>
  <si>
    <t>Invoice/cac:PrepaidPayment/cbc:ReceivedDate</t>
  </si>
  <si>
    <t>PaidDate</t>
  </si>
  <si>
    <t>Prepaid_PaidDate</t>
  </si>
  <si>
    <t>付款日期</t>
  </si>
  <si>
    <t>支付日期&lt;br&gt;Paid Date</t>
  </si>
  <si>
    <t>买方发起付款的日期</t>
  </si>
  <si>
    <t>Invoice/cac:PrepaidPayment/cbc:PaidDate</t>
  </si>
  <si>
    <t>PaidTime</t>
  </si>
  <si>
    <t>Prepaid_PaidTime</t>
  </si>
  <si>
    <t>付款时间</t>
  </si>
  <si>
    <t>支付时间&lt;br&gt;Paid Time</t>
  </si>
  <si>
    <t>买方发起付款的时间</t>
  </si>
  <si>
    <t>Invoice/cac:PrepaidPayment/cbc:PaidTime</t>
  </si>
  <si>
    <t>10:00:00</t>
  </si>
  <si>
    <t>TaxRepresentativeParty</t>
  </si>
  <si>
    <t>TaxRep</t>
  </si>
  <si>
    <t>税务代理主体</t>
  </si>
  <si>
    <t>代理方&lt;br&gt;Tax Rep</t>
  </si>
  <si>
    <t>卖方的税务代理方信息</t>
  </si>
  <si>
    <t>当卖方在非注册国纳税时使用</t>
  </si>
  <si>
    <t>Invoice/cac:TaxRepresentativeParty</t>
  </si>
  <si>
    <t>TaxRep_PartyName</t>
  </si>
  <si>
    <t>税务代理</t>
  </si>
  <si>
    <t>代理名称&lt;br&gt;Party Name</t>
  </si>
  <si>
    <t>税务代理方的名称聚合</t>
  </si>
  <si>
    <t>Invoice/cac:TaxRepresentativeParty/cac:PartyName</t>
  </si>
  <si>
    <t>PartyName.Name</t>
  </si>
  <si>
    <t>TaxRep_PartyName_Name</t>
  </si>
  <si>
    <t>税务代理名称</t>
  </si>
  <si>
    <t>代理名&lt;br&gt;Name</t>
  </si>
  <si>
    <t>税务代理方的具体名称</t>
  </si>
  <si>
    <t>Invoice/cac:TaxRepresentativeParty/cac:PartyName/cbc:Name</t>
  </si>
  <si>
    <t>Tax Agent Service Ltd.</t>
  </si>
  <si>
    <t>TaxRep_Addr</t>
  </si>
  <si>
    <t>邮寄地址</t>
  </si>
  <si>
    <t>代理地址&lt;br&gt;Address</t>
  </si>
  <si>
    <t>税务代理方的地址</t>
  </si>
  <si>
    <t>必须包含国家信息</t>
  </si>
  <si>
    <t>Invoice/cac:TaxRepresentativeParty/cac:PostalAddress</t>
  </si>
  <si>
    <t>TaxRep_Addr_StreetName</t>
  </si>
  <si>
    <t>代理方地址的街道名</t>
  </si>
  <si>
    <t>Invoice/cac:TaxRepresentativeParty/cac:PostalAddress/cbc:StreetName</t>
  </si>
  <si>
    <t>Main St</t>
  </si>
  <si>
    <t>TaxRep_Addr_CityName</t>
  </si>
  <si>
    <t>代理方地址的城市</t>
  </si>
  <si>
    <t>Invoice/cac:TaxRepresentativeParty/cac:PostalAddress/cbc:CityName</t>
  </si>
  <si>
    <t>London</t>
  </si>
  <si>
    <t>TaxRep_Addr_PostalZone</t>
  </si>
  <si>
    <t>邮编&lt;br&gt;Zip</t>
  </si>
  <si>
    <t>代理方地址的邮编</t>
  </si>
  <si>
    <t>Invoice/cac:TaxRepresentativeParty/cac:PostalAddress/cbc:PostalZone</t>
  </si>
  <si>
    <t>SW1A 1AA</t>
  </si>
  <si>
    <t>TaxRep_Addr_AddrLine</t>
  </si>
  <si>
    <t>代理方地址补充行</t>
  </si>
  <si>
    <t>Invoice/cac:TaxRepresentativeParty/cac:PostalAddress/cac:AddressLine</t>
  </si>
  <si>
    <t>TaxRep_Addr_Line</t>
  </si>
  <si>
    <t>代理方自由文本地址</t>
  </si>
  <si>
    <t>Invoice/cac:TaxRepresentativeParty/cac:PostalAddress/cac:AddressLine/cbc:Line</t>
  </si>
  <si>
    <t>10 Downing St</t>
  </si>
  <si>
    <t>TaxRep_Addr_CountryCode</t>
  </si>
  <si>
    <t>国家代码&lt;br&gt;Country</t>
  </si>
  <si>
    <t>代理方地址的国家代码</t>
  </si>
  <si>
    <t>Invoice/cac:TaxRepresentativeParty/cac:PostalAddress/cac:Country/cbc:IdentificationCode</t>
  </si>
  <si>
    <t>GB</t>
  </si>
  <si>
    <t>TaxRep_Tax</t>
  </si>
  <si>
    <t>税务信息&lt;br&gt;Tax Scheme</t>
  </si>
  <si>
    <t>代理方的税务登记信息</t>
  </si>
  <si>
    <t>用于税务识别</t>
  </si>
  <si>
    <t>Invoice/cac:TaxRepresentativeParty/cac:PartyTaxScheme</t>
  </si>
  <si>
    <t>TaxRep_Tax_SchemeID</t>
  </si>
  <si>
    <t>代理方的税务方案标识</t>
  </si>
  <si>
    <t>Invoice/cac:TaxRepresentativeParty/cac:PartyTaxScheme/cac:TaxScheme/cbc:ID</t>
  </si>
  <si>
    <t>TaxRep_Tax_CompanyID</t>
  </si>
  <si>
    <t>税务标识</t>
  </si>
  <si>
    <t>代理方的纳税人识别号</t>
  </si>
  <si>
    <t>Invoice/cac:TaxRepresentativeParty/cac:PartyTaxScheme/cbc:CompanyID</t>
  </si>
  <si>
    <t>GB123456789</t>
  </si>
  <si>
    <t>数据标准字典（对象的属性集合）</t>
  </si>
  <si>
    <t>Card.（原版）</t>
  </si>
  <si>
    <t>层级(原版)</t>
  </si>
  <si>
    <t>Full xPath（原版）</t>
  </si>
  <si>
    <t>是否主键（唯一性判断）</t>
  </si>
  <si>
    <t>数据Owner</t>
  </si>
  <si>
    <t>解释</t>
  </si>
  <si>
    <t>示例</t>
  </si>
  <si>
    <t>1、2、3</t>
  </si>
  <si>
    <t>财务部负责人xx：负责定义规则并持续提升该数据质量。</t>
  </si>
  <si>
    <t>必填</t>
  </si>
  <si>
    <t>2</t>
  </si>
  <si>
    <t>4</t>
  </si>
  <si>
    <t>5</t>
  </si>
  <si>
    <t>6</t>
  </si>
  <si>
    <t>cac:InvoiceLine/cbc:ID</t>
  </si>
  <si>
    <t>cac:InvoiceLine/cbc:Note</t>
  </si>
  <si>
    <t>cac:InvoiceLine/cbc:InvoicedQuantity</t>
  </si>
  <si>
    <t>cac:InvoiceLine/cbc:InvoicedQuantity/@unitCode</t>
  </si>
  <si>
    <t>cac:InvoiceLine/cbc:LineExtensionAmount</t>
  </si>
  <si>
    <t>cac:InvoiceLine/cbc:LineExtensionAmount/@currencyID</t>
  </si>
  <si>
    <t>cac:InvoiceLine/cac:Item</t>
  </si>
  <si>
    <t>cac:InvoiceLine/cac:Item/cbc:Description</t>
  </si>
  <si>
    <t>cac:InvoiceLine/cac:Item/cbc:Name</t>
  </si>
  <si>
    <t>cac:InvoiceLine/cac:Item/cac:BuyersItemIdentification</t>
  </si>
  <si>
    <t>cac:InvoiceLine/cac:Item/cac:BuyersItemIdentification/cbc:ID</t>
  </si>
  <si>
    <t>cac:InvoiceLine/cac:Item/cac:SellersItemIdentification</t>
  </si>
  <si>
    <t>cac:InvoiceLine/cac:Item/cac:SellersItemIdentification/cbc:ID</t>
  </si>
  <si>
    <t>cac:InvoiceLine/cac:Item/cac:SellersItemIdentification/cbc:ExtendedID</t>
  </si>
  <si>
    <t>cac:InvoiceLine/cac:Item/cac:ManufacturersItemIdentification</t>
  </si>
  <si>
    <t>cac:InvoiceLine/cac:Item/cac:ManufacturersItemIdentification/cbc:ID</t>
  </si>
  <si>
    <t>cac:InvoiceLine/cac:Item/cac:StandardItemIdentification</t>
  </si>
  <si>
    <t>cac:InvoiceLine/cac:Item/cac:StandardItemIdentification/cbc:ID</t>
  </si>
  <si>
    <t>cac:InvoiceLine/cac:Item/cac:StandardItemIdentification/cbc:ID/@schemeID</t>
  </si>
  <si>
    <t>cac:InvoiceLine/cac:Item/cac:OriginCountry</t>
  </si>
  <si>
    <t>cac:InvoiceLine/cac:Item/cac:OriginCountry/cbc:IdentificationCode</t>
  </si>
  <si>
    <t>cac:InvoiceLine/cac:Item/cac:CommodityClassification</t>
  </si>
  <si>
    <t>cac:InvoiceLine/cac:Item/cac:CommodityClassification/cbc:ItemClassificationCode</t>
  </si>
  <si>
    <t>cac:InvoiceLine/cac:Item/cac:CommodityClassification/cbc:ItemClassificationCode/@listID</t>
  </si>
  <si>
    <t>cac:InvoiceLine/cac:Item/cac:CommodityClassification/cbc:ItemClassificationCode/@listVersionID</t>
  </si>
  <si>
    <t>cac:InvoiceLine/cac:Item/cac:ClassifiedTaxCategory</t>
  </si>
  <si>
    <t>cac:InvoiceLine/cac:Item/cac:ClassifiedTaxCategory/cbc:ID</t>
  </si>
  <si>
    <t>cac:InvoiceLine/cac:Item/cac:ClassifiedTaxCategory/cbc:ID/@schemeID</t>
  </si>
  <si>
    <t>cac:InvoiceLine/cac:Item/cac:ClassifiedTaxCategory/cbc:Percent</t>
  </si>
  <si>
    <t>cac:InvoiceLine/cac:Item/cac:ClassifiedTaxCategory/cbc:TaxExemptionReasonCode</t>
  </si>
  <si>
    <t>cac:InvoiceLine/cac:Item/cac:ClassifiedTaxCategory/cbc:TaxExemptionReason</t>
  </si>
  <si>
    <t>cac:InvoiceLine/cac:Item/cac:ClassifiedTaxCategory/cac:TaxScheme/cbc:ID</t>
  </si>
  <si>
    <t>cac:InvoiceLine/cac:Item/cac:AdditionalItemProperty</t>
  </si>
  <si>
    <t>cac:InvoiceLine/cac:Item/cac:AdditionalItemProperty/cbc:Name</t>
  </si>
  <si>
    <t>cac:InvoiceLine/cac:Item/cac:AdditionalItemProperty/cbc:Value</t>
  </si>
  <si>
    <t>cac:InvoiceLine/cac:Item/cac:ItemInstance</t>
  </si>
  <si>
    <t>cac:InvoiceLine/cac:Item/cac:ItemInstance/cbc:ManufactureDate</t>
  </si>
  <si>
    <t>cac:InvoiceLine/cac:Item/cac:ItemInstance/cbc:BestBeforeDate</t>
  </si>
  <si>
    <t>cac:InvoiceLine/cac:Item/cac:ItemInstance/cbc:SerialID</t>
  </si>
  <si>
    <t>cac:InvoiceLine/cac:Item/cac:ItemInstance/cac:LotIdentification/cbc:LotNumberID</t>
  </si>
  <si>
    <t>cac:InvoiceLine/cac:Item/cac:ItemInstance/cac:LotIdentification/cbc:ExpiryDate</t>
  </si>
  <si>
    <t>cac:InvoiceLine/cac:Price</t>
  </si>
  <si>
    <t>cac:InvoiceLine/cac:Price/cbc:PriceAmount</t>
  </si>
  <si>
    <t>cac:InvoiceLine/cac:Price/cbc:PriceAmount/@currencyID</t>
  </si>
  <si>
    <t>cac:InvoiceLine/cac:Price/cbc:BaseQuantity</t>
  </si>
  <si>
    <t>cac:InvoiceLine/cac:Price/cbc:BaseQuantity/@unitCode</t>
  </si>
  <si>
    <t>cac:InvoiceLine/cac:Price/cac:AllowanceCharge</t>
  </si>
  <si>
    <t>cac:InvoiceLine/cac:Price/cac:AllowanceCharge/cbc:ChargeIndicator</t>
  </si>
  <si>
    <t>cac:InvoiceLine/cac:Price/cac:AllowanceCharge/cbc:Amount</t>
  </si>
  <si>
    <t>cac:InvoiceLine/cac:Price/cac:AllowanceCharge/cbc:Amount/@currencyID</t>
  </si>
  <si>
    <t>cac:InvoiceLine/cac:Price/cac:AllowanceCharge/cbc:BaseAmount</t>
  </si>
  <si>
    <t>cac:InvoiceLine/cac:Price/cac:AllowanceCharge/cbc:BaseAmount/@currencyID</t>
  </si>
  <si>
    <t>cac:InvoiceLine/cac:AllowanceCharge</t>
  </si>
  <si>
    <t>cac:InvoiceLine/cac:AllowanceCharge/cbc:ChargeIndicator</t>
  </si>
  <si>
    <t>cac:InvoiceLine/cac:AllowanceCharge/cbc:AllowanceChargeReasonCode</t>
  </si>
  <si>
    <t>cac:InvoiceLine/cac:AllowanceCharge/cbc:AllowanceChargeReason</t>
  </si>
  <si>
    <t>cac:InvoiceLine/cac:AllowanceCharge/cbc:MultiplierFactorNumeric</t>
  </si>
  <si>
    <t>cac:InvoiceLine/cac:AllowanceCharge/cbc:Amount</t>
  </si>
  <si>
    <t>cac:InvoiceLine/cac:AllowanceCharge/cbc:Amount/@currencyID</t>
  </si>
  <si>
    <t>cac:InvoiceLine/cac:AllowanceCharge/cbc:BaseAmount</t>
  </si>
  <si>
    <t>cac:InvoiceLine/cac:AllowanceCharge/cbc:BaseAmount/@currencyID</t>
  </si>
  <si>
    <t>cac:InvoiceLine/cac:TaxTotal</t>
  </si>
  <si>
    <t>cac:InvoiceLine/cac:TaxTotal/cbc:TaxAmount</t>
  </si>
  <si>
    <t>cac:InvoiceLine/cac:TaxTotal/cbc:TaxAmount/@currencyID</t>
  </si>
  <si>
    <t>cac:InvoiceLine/cac:TaxTotal/cac:TaxSubtotal</t>
  </si>
  <si>
    <t>cac:InvoiceLine/cac:TaxTotal/cac:TaxSubtotal/cbc:TaxableAmount</t>
  </si>
  <si>
    <t>cac:InvoiceLine/cac:TaxTotal/cac:TaxSubtotal/cbc:TaxableAmount/@currencyID</t>
  </si>
  <si>
    <t>cac:InvoiceLine/cac:TaxTotal/cac:TaxSubtotal/cbc:TaxAmount</t>
  </si>
  <si>
    <t>cac:InvoiceLine/cac:TaxTotal/cac:TaxSubtotal/cbc:TaxAmount/@currencyID</t>
  </si>
  <si>
    <t>cac:InvoiceLine/cac:TaxTotal/cac:TaxSubtotal/cac:TaxCategory/cbc:ID</t>
  </si>
  <si>
    <t>cac:InvoiceLine/cac:TaxTotal/cac:TaxSubtotal/cac:TaxCategory/cbc:Percent</t>
  </si>
  <si>
    <t>cac:InvoiceLine/cac:TaxTotal/cac:TaxSubtotal/cac:TaxCategory/cbc:TaxExemptionReasonCode</t>
  </si>
  <si>
    <t>cac:InvoiceLine/cac:TaxTotal/cac:TaxSubtotal/cac:TaxCategory/cbc:TaxExemptionReason</t>
  </si>
  <si>
    <t>cac:InvoiceLine/cac:TaxTotal/cac:TaxSubtotal/cac:TaxCategory/cac:TaxScheme/cbc:ID</t>
  </si>
  <si>
    <t>cac:InvoiceLine/cac:WithholdingTaxTotal</t>
  </si>
  <si>
    <t>cac:InvoiceLine/cac:WithholdingTaxTotal/cbc:TaxAmount</t>
  </si>
  <si>
    <t>cac:InvoiceLine/cac:WithholdingTaxTotal/cbc:TaxAmount/@currencyID</t>
  </si>
  <si>
    <t>cac:InvoiceLine/cac:WithholdingTaxTotal/cac:TaxSubtotal/cbc:TaxableAmount</t>
  </si>
  <si>
    <t>cac:InvoiceLine/cac:WithholdingTaxTotal/cac:TaxSubtotal/cbc:TaxableAmount/@currencyID</t>
  </si>
  <si>
    <t>cac:InvoiceLine/cac:WithholdingTaxTotal/cac:TaxSubtotal/cbc:TaxAmount</t>
  </si>
  <si>
    <t>cac:InvoiceLine/cac:WithholdingTaxTotal/cac:TaxSubtotal/cbc:TaxAmount/@currencyID</t>
  </si>
  <si>
    <t>cac:InvoiceLine/cac:WithholdingTaxTotal/cac:TaxSubtotal/cac:TaxCategory/cbc:ID</t>
  </si>
  <si>
    <t>cac:InvoiceLine/cac:WithholdingTaxTotal/cac:TaxSubtotal/cac:TaxCategory/cbc:Percent</t>
  </si>
  <si>
    <t>cac:InvoiceLine/cac:WithholdingTaxTotal/cac:TaxSubtotal/cac:TaxCategory/cbc:TaxExemptionReasonCode</t>
  </si>
  <si>
    <t>cac:InvoiceLine/cac:WithholdingTaxTotal/cac:TaxSubtotal/cac:TaxCategory/cbc:TaxExemptionReason</t>
  </si>
  <si>
    <t>cac:InvoiceLine/cac:WithholdingTaxTotal/cac:TaxSubtotal/cac:TaxCategory/cac:TaxScheme/cbc:ID</t>
  </si>
  <si>
    <t>cac:InvoiceLine/cbc:AccountingCost</t>
  </si>
  <si>
    <t>cac:InvoiceLine/cac:InvoicePeriod</t>
  </si>
  <si>
    <t>cac:InvoiceLine/cac:InvoicePeriod/cbc:StartDate</t>
  </si>
  <si>
    <t>cac:InvoiceLine/cac:InvoicePeriod/cbc:EndDate</t>
  </si>
  <si>
    <t>cac:InvoiceLine/cac:OrderLineReference/cbc:LineID</t>
  </si>
  <si>
    <t>cac:InvoiceLine/cac:OrderLineReference/cbc:OrderReference/cbc:ID</t>
  </si>
  <si>
    <t>cac:InvoiceLine/cac:DocumentReference</t>
  </si>
  <si>
    <t>cac:InvoiceLine/cac:DocumentReference/cbc:ID</t>
  </si>
  <si>
    <t>cac:InvoiceLine/cac:DocumentReference/cbc:ID/@schemeID</t>
  </si>
  <si>
    <t>cac:InvoiceLine/cac:DocumentReference/cbc:IssueDate</t>
  </si>
  <si>
    <t>cac:InvoiceLine/cac:DocumentReference/cbc:IssueTime</t>
  </si>
  <si>
    <t>cac:InvoiceLine/cac:DocumentReference/cbc:DocumentTypeCode</t>
  </si>
  <si>
    <t>必填，特定业务类型为16农产品收购时必填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</si>
</sst>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,0.00"/>
  </numFmts>
  <fonts count="23" x14ac:knownFonts="1">
    <font>
      <color theme="1"/>
      <family val="2"/>
      <scheme val="minor"/>
      <sz val="11"/>
      <name val="Calibri"/>
    </font>
    <font>
      <b/>
      <color rgb="FFFFFFFF"/>
      <family val="2"/>
      <sz val="21"/>
      <name val="等线"/>
    </font>
    <font>
      <b/>
      <color rgb="FFFFFFFF"/>
      <family val="2"/>
      <strike/>
      <sz val="21"/>
      <name val="等线"/>
    </font>
    <font>
      <b/>
      <color rgb="FF262626"/>
      <family val="2"/>
      <sz val="21"/>
      <name val="等线"/>
    </font>
    <font>
      <color rgb="FFFFFFFF"/>
      <family val="2"/>
      <sz val="12"/>
      <name val="等线"/>
    </font>
    <font>
      <b/>
      <family val="2"/>
      <sz val="15"/>
      <name val="等线"/>
    </font>
    <font>
      <b/>
      <color rgb="FFFFFFFF"/>
      <family val="2"/>
      <sz val="15"/>
      <name val="等线"/>
    </font>
    <font>
      <b/>
      <family val="2"/>
      <strike/>
      <sz val="15"/>
      <name val="等线"/>
    </font>
    <font>
      <b/>
      <color rgb="FFDF2A3F"/>
      <family val="2"/>
      <sz val="15"/>
      <name val="等线"/>
    </font>
    <font>
      <i/>
      <color rgb="FF8A8F8D"/>
      <family val="2"/>
      <sz val="12"/>
      <name val="等线"/>
    </font>
    <font>
      <i/>
      <color rgb="FF8A8F8D"/>
      <family val="2"/>
      <strike/>
      <sz val="12"/>
      <name val="等线"/>
    </font>
    <font>
      <i/>
      <color rgb="FFDF2A3F"/>
      <family val="2"/>
      <sz val="12"/>
      <name val="等线"/>
    </font>
    <font>
      <i/>
      <color rgb="FFDF2A3F"/>
      <family val="2"/>
      <strike/>
      <sz val="12"/>
      <name val="等线"/>
    </font>
    <font>
      <family val="2"/>
      <sz val="12"/>
      <name val="等线"/>
    </font>
    <font>
      <family val="2"/>
      <strike/>
      <sz val="12"/>
      <name val="等线"/>
    </font>
    <font>
      <color rgb="FF262626"/>
      <family val="2"/>
      <sz val="12"/>
      <name val="等线"/>
    </font>
    <font>
      <color rgb="FFDF2A3F"/>
      <family val="2"/>
      <sz val="12"/>
      <name val="等线"/>
    </font>
    <font>
      <color rgb="FF262626"/>
      <family val="2"/>
      <strike/>
      <sz val="12"/>
      <name val="等线"/>
    </font>
    <font>
      <color rgb="FF000000"/>
      <family val="2"/>
      <sz val="12"/>
      <name val="等线"/>
    </font>
    <font>
      <color rgb="FF601BDE"/>
      <family val="2"/>
      <strike/>
      <sz val="12"/>
      <name val="等线"/>
    </font>
    <font>
      <color rgb="FF601BDE"/>
      <family val="2"/>
      <sz val="12"/>
      <name val="等线"/>
    </font>
    <font>
      <b/>
      <family val="2"/>
      <sz val="12"/>
      <name val="等线"/>
    </font>
    <font>
      <b/>
      <color rgb="FF262626"/>
      <family val="2"/>
      <sz val="15"/>
      <name val="等线"/>
    </font>
  </fonts>
  <fills count="10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FFFFFF"/>
      </patternFill>
    </fill>
    <fill>
      <patternFill patternType="solid">
        <fgColor rgb="FFF4F5F5"/>
      </patternFill>
    </fill>
    <fill>
      <patternFill patternType="solid">
        <fgColor rgb="FFFADB14"/>
      </patternFill>
    </fill>
    <fill>
      <patternFill patternType="solid">
        <fgColor rgb="FF74B602"/>
      </patternFill>
    </fill>
    <fill>
      <patternFill patternType="solid">
        <fgColor rgb="FFF5C400"/>
      </patternFill>
    </fill>
    <fill>
      <patternFill patternType="solid">
        <fgColor rgb="FFF88825"/>
      </patternFill>
    </fill>
    <fill>
      <patternFill patternType="solid">
        <fgColor rgb="FFFFF3EB"/>
      </patternFill>
    </fill>
  </fills>
  <borders count="4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E8EAED"/>
      </left>
      <right style="thin">
        <color rgb="FFE8EAED"/>
      </right>
      <top style="thin">
        <color rgb="FFE8EAED"/>
      </top>
      <bottom style="thin">
        <color rgb="FFE8EAED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bottom" wrapText="1"/>
    </xf>
    <xf numFmtId="0" fontId="3" fillId="2" borderId="1" xfId="0" applyFont="1" applyFill="1" applyBorder="1" applyAlignment="1">
      <alignment horizontal="left" vertical="bottom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164" fontId="9" fillId="3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164" fontId="13" fillId="3" borderId="1" xfId="0" applyNumberFormat="1" applyFont="1" applyFill="1" applyBorder="1" applyAlignment="1">
      <alignment horizontal="left" vertical="bottom" wrapText="1"/>
    </xf>
    <xf numFmtId="0" fontId="13" fillId="3" borderId="1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left" vertical="center" wrapText="1"/>
    </xf>
    <xf numFmtId="164" fontId="14" fillId="3" borderId="1" xfId="0" applyNumberFormat="1" applyFont="1" applyFill="1" applyBorder="1" applyAlignment="1">
      <alignment horizontal="left" vertical="center" wrapText="1"/>
    </xf>
    <xf numFmtId="165" fontId="13" fillId="3" borderId="2" xfId="0" applyNumberFormat="1" applyFont="1" applyFill="1" applyBorder="1" applyAlignment="1">
      <alignment horizontal="left" vertical="center" wrapText="1"/>
    </xf>
    <xf numFmtId="164" fontId="13" fillId="3" borderId="1" xfId="0" applyNumberFormat="1" applyFont="1" applyFill="1" applyBorder="1" applyAlignment="1">
      <alignment horizontal="right" vertical="center" wrapText="1"/>
    </xf>
    <xf numFmtId="164" fontId="13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bottom" wrapText="1"/>
    </xf>
    <xf numFmtId="164" fontId="13" fillId="3" borderId="1" xfId="0" applyNumberFormat="1" applyFont="1" applyFill="1" applyBorder="1" applyAlignment="1">
      <alignment horizontal="right" vertical="bottom" wrapText="1"/>
    </xf>
    <xf numFmtId="165" fontId="13" fillId="3" borderId="2" xfId="0" applyNumberFormat="1" applyFont="1" applyFill="1" applyBorder="1" applyAlignment="1">
      <alignment horizontal="left" vertical="bottom" wrapText="1"/>
    </xf>
    <xf numFmtId="0" fontId="16" fillId="3" borderId="1" xfId="0" applyFont="1" applyFill="1" applyBorder="1" applyAlignment="1">
      <alignment horizontal="left" vertical="bottom" wrapText="1"/>
    </xf>
    <xf numFmtId="164" fontId="17" fillId="4" borderId="1" xfId="0" applyNumberFormat="1" applyFont="1" applyFill="1" applyBorder="1" applyAlignment="1">
      <alignment horizontal="left" vertical="center" wrapText="1"/>
    </xf>
    <xf numFmtId="165" fontId="15" fillId="3" borderId="2" xfId="0" applyNumberFormat="1" applyFont="1" applyFill="1" applyBorder="1" applyAlignment="1">
      <alignment horizontal="left" vertical="bottom" wrapText="1"/>
    </xf>
    <xf numFmtId="164" fontId="18" fillId="3" borderId="3" xfId="0" applyNumberFormat="1" applyFont="1" applyFill="1" applyBorder="1" applyAlignment="1">
      <alignment horizontal="left" vertical="center" wrapText="1"/>
    </xf>
    <xf numFmtId="165" fontId="15" fillId="3" borderId="2" xfId="0" applyNumberFormat="1" applyFont="1" applyFill="1" applyBorder="1" applyAlignment="1">
      <alignment horizontal="left" vertical="center" wrapText="1"/>
    </xf>
    <xf numFmtId="164" fontId="13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164" fontId="13" fillId="3" borderId="1" xfId="0" applyNumberFormat="1" applyFont="1" applyFill="1" applyBorder="1" applyAlignment="1">
      <alignment horizontal="right" vertical="center"/>
    </xf>
    <xf numFmtId="164" fontId="19" fillId="4" borderId="1" xfId="0" applyNumberFormat="1" applyFont="1" applyFill="1" applyBorder="1" applyAlignment="1">
      <alignment horizontal="left" vertical="center" wrapText="1"/>
    </xf>
    <xf numFmtId="165" fontId="20" fillId="3" borderId="2" xfId="0" applyNumberFormat="1" applyFont="1" applyFill="1" applyBorder="1" applyAlignment="1">
      <alignment horizontal="left" vertical="center" wrapText="1"/>
    </xf>
    <xf numFmtId="164" fontId="21" fillId="3" borderId="1" xfId="0" applyNumberFormat="1" applyFont="1" applyFill="1" applyBorder="1" applyAlignment="1">
      <alignment horizontal="left" vertical="bottom" wrapText="1"/>
    </xf>
    <xf numFmtId="0" fontId="14" fillId="4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bottom" wrapText="1"/>
    </xf>
    <xf numFmtId="0" fontId="5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bottom" wrapText="1"/>
    </xf>
    <xf numFmtId="0" fontId="15" fillId="8" borderId="1" xfId="0" applyFont="1" applyFill="1" applyBorder="1" applyAlignment="1">
      <alignment horizontal="left" vertical="bottom" wrapText="1"/>
    </xf>
    <xf numFmtId="0" fontId="13" fillId="9" borderId="1" xfId="0" applyFont="1" applyFill="1" applyBorder="1" applyAlignment="1">
      <alignment horizontal="left" vertical="bottom" wrapText="1"/>
    </xf>
    <xf numFmtId="164" fontId="15" fillId="3" borderId="1" xfId="0" applyNumberFormat="1" applyFont="1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96"/>
  <sheetFormatPr defaultRowHeight="15" outlineLevelRow="0" outlineLevelCol="0" x14ac:dyDescent="55"/>
  <cols>
    <col min="1" max="1" width="27.098750000000003" customWidth="1"/>
    <col min="2" max="2" width="20.282500000000002" customWidth="1"/>
    <col min="3" max="3" customWidth="1"/>
    <col min="4" max="4" customWidth="1"/>
    <col min="5" max="5" width="15.461250000000001" customWidth="1"/>
    <col min="6" max="6" width="29.5925" customWidth="1"/>
    <col min="7" max="7" width="31.975417527917052" customWidth="1"/>
    <col min="8" max="8" width="26.030731565692857" customWidth="1"/>
    <col min="9" max="9" width="33.505240787021854" customWidth="1"/>
    <col min="10" max="10" width="26.67556585600559" customWidth="1"/>
    <col min="11" max="12" width="19.950000000000003" customWidth="1"/>
    <col min="13" max="13" width="13.17069987293172" customWidth="1"/>
    <col min="14" max="14" width="15.353774411280568" customWidth="1"/>
    <col min="15" max="15" width="70.6730490785354" customWidth="1"/>
    <col min="16" max="16" width="45.86317264301341" customWidth="1"/>
    <col min="17" max="19" width="19.950000000000003" customWidth="1"/>
    <col min="20" max="20" width="24.51264234693966" customWidth="1"/>
    <col min="21" max="23" width="19.950000000000003" customWidth="1"/>
    <col min="24" max="24" width="17.06834668271437" customWidth="1"/>
    <col min="25" max="25" width="18.84165331728563" customWidth="1"/>
    <col min="26" max="26" width="17.954999177897303" customWidth="1"/>
    <col min="27" max="27" width="20.282500822102698" customWidth="1"/>
    <col min="28" max="52" width="19.950000000000003" customWidth="1"/>
  </cols>
  <sheetData>
    <row r="1" ht="24.81203007518797" customHeight="1" spans="1:52" x14ac:dyDescent="0.25">
      <c r="A1" s="1" t="s">
        <v>0</v>
      </c>
      <c r="B1" s="1"/>
      <c r="C1" s="2"/>
      <c r="D1" s="2"/>
      <c r="E1" s="2"/>
      <c r="F1" s="1"/>
      <c r="G1" s="1"/>
      <c r="H1" s="1"/>
      <c r="I1" s="1"/>
      <c r="J1" s="1"/>
      <c r="K1" s="1"/>
      <c r="L1" s="1"/>
      <c r="M1" s="3"/>
      <c r="N1" s="4"/>
      <c r="O1" s="5"/>
      <c r="P1" s="1"/>
      <c r="Q1" s="1"/>
      <c r="R1" s="1"/>
      <c r="S1" s="1"/>
      <c r="T1" s="1"/>
      <c r="U1" s="6"/>
      <c r="V1" s="6"/>
      <c r="W1" s="6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ht="32.33082706766917" customHeight="1" spans="1:52" x14ac:dyDescent="0.25">
      <c r="A2" s="8" t="s">
        <v>1</v>
      </c>
      <c r="B2" s="8" t="s">
        <v>2</v>
      </c>
      <c r="C2" s="9" t="s">
        <v>3</v>
      </c>
      <c r="D2" s="10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11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12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ht="19.548872180451127" customHeight="1" spans="1:52" x14ac:dyDescent="0.25">
      <c r="A3" s="13" t="s">
        <v>30</v>
      </c>
      <c r="B3" s="13" t="s">
        <v>31</v>
      </c>
      <c r="C3" s="14"/>
      <c r="D3" s="15"/>
      <c r="E3" s="14"/>
      <c r="F3" s="13"/>
      <c r="G3" s="13" t="s">
        <v>32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12</v>
      </c>
      <c r="M3" s="13" t="s">
        <v>36</v>
      </c>
      <c r="N3" s="13" t="s">
        <v>37</v>
      </c>
      <c r="O3" s="16" t="s">
        <v>38</v>
      </c>
      <c r="P3" s="13"/>
      <c r="Q3" s="13"/>
      <c r="R3" s="13"/>
      <c r="S3" s="13"/>
      <c r="T3" s="13" t="s">
        <v>39</v>
      </c>
      <c r="U3" s="13"/>
      <c r="V3" s="16" t="s">
        <v>40</v>
      </c>
      <c r="W3" s="17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ht="19.548872180451127" customHeight="1" spans="1:52" x14ac:dyDescent="0.25">
      <c r="A4" s="13" t="s">
        <v>41</v>
      </c>
      <c r="B4" s="13" t="s">
        <v>42</v>
      </c>
      <c r="C4" s="14" t="s">
        <v>43</v>
      </c>
      <c r="D4" s="15"/>
      <c r="E4" s="18"/>
      <c r="F4" s="13" t="s">
        <v>44</v>
      </c>
      <c r="G4" s="16" t="str">
        <f>SUBSTITUTE(SUBSTITUTE(SUBSTITUTE(O4,"/@","_"),"/cac:","_"),"/cbc:","_")</f>
        <v>Invoice_Full xPath_Full xPath1</v>
      </c>
      <c r="H4" s="16" t="str">
        <f>SUBSTITUTE(SUBSTITUTE(SUBSTITUTE(P4,"/@","_"),"/cac:","_"),"/cbc:","_")</f>
        <v/>
      </c>
      <c r="I4" s="13" t="s">
        <v>45</v>
      </c>
      <c r="J4" s="13" t="s">
        <v>46</v>
      </c>
      <c r="K4" s="13" t="s">
        <v>47</v>
      </c>
      <c r="L4" s="13" t="s">
        <v>48</v>
      </c>
      <c r="M4" s="13" t="s">
        <v>49</v>
      </c>
      <c r="N4" s="13" t="s">
        <v>50</v>
      </c>
      <c r="O4" s="13" t="s">
        <v>51</v>
      </c>
      <c r="P4" s="13"/>
      <c r="Q4" s="13" t="s">
        <v>52</v>
      </c>
      <c r="R4" s="13" t="s">
        <v>53</v>
      </c>
      <c r="S4" s="13" t="s">
        <v>54</v>
      </c>
      <c r="T4" s="13" t="s">
        <v>55</v>
      </c>
      <c r="U4" s="13"/>
      <c r="V4" s="13" t="s">
        <v>56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</row>
    <row r="5" ht="39.879699248120296" customHeight="1" spans="1:52" x14ac:dyDescent="0.25">
      <c r="A5" s="19" t="s">
        <v>41</v>
      </c>
      <c r="B5" s="20" t="s">
        <v>57</v>
      </c>
      <c r="C5" s="21" t="s">
        <v>58</v>
      </c>
      <c r="D5" s="22" t="s">
        <v>59</v>
      </c>
      <c r="E5" s="21" t="s">
        <v>60</v>
      </c>
      <c r="F5" s="23" t="s">
        <v>60</v>
      </c>
      <c r="G5" s="20" t="str">
        <f>SUBSTITUTE(SUBSTITUTE(SUBSTITUTE(O5,"/@","_"),"/cac:","_"),"/cbc:","_")</f>
        <v>Invoice_UUID</v>
      </c>
      <c r="H5" s="19" t="s">
        <v>61</v>
      </c>
      <c r="I5" s="19"/>
      <c r="J5" s="19" t="s">
        <v>62</v>
      </c>
      <c r="K5" s="24"/>
      <c r="L5" s="25" t="s">
        <v>63</v>
      </c>
      <c r="M5" s="19" t="s">
        <v>64</v>
      </c>
      <c r="N5" s="26" t="str">
        <f>IF(O5="","",LEN(O5)-LEN(SUBSTITUTE(O5,"/",""))+IF(ISNUMBER(SEARCH("@",O5)),0,1))</f>
        <v>2</v>
      </c>
      <c r="O5" s="19" t="s">
        <v>65</v>
      </c>
      <c r="P5" s="19" t="s">
        <v>66</v>
      </c>
      <c r="Q5" s="20"/>
      <c r="R5" s="20"/>
      <c r="S5" s="20"/>
      <c r="T5" s="20"/>
      <c r="U5" s="20" t="s">
        <v>67</v>
      </c>
      <c r="V5" s="20" t="s">
        <v>68</v>
      </c>
      <c r="W5" s="20" t="str">
        <f>IF(ISBLANK(O5),"是","否")</f>
        <v>否</v>
      </c>
      <c r="X5" s="20"/>
      <c r="Y5" s="24">
        <v>1</v>
      </c>
      <c r="Z5" s="25" t="s">
        <v>60</v>
      </c>
      <c r="AA5" s="24">
        <v>1</v>
      </c>
      <c r="AB5" s="25" t="s">
        <v>60</v>
      </c>
      <c r="AC5" s="20"/>
      <c r="AD5" s="24"/>
      <c r="AE5" s="25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ht="39.879699248120296" customHeight="1" spans="1:52" x14ac:dyDescent="0.25">
      <c r="A6" s="19" t="s">
        <v>41</v>
      </c>
      <c r="B6" s="20" t="s">
        <v>57</v>
      </c>
      <c r="C6" s="21" t="s">
        <v>58</v>
      </c>
      <c r="D6" s="22" t="s">
        <v>59</v>
      </c>
      <c r="E6" s="21" t="s">
        <v>69</v>
      </c>
      <c r="F6" s="23" t="s">
        <v>69</v>
      </c>
      <c r="G6" s="20" t="str">
        <f>SUBSTITUTE(SUBSTITUTE(SUBSTITUTE(O6,"/@","_"),"/cac:","_"),"/cbc:","_")</f>
        <v>Invoice_ProfileExecutionID</v>
      </c>
      <c r="H6" s="19" t="s">
        <v>70</v>
      </c>
      <c r="I6" s="19"/>
      <c r="J6" s="19" t="s">
        <v>71</v>
      </c>
      <c r="K6" s="20"/>
      <c r="L6" s="25" t="s">
        <v>72</v>
      </c>
      <c r="M6" s="19" t="s">
        <v>64</v>
      </c>
      <c r="N6" s="26" t="str">
        <f>IF(O6="","",LEN(O6)-LEN(SUBSTITUTE(O6,"/",""))+IF(ISNUMBER(SEARCH("@",O6)),0,1))</f>
        <v>2</v>
      </c>
      <c r="O6" s="19" t="s">
        <v>73</v>
      </c>
      <c r="P6" s="19" t="s">
        <v>74</v>
      </c>
      <c r="Q6" s="20"/>
      <c r="R6" s="20"/>
      <c r="S6" s="20" t="s">
        <v>75</v>
      </c>
      <c r="T6" s="20"/>
      <c r="U6" s="20" t="s">
        <v>67</v>
      </c>
      <c r="V6" s="20" t="s">
        <v>68</v>
      </c>
      <c r="W6" s="20" t="str">
        <f>IF(ISBLANK(O6),"是","否")</f>
        <v>否</v>
      </c>
      <c r="X6" s="20" t="s">
        <v>76</v>
      </c>
      <c r="Y6" s="24">
        <v>2</v>
      </c>
      <c r="Z6" s="25" t="s">
        <v>69</v>
      </c>
      <c r="AC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ht="70.73684210526315" customHeight="1" spans="1:52" x14ac:dyDescent="0.25">
      <c r="A7" s="27"/>
      <c r="B7" s="20" t="s">
        <v>57</v>
      </c>
      <c r="C7" s="21" t="s">
        <v>58</v>
      </c>
      <c r="D7" s="22" t="s">
        <v>59</v>
      </c>
      <c r="E7" s="21" t="s">
        <v>77</v>
      </c>
      <c r="F7" s="23" t="s">
        <v>77</v>
      </c>
      <c r="G7" s="20" t="str">
        <f>SUBSTITUTE(SUBSTITUTE(SUBSTITUTE(O7,"/@","_"),"/cac:","_"),"/cbc:","_")</f>
        <v/>
      </c>
      <c r="H7" s="19" t="s">
        <v>78</v>
      </c>
      <c r="I7" s="19"/>
      <c r="J7" s="19"/>
      <c r="K7" s="24"/>
      <c r="L7" s="25" t="s">
        <v>79</v>
      </c>
      <c r="M7" s="19"/>
      <c r="N7" s="26" t="str">
        <f>IF(O7="","",LEN(O7)-LEN(SUBSTITUTE(O7,"/",""))+IF(ISNUMBER(SEARCH("@",O7)),0,1))</f>
        <v/>
      </c>
      <c r="O7" s="19"/>
      <c r="P7" s="19" t="s">
        <v>80</v>
      </c>
      <c r="Q7" s="20"/>
      <c r="R7" s="20"/>
      <c r="S7" s="20"/>
      <c r="T7" s="20"/>
      <c r="U7" s="20" t="s">
        <v>67</v>
      </c>
      <c r="V7" s="20"/>
      <c r="W7" s="20" t="str">
        <f>IF(ISBLANK(O7),"是","否")</f>
        <v>是</v>
      </c>
      <c r="X7" s="20" t="s">
        <v>76</v>
      </c>
      <c r="Y7" s="24">
        <v>4</v>
      </c>
      <c r="Z7" s="25" t="s">
        <v>77</v>
      </c>
      <c r="AA7" s="24">
        <v>5</v>
      </c>
      <c r="AB7" s="25" t="s">
        <v>77</v>
      </c>
      <c r="AC7" s="20"/>
      <c r="AD7" s="24"/>
      <c r="AE7" s="25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ht="29.59398496240601" customHeight="1" spans="1:52" x14ac:dyDescent="0.25">
      <c r="A8" s="19" t="s">
        <v>41</v>
      </c>
      <c r="B8" s="20" t="s">
        <v>57</v>
      </c>
      <c r="C8" s="21"/>
      <c r="D8" s="22"/>
      <c r="E8" s="21" t="s">
        <v>81</v>
      </c>
      <c r="F8" s="23" t="s">
        <v>81</v>
      </c>
      <c r="G8" s="20" t="str">
        <f>SUBSTITUTE(SUBSTITUTE(SUBSTITUTE(O8,"/@","_"),"/cac:","_"),"/cbc:","_")</f>
        <v>Invoice_ID</v>
      </c>
      <c r="H8" s="19" t="s">
        <v>82</v>
      </c>
      <c r="I8" s="19" t="s">
        <v>83</v>
      </c>
      <c r="J8" s="19" t="s">
        <v>84</v>
      </c>
      <c r="K8" s="20"/>
      <c r="L8" s="25" t="s">
        <v>85</v>
      </c>
      <c r="M8" s="28">
        <v>1</v>
      </c>
      <c r="N8" s="26" t="str">
        <f>IF(O8="","",LEN(O8)-LEN(SUBSTITUTE(O8,"/",""))+IF(ISNUMBER(SEARCH("@",O8)),0,1))</f>
        <v>2</v>
      </c>
      <c r="O8" s="19" t="s">
        <v>86</v>
      </c>
      <c r="P8" s="19" t="s">
        <v>87</v>
      </c>
      <c r="Q8" s="20"/>
      <c r="R8" s="20"/>
      <c r="S8" s="20"/>
      <c r="T8" s="20"/>
      <c r="U8" s="20" t="s">
        <v>67</v>
      </c>
      <c r="V8" s="20" t="s">
        <v>68</v>
      </c>
      <c r="W8" s="20" t="str">
        <f>IF(ISBLANK(O8),"是","否")</f>
        <v>否</v>
      </c>
      <c r="X8" s="20" t="s">
        <v>76</v>
      </c>
      <c r="Y8" s="24">
        <v>5</v>
      </c>
      <c r="Z8" s="25" t="s">
        <v>88</v>
      </c>
      <c r="AA8" s="24">
        <v>6</v>
      </c>
      <c r="AB8" s="25" t="s">
        <v>89</v>
      </c>
      <c r="AC8" s="20"/>
      <c r="AD8" s="24"/>
      <c r="AE8" s="25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ht="70.73684210526315" customHeight="1" spans="1:52" x14ac:dyDescent="0.25">
      <c r="A9" s="19" t="s">
        <v>41</v>
      </c>
      <c r="B9" s="20" t="s">
        <v>57</v>
      </c>
      <c r="C9" s="21"/>
      <c r="D9" s="22"/>
      <c r="E9" s="21" t="s">
        <v>90</v>
      </c>
      <c r="F9" s="23" t="s">
        <v>90</v>
      </c>
      <c r="G9" s="20" t="str">
        <f>SUBSTITUTE(SUBSTITUTE(SUBSTITUTE(O9,"/@","_"),"/cac:","_"),"/cbc:","_")</f>
        <v>Invoice_InvoiceTypeCode</v>
      </c>
      <c r="H9" s="19" t="s">
        <v>91</v>
      </c>
      <c r="I9" s="19"/>
      <c r="J9" s="19" t="s">
        <v>92</v>
      </c>
      <c r="K9" s="24"/>
      <c r="L9" s="25" t="s">
        <v>93</v>
      </c>
      <c r="M9" s="19" t="s">
        <v>64</v>
      </c>
      <c r="N9" s="26" t="str">
        <f>IF(O9="","",LEN(O9)-LEN(SUBSTITUTE(O9,"/",""))+IF(ISNUMBER(SEARCH("@",O9)),0,1))</f>
        <v>2</v>
      </c>
      <c r="O9" s="19" t="s">
        <v>94</v>
      </c>
      <c r="P9" s="19" t="s">
        <v>95</v>
      </c>
      <c r="Q9" s="20"/>
      <c r="R9" s="25" t="s">
        <v>96</v>
      </c>
      <c r="S9" s="20"/>
      <c r="T9" s="20"/>
      <c r="U9" s="20" t="s">
        <v>67</v>
      </c>
      <c r="V9" s="20" t="s">
        <v>68</v>
      </c>
      <c r="W9" s="20" t="str">
        <f>IF(ISBLANK(O9),"是","否")</f>
        <v>否</v>
      </c>
      <c r="X9" s="20" t="s">
        <v>76</v>
      </c>
      <c r="Y9" s="25"/>
      <c r="Z9" s="25"/>
      <c r="AC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ht="39.879699248120296" customHeight="1" spans="1:52" x14ac:dyDescent="0.25">
      <c r="A10" s="19" t="s">
        <v>97</v>
      </c>
      <c r="B10" s="20" t="s">
        <v>57</v>
      </c>
      <c r="C10" s="21" t="s">
        <v>58</v>
      </c>
      <c r="D10" s="22" t="s">
        <v>59</v>
      </c>
      <c r="E10" s="21" t="s">
        <v>98</v>
      </c>
      <c r="F10" s="23" t="s">
        <v>98</v>
      </c>
      <c r="G10" s="20" t="str">
        <f>SUBSTITUTE(SUBSTITUTE(SUBSTITUTE(O10,"/@","_"),"/cac:","_"),"/cbc:","_")</f>
        <v>Invoice_LegalMonetaryTotal_TaxInclusiveAmount</v>
      </c>
      <c r="H10" s="19" t="s">
        <v>99</v>
      </c>
      <c r="I10" s="19"/>
      <c r="J10" s="19" t="s">
        <v>100</v>
      </c>
      <c r="K10" s="24"/>
      <c r="L10" s="25" t="s">
        <v>101</v>
      </c>
      <c r="M10" s="19" t="s">
        <v>64</v>
      </c>
      <c r="N10" s="26" t="str">
        <f>IF(O10="","",LEN(O10)-LEN(SUBSTITUTE(O10,"/",""))+IF(ISNUMBER(SEARCH("@",O10)),0,1))</f>
        <v>3</v>
      </c>
      <c r="O10" s="19" t="s">
        <v>102</v>
      </c>
      <c r="P10" s="19" t="s">
        <v>103</v>
      </c>
      <c r="Q10" s="20"/>
      <c r="R10" s="20"/>
      <c r="S10" s="20"/>
      <c r="T10" s="20"/>
      <c r="U10" s="20" t="s">
        <v>67</v>
      </c>
      <c r="V10" s="20" t="s">
        <v>68</v>
      </c>
      <c r="W10" s="20" t="str">
        <f>IF(ISBLANK(O10),"是","否")</f>
        <v>否</v>
      </c>
      <c r="X10" s="20" t="s">
        <v>76</v>
      </c>
      <c r="Y10" s="24">
        <v>8</v>
      </c>
      <c r="Z10" s="25" t="s">
        <v>98</v>
      </c>
      <c r="AC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ht="39.879699248120296" customHeight="1" spans="1:52" x14ac:dyDescent="0.25">
      <c r="A11" s="19" t="s">
        <v>97</v>
      </c>
      <c r="B11" s="20" t="s">
        <v>57</v>
      </c>
      <c r="C11" s="21" t="s">
        <v>58</v>
      </c>
      <c r="D11" s="22" t="s">
        <v>59</v>
      </c>
      <c r="E11" s="21" t="s">
        <v>104</v>
      </c>
      <c r="F11" s="23" t="s">
        <v>104</v>
      </c>
      <c r="G11" s="20" t="str">
        <f>SUBSTITUTE(SUBSTITUTE(SUBSTITUTE(O11,"/@","_"),"/cac:","_"),"/cbc:","_")</f>
        <v>Invoice_LegalMonetaryTotal_LineExtensionAmount</v>
      </c>
      <c r="H11" s="19" t="s">
        <v>105</v>
      </c>
      <c r="I11" s="19"/>
      <c r="J11" s="19" t="s">
        <v>106</v>
      </c>
      <c r="K11" s="24"/>
      <c r="L11" s="25" t="s">
        <v>101</v>
      </c>
      <c r="M11" s="28">
        <v>1</v>
      </c>
      <c r="N11" s="26" t="str">
        <f>IF(O11="","",LEN(O11)-LEN(SUBSTITUTE(O11,"/",""))+IF(ISNUMBER(SEARCH("@",O11)),0,1))</f>
        <v>3</v>
      </c>
      <c r="O11" s="19" t="s">
        <v>107</v>
      </c>
      <c r="P11" s="19" t="s">
        <v>108</v>
      </c>
      <c r="Q11" s="20"/>
      <c r="R11" s="20"/>
      <c r="S11" s="20"/>
      <c r="T11" s="20"/>
      <c r="U11" s="20" t="s">
        <v>67</v>
      </c>
      <c r="V11" s="20" t="s">
        <v>68</v>
      </c>
      <c r="W11" s="20" t="str">
        <f>IF(ISBLANK(O11),"是","否")</f>
        <v>否</v>
      </c>
      <c r="X11" s="20" t="s">
        <v>76</v>
      </c>
      <c r="Y11" s="24">
        <v>9</v>
      </c>
      <c r="Z11" s="25" t="s">
        <v>104</v>
      </c>
      <c r="AA11" s="24">
        <v>21</v>
      </c>
      <c r="AB11" s="25" t="s">
        <v>104</v>
      </c>
      <c r="AC11" s="20"/>
      <c r="AD11" s="24"/>
      <c r="AE11" s="25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ht="39.879699248120296" customHeight="1" spans="1:52" x14ac:dyDescent="0.25">
      <c r="A12" s="19" t="s">
        <v>109</v>
      </c>
      <c r="B12" s="20" t="s">
        <v>57</v>
      </c>
      <c r="C12" s="21" t="s">
        <v>58</v>
      </c>
      <c r="D12" s="22" t="s">
        <v>59</v>
      </c>
      <c r="E12" s="21" t="s">
        <v>110</v>
      </c>
      <c r="F12" s="23" t="s">
        <v>110</v>
      </c>
      <c r="G12" s="20" t="str">
        <f>SUBSTITUTE(SUBSTITUTE(SUBSTITUTE(O12,"/@","_"),"/cac:","_"),"/cbc:","_")</f>
        <v>Invoice_TaxTotal_TaxAmount</v>
      </c>
      <c r="H12" s="19" t="s">
        <v>111</v>
      </c>
      <c r="I12" s="19"/>
      <c r="J12" s="19" t="s">
        <v>112</v>
      </c>
      <c r="K12" s="25"/>
      <c r="L12" s="25" t="s">
        <v>101</v>
      </c>
      <c r="M12" s="28">
        <v>1</v>
      </c>
      <c r="N12" s="26" t="str">
        <f>IF(O12="","",LEN(O12)-LEN(SUBSTITUTE(O12,"/",""))+IF(ISNUMBER(SEARCH("@",O12)),0,1))</f>
        <v>3</v>
      </c>
      <c r="O12" s="19" t="s">
        <v>113</v>
      </c>
      <c r="P12" s="19" t="s">
        <v>114</v>
      </c>
      <c r="Q12" s="20"/>
      <c r="R12" s="25"/>
      <c r="S12" s="20"/>
      <c r="T12" s="20"/>
      <c r="U12" s="20" t="s">
        <v>67</v>
      </c>
      <c r="V12" s="20" t="s">
        <v>68</v>
      </c>
      <c r="W12" s="20" t="str">
        <f>IF(ISBLANK(O12),"是","否")</f>
        <v>否</v>
      </c>
      <c r="X12" s="20" t="s">
        <v>76</v>
      </c>
      <c r="Y12" s="24">
        <v>10</v>
      </c>
      <c r="Z12" s="25" t="s">
        <v>110</v>
      </c>
      <c r="AA12" s="24">
        <v>23</v>
      </c>
      <c r="AB12" s="25" t="s">
        <v>110</v>
      </c>
      <c r="AC12" s="20"/>
      <c r="AD12" s="24"/>
      <c r="AE12" s="25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ht="39.879699248120296" customHeight="1" spans="1:52" x14ac:dyDescent="0.25">
      <c r="A13" s="19" t="s">
        <v>41</v>
      </c>
      <c r="B13" s="20" t="s">
        <v>57</v>
      </c>
      <c r="C13" s="21" t="s">
        <v>58</v>
      </c>
      <c r="D13" s="22" t="s">
        <v>59</v>
      </c>
      <c r="E13" s="21" t="s">
        <v>115</v>
      </c>
      <c r="F13" s="23" t="s">
        <v>115</v>
      </c>
      <c r="G13" s="20" t="str">
        <f>SUBSTITUTE(SUBSTITUTE(SUBSTITUTE(O13,"/@","_"),"/cac:","_"),"/cbc:","_")</f>
        <v>Invoice_InvoiceTypeCode</v>
      </c>
      <c r="H13" s="19" t="s">
        <v>116</v>
      </c>
      <c r="I13" s="19"/>
      <c r="J13" s="19" t="s">
        <v>92</v>
      </c>
      <c r="K13" s="20"/>
      <c r="L13" s="25" t="s">
        <v>93</v>
      </c>
      <c r="M13" s="19" t="s">
        <v>64</v>
      </c>
      <c r="N13" s="26" t="str">
        <f>IF(O13="","",LEN(O13)-LEN(SUBSTITUTE(O13,"/",""))+IF(ISNUMBER(SEARCH("@",O13)),0,1))</f>
        <v>2</v>
      </c>
      <c r="O13" s="19" t="s">
        <v>94</v>
      </c>
      <c r="P13" s="19" t="s">
        <v>117</v>
      </c>
      <c r="Q13" s="20"/>
      <c r="R13" s="20" t="s">
        <v>118</v>
      </c>
      <c r="S13" s="20"/>
      <c r="T13" s="20"/>
      <c r="U13" s="20" t="s">
        <v>67</v>
      </c>
      <c r="V13" s="20" t="s">
        <v>68</v>
      </c>
      <c r="W13" s="20" t="str">
        <f>IF(ISBLANK(O13),"是","否")</f>
        <v>否</v>
      </c>
      <c r="X13" s="20" t="s">
        <v>76</v>
      </c>
      <c r="Y13" s="24">
        <v>11</v>
      </c>
      <c r="Z13" s="25" t="s">
        <v>115</v>
      </c>
      <c r="AA13" s="24">
        <v>40</v>
      </c>
      <c r="AB13" s="25" t="s">
        <v>119</v>
      </c>
      <c r="AC13" s="20"/>
      <c r="AD13" s="24"/>
      <c r="AE13" s="25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ht="29.59398496240601" customHeight="1" spans="1:52" x14ac:dyDescent="0.25">
      <c r="A14" s="19" t="s">
        <v>41</v>
      </c>
      <c r="B14" s="20" t="s">
        <v>57</v>
      </c>
      <c r="C14" s="21"/>
      <c r="D14" s="22"/>
      <c r="E14" s="21" t="s">
        <v>120</v>
      </c>
      <c r="F14" s="23" t="s">
        <v>120</v>
      </c>
      <c r="G14" s="20" t="str">
        <f>SUBSTITUTE(SUBSTITUTE(SUBSTITUTE(O14,"/@","_"),"/cac:","_"),"/cbc:","_")</f>
        <v>Invoice_IssueDate</v>
      </c>
      <c r="H14" s="19" t="s">
        <v>121</v>
      </c>
      <c r="I14" s="19" t="s">
        <v>122</v>
      </c>
      <c r="J14" s="19" t="s">
        <v>123</v>
      </c>
      <c r="K14" s="24"/>
      <c r="L14" s="25" t="s">
        <v>124</v>
      </c>
      <c r="M14" s="28">
        <v>1</v>
      </c>
      <c r="N14" s="26" t="str">
        <f>IF(O14="","",LEN(O14)-LEN(SUBSTITUTE(O14,"/",""))+IF(ISNUMBER(SEARCH("@",O14)),0,1))</f>
        <v>2</v>
      </c>
      <c r="O14" s="19" t="s">
        <v>125</v>
      </c>
      <c r="P14" s="19" t="s">
        <v>126</v>
      </c>
      <c r="Q14" s="20"/>
      <c r="R14" s="20"/>
      <c r="S14" s="20"/>
      <c r="T14" s="20"/>
      <c r="U14" s="20" t="s">
        <v>67</v>
      </c>
      <c r="V14" s="20" t="s">
        <v>68</v>
      </c>
      <c r="W14" s="20" t="str">
        <f>IF(ISBLANK(O14),"是","否")</f>
        <v>否</v>
      </c>
      <c r="X14" s="20" t="s">
        <v>76</v>
      </c>
      <c r="Y14" s="24">
        <v>12</v>
      </c>
      <c r="Z14" s="25" t="s">
        <v>127</v>
      </c>
      <c r="AA14" s="24">
        <v>8</v>
      </c>
      <c r="AB14" s="25" t="s">
        <v>128</v>
      </c>
      <c r="AC14" s="20"/>
      <c r="AD14" s="24"/>
      <c r="AE14" s="25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ht="39.879699248120296" customHeight="1" spans="1:52" x14ac:dyDescent="0.25">
      <c r="A15" s="27"/>
      <c r="B15" s="20" t="s">
        <v>57</v>
      </c>
      <c r="C15" s="21" t="s">
        <v>58</v>
      </c>
      <c r="D15" s="22" t="s">
        <v>59</v>
      </c>
      <c r="E15" s="21" t="s">
        <v>129</v>
      </c>
      <c r="F15" s="23" t="s">
        <v>129</v>
      </c>
      <c r="G15" s="20" t="str">
        <f>SUBSTITUTE(SUBSTITUTE(SUBSTITUTE(O15,"/@","_"),"/cac:","_"),"/cbc:","_")</f>
        <v/>
      </c>
      <c r="H15" s="19" t="s">
        <v>130</v>
      </c>
      <c r="I15" s="19"/>
      <c r="J15" s="19"/>
      <c r="K15" s="20"/>
      <c r="L15" s="25" t="s">
        <v>124</v>
      </c>
      <c r="M15" s="19"/>
      <c r="N15" s="26" t="str">
        <f>IF(O15="","",LEN(O15)-LEN(SUBSTITUTE(O15,"/",""))+IF(ISNUMBER(SEARCH("@",O15)),0,1))</f>
        <v/>
      </c>
      <c r="O15" s="19"/>
      <c r="P15" s="19" t="s">
        <v>131</v>
      </c>
      <c r="Q15" s="20"/>
      <c r="R15" s="20"/>
      <c r="S15" s="20"/>
      <c r="T15" s="20"/>
      <c r="U15" s="20" t="s">
        <v>67</v>
      </c>
      <c r="V15" s="20"/>
      <c r="W15" s="20" t="str">
        <f>IF(ISBLANK(O15),"是","否")</f>
        <v>是</v>
      </c>
      <c r="X15" s="20" t="s">
        <v>76</v>
      </c>
      <c r="Y15" s="24">
        <v>13</v>
      </c>
      <c r="Z15" s="25" t="s">
        <v>129</v>
      </c>
      <c r="AA15" s="24">
        <v>2</v>
      </c>
      <c r="AB15" s="25" t="s">
        <v>129</v>
      </c>
      <c r="AC15" s="20"/>
      <c r="AD15" s="24"/>
      <c r="AE15" s="25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ht="39.879699248120296" customHeight="1" spans="1:52" x14ac:dyDescent="0.25">
      <c r="A16" s="19" t="s">
        <v>132</v>
      </c>
      <c r="B16" s="20" t="s">
        <v>57</v>
      </c>
      <c r="C16" s="21" t="s">
        <v>58</v>
      </c>
      <c r="D16" s="22" t="s">
        <v>59</v>
      </c>
      <c r="E16" s="21" t="s">
        <v>133</v>
      </c>
      <c r="F16" s="23" t="s">
        <v>133</v>
      </c>
      <c r="G16" s="20" t="str">
        <f>SUBSTITUTE(SUBSTITUTE(SUBSTITUTE(O16,"/@","_"),"/cac:","_"),"/cbc:","_")</f>
        <v>Invoice_OrderReference_ID</v>
      </c>
      <c r="H16" s="19" t="s">
        <v>134</v>
      </c>
      <c r="I16" s="19"/>
      <c r="J16" s="19" t="s">
        <v>135</v>
      </c>
      <c r="K16" s="24"/>
      <c r="L16" s="25" t="s">
        <v>72</v>
      </c>
      <c r="M16" s="28">
        <v>1</v>
      </c>
      <c r="N16" s="26" t="str">
        <f>IF(O16="","",LEN(O16)-LEN(SUBSTITUTE(O16,"/",""))+IF(ISNUMBER(SEARCH("@",O16)),0,1))</f>
        <v>3</v>
      </c>
      <c r="O16" s="19" t="s">
        <v>136</v>
      </c>
      <c r="P16" s="19" t="s">
        <v>137</v>
      </c>
      <c r="Q16" s="20"/>
      <c r="R16" s="20"/>
      <c r="S16" s="20" t="s">
        <v>138</v>
      </c>
      <c r="T16" s="20"/>
      <c r="U16" s="20" t="s">
        <v>67</v>
      </c>
      <c r="V16" s="20" t="s">
        <v>68</v>
      </c>
      <c r="W16" s="20" t="str">
        <f>IF(ISBLANK(O16),"是","否")</f>
        <v>否</v>
      </c>
      <c r="X16" s="20" t="s">
        <v>76</v>
      </c>
      <c r="Y16" s="24">
        <v>14</v>
      </c>
      <c r="Z16" s="25" t="s">
        <v>133</v>
      </c>
      <c r="AC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ht="50.16541353383458" customHeight="1" spans="1:52" x14ac:dyDescent="0.25">
      <c r="A17" s="19" t="s">
        <v>139</v>
      </c>
      <c r="B17" s="20" t="s">
        <v>57</v>
      </c>
      <c r="C17" s="21" t="s">
        <v>58</v>
      </c>
      <c r="D17" s="22" t="s">
        <v>59</v>
      </c>
      <c r="E17" s="21" t="s">
        <v>44</v>
      </c>
      <c r="F17" s="23" t="s">
        <v>44</v>
      </c>
      <c r="G17" s="20" t="str">
        <f>SUBSTITUTE(SUBSTITUTE(SUBSTITUTE(O17,"/@","_"),"/cac:","_"),"/cbc:","_")</f>
        <v>Invoice_BillingReference_InvoiceDocumentReference_ID</v>
      </c>
      <c r="H17" s="19" t="s">
        <v>140</v>
      </c>
      <c r="I17" s="19"/>
      <c r="J17" s="19" t="s">
        <v>141</v>
      </c>
      <c r="K17" s="24"/>
      <c r="L17" s="25" t="s">
        <v>79</v>
      </c>
      <c r="M17" s="28">
        <v>1</v>
      </c>
      <c r="N17" s="26" t="str">
        <f>IF(O17="","",LEN(O17)-LEN(SUBSTITUTE(O17,"/",""))+IF(ISNUMBER(SEARCH("@",O17)),0,1))</f>
        <v>4</v>
      </c>
      <c r="O17" s="19" t="s">
        <v>142</v>
      </c>
      <c r="P17" s="19" t="s">
        <v>143</v>
      </c>
      <c r="Q17" s="20"/>
      <c r="R17" s="20"/>
      <c r="S17" s="20" t="s">
        <v>138</v>
      </c>
      <c r="T17" s="20"/>
      <c r="U17" s="20" t="s">
        <v>67</v>
      </c>
      <c r="V17" s="20" t="s">
        <v>68</v>
      </c>
      <c r="W17" s="20" t="str">
        <f>IF(ISBLANK(O17),"是","否")</f>
        <v>否</v>
      </c>
      <c r="X17" s="20" t="s">
        <v>76</v>
      </c>
      <c r="Y17" s="24">
        <v>15</v>
      </c>
      <c r="Z17" s="25" t="s">
        <v>144</v>
      </c>
      <c r="AA17" s="24">
        <v>10</v>
      </c>
      <c r="AB17" s="25" t="s">
        <v>145</v>
      </c>
      <c r="AC17" s="20"/>
      <c r="AD17" s="24"/>
      <c r="AE17" s="25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ht="39.879699248120296" customHeight="1" spans="1:52" x14ac:dyDescent="0.25">
      <c r="A18" s="19" t="s">
        <v>139</v>
      </c>
      <c r="B18" s="20" t="s">
        <v>57</v>
      </c>
      <c r="C18" s="21" t="s">
        <v>58</v>
      </c>
      <c r="D18" s="22" t="s">
        <v>59</v>
      </c>
      <c r="E18" s="21" t="s">
        <v>146</v>
      </c>
      <c r="F18" s="23" t="s">
        <v>146</v>
      </c>
      <c r="G18" s="20" t="str">
        <f>SUBSTITUTE(SUBSTITUTE(SUBSTITUTE(O18,"/@","_"),"/cac:","_"),"/cbc:","_")</f>
        <v>Invoice_BillingReference_InvoiceDocumentReference_ID</v>
      </c>
      <c r="H18" s="19" t="s">
        <v>147</v>
      </c>
      <c r="I18" s="19"/>
      <c r="J18" s="19" t="s">
        <v>141</v>
      </c>
      <c r="K18" s="24"/>
      <c r="L18" s="25" t="s">
        <v>85</v>
      </c>
      <c r="M18" s="28">
        <v>1</v>
      </c>
      <c r="N18" s="26" t="str">
        <f>IF(O18="","",LEN(O18)-LEN(SUBSTITUTE(O18,"/",""))+IF(ISNUMBER(SEARCH("@",O18)),0,1))</f>
        <v>4</v>
      </c>
      <c r="O18" s="19" t="s">
        <v>142</v>
      </c>
      <c r="P18" s="19" t="s">
        <v>148</v>
      </c>
      <c r="Q18" s="20"/>
      <c r="R18" s="20"/>
      <c r="S18" s="20" t="s">
        <v>138</v>
      </c>
      <c r="T18" s="20"/>
      <c r="U18" s="20" t="s">
        <v>67</v>
      </c>
      <c r="V18" s="20" t="s">
        <v>68</v>
      </c>
      <c r="W18" s="20" t="str">
        <f>IF(ISBLANK(O18),"是","否")</f>
        <v>否</v>
      </c>
      <c r="X18" s="20" t="s">
        <v>76</v>
      </c>
      <c r="Y18" s="24">
        <v>16</v>
      </c>
      <c r="Z18" s="25" t="s">
        <v>149</v>
      </c>
      <c r="AA18" s="24">
        <v>11</v>
      </c>
      <c r="AB18" s="25" t="s">
        <v>150</v>
      </c>
      <c r="AC18" s="20"/>
      <c r="AD18" s="24"/>
      <c r="AE18" s="25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ht="39.879699248120296" customHeight="1" spans="1:52" x14ac:dyDescent="0.25">
      <c r="A19" s="19" t="s">
        <v>41</v>
      </c>
      <c r="B19" s="20" t="s">
        <v>57</v>
      </c>
      <c r="C19" s="21"/>
      <c r="D19" s="22"/>
      <c r="E19" s="21" t="s">
        <v>151</v>
      </c>
      <c r="F19" s="23" t="s">
        <v>151</v>
      </c>
      <c r="G19" s="20" t="str">
        <f>SUBSTITUTE(SUBSTITUTE(SUBSTITUTE(O19,"/@","_"),"/cac:","_"),"/cbc:","_")</f>
        <v>Invoice_Note</v>
      </c>
      <c r="H19" s="19" t="s">
        <v>152</v>
      </c>
      <c r="I19" s="19"/>
      <c r="J19" s="19" t="s">
        <v>153</v>
      </c>
      <c r="K19" s="25"/>
      <c r="L19" s="25" t="s">
        <v>154</v>
      </c>
      <c r="M19" s="19" t="s">
        <v>49</v>
      </c>
      <c r="N19" s="26" t="str">
        <f>IF(O19="","",LEN(O19)-LEN(SUBSTITUTE(O19,"/",""))+IF(ISNUMBER(SEARCH("@",O19)),0,1))</f>
        <v>2</v>
      </c>
      <c r="O19" s="19" t="s">
        <v>155</v>
      </c>
      <c r="P19" s="19" t="s">
        <v>156</v>
      </c>
      <c r="Q19" s="20"/>
      <c r="R19" s="25"/>
      <c r="S19" s="20"/>
      <c r="T19" s="20"/>
      <c r="U19" s="20" t="s">
        <v>67</v>
      </c>
      <c r="V19" s="20" t="s">
        <v>68</v>
      </c>
      <c r="W19" s="20" t="str">
        <f>IF(ISBLANK(O19),"是","否")</f>
        <v>否</v>
      </c>
      <c r="X19" s="20" t="s">
        <v>76</v>
      </c>
      <c r="Y19" s="24">
        <v>51</v>
      </c>
      <c r="Z19" s="25" t="s">
        <v>157</v>
      </c>
      <c r="AA19" s="24">
        <v>34</v>
      </c>
      <c r="AB19" s="25" t="s">
        <v>157</v>
      </c>
      <c r="AC19" s="20"/>
      <c r="AD19" s="24"/>
      <c r="AE19" s="25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ht="50.16541353383458" customHeight="1" spans="1:52" x14ac:dyDescent="0.25">
      <c r="A20" s="27"/>
      <c r="B20" s="20" t="s">
        <v>57</v>
      </c>
      <c r="C20" s="21" t="s">
        <v>58</v>
      </c>
      <c r="D20" s="22" t="s">
        <v>59</v>
      </c>
      <c r="E20" s="21" t="s">
        <v>158</v>
      </c>
      <c r="F20" s="23" t="s">
        <v>158</v>
      </c>
      <c r="G20" s="20" t="str">
        <f>SUBSTITUTE(SUBSTITUTE(SUBSTITUTE(O20,"/@","_"),"/cac:","_"),"/cbc:","_")</f>
        <v/>
      </c>
      <c r="H20" s="19" t="s">
        <v>159</v>
      </c>
      <c r="I20" s="19"/>
      <c r="J20" s="19"/>
      <c r="K20" s="24"/>
      <c r="L20" s="25" t="s">
        <v>93</v>
      </c>
      <c r="M20" s="20"/>
      <c r="N20" s="26" t="str">
        <f>IF(O20="","",LEN(O20)-LEN(SUBSTITUTE(O20,"/",""))+IF(ISNUMBER(SEARCH("@",O20)),0,1))</f>
        <v/>
      </c>
      <c r="O20" s="19"/>
      <c r="P20" s="19" t="s">
        <v>160</v>
      </c>
      <c r="Q20" s="20"/>
      <c r="R20" s="25" t="s">
        <v>161</v>
      </c>
      <c r="S20" s="20"/>
      <c r="T20" s="20"/>
      <c r="U20" s="20" t="s">
        <v>67</v>
      </c>
      <c r="V20" s="20"/>
      <c r="W20" s="20" t="str">
        <f>IF(ISBLANK(O20),"是","否")</f>
        <v>是</v>
      </c>
      <c r="X20" s="20" t="s">
        <v>76</v>
      </c>
      <c r="Y20" s="24">
        <v>46</v>
      </c>
      <c r="Z20" s="25" t="s">
        <v>158</v>
      </c>
      <c r="AC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ht="29.59398496240601" customHeight="1" spans="1:52" x14ac:dyDescent="0.25">
      <c r="A21" s="19" t="s">
        <v>41</v>
      </c>
      <c r="B21" s="20" t="s">
        <v>57</v>
      </c>
      <c r="C21" s="21" t="s">
        <v>58</v>
      </c>
      <c r="D21" s="22" t="s">
        <v>59</v>
      </c>
      <c r="E21" s="21" t="s">
        <v>162</v>
      </c>
      <c r="F21" s="23" t="s">
        <v>162</v>
      </c>
      <c r="G21" s="20" t="str">
        <f>SUBSTITUTE(SUBSTITUTE(SUBSTITUTE(O21,"/@","_"),"/cac:","_"),"/cbc:","_")</f>
        <v>Invoice_ID</v>
      </c>
      <c r="H21" s="19" t="s">
        <v>163</v>
      </c>
      <c r="I21" s="19" t="s">
        <v>83</v>
      </c>
      <c r="J21" s="19" t="s">
        <v>84</v>
      </c>
      <c r="K21" s="24"/>
      <c r="L21" s="25" t="s">
        <v>164</v>
      </c>
      <c r="M21" s="20" t="s">
        <v>165</v>
      </c>
      <c r="N21" s="26" t="str">
        <f>IF(O21="","",LEN(O21)-LEN(SUBSTITUTE(O21,"/",""))+IF(ISNUMBER(SEARCH("@",O21)),0,1))</f>
        <v>2</v>
      </c>
      <c r="O21" s="19" t="s">
        <v>86</v>
      </c>
      <c r="P21" s="19" t="s">
        <v>166</v>
      </c>
      <c r="Q21" s="20"/>
      <c r="R21" s="20"/>
      <c r="S21" s="20"/>
      <c r="T21" s="20"/>
      <c r="U21" s="20" t="s">
        <v>67</v>
      </c>
      <c r="V21" s="20" t="s">
        <v>68</v>
      </c>
      <c r="W21" s="20" t="str">
        <f>IF(ISBLANK(O21),"是","否")</f>
        <v>否</v>
      </c>
      <c r="X21" s="20" t="s">
        <v>76</v>
      </c>
      <c r="Y21" s="24">
        <v>3</v>
      </c>
      <c r="Z21" s="25" t="s">
        <v>162</v>
      </c>
      <c r="AA21" s="24">
        <v>119</v>
      </c>
      <c r="AB21" s="25" t="s">
        <v>167</v>
      </c>
      <c r="AC21" s="20"/>
      <c r="AD21" s="24"/>
      <c r="AE21" s="25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ht="39.879699248120296" customHeight="1" spans="1:52" x14ac:dyDescent="0.25">
      <c r="A22" s="19" t="s">
        <v>41</v>
      </c>
      <c r="B22" s="20" t="s">
        <v>57</v>
      </c>
      <c r="C22" s="21"/>
      <c r="D22" s="22"/>
      <c r="E22" s="21"/>
      <c r="F22" s="23"/>
      <c r="G22" s="20" t="str">
        <f>SUBSTITUTE(SUBSTITUTE(SUBSTITUTE(O22,"/@","_"),"/cac:","_"),"/cbc:","_")</f>
        <v>Invoice_Note</v>
      </c>
      <c r="H22" s="19" t="s">
        <v>168</v>
      </c>
      <c r="I22" s="19"/>
      <c r="J22" s="19" t="s">
        <v>153</v>
      </c>
      <c r="K22" s="20"/>
      <c r="L22" s="25"/>
      <c r="M22" s="20" t="s">
        <v>49</v>
      </c>
      <c r="N22" s="26" t="str">
        <f>IF(O22="","",LEN(O22)-LEN(SUBSTITUTE(O22,"/",""))+IF(ISNUMBER(SEARCH("@",O22)),0,1))</f>
        <v>2</v>
      </c>
      <c r="O22" s="19" t="s">
        <v>155</v>
      </c>
      <c r="P22" s="19" t="s">
        <v>169</v>
      </c>
      <c r="Q22" s="20"/>
      <c r="R22" s="20"/>
      <c r="S22" s="20"/>
      <c r="T22" s="20"/>
      <c r="U22" s="20" t="s">
        <v>67</v>
      </c>
      <c r="V22" s="20" t="s">
        <v>68</v>
      </c>
      <c r="W22" s="20" t="str">
        <f>IF(ISBLANK(O22),"是","否")</f>
        <v>否</v>
      </c>
      <c r="X22" s="20" t="s">
        <v>76</v>
      </c>
      <c r="Y22" s="25"/>
      <c r="Z22" s="25"/>
      <c r="AC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ht="50.16541353383458" customHeight="1" spans="1:52" x14ac:dyDescent="0.25">
      <c r="A23" s="19" t="s">
        <v>139</v>
      </c>
      <c r="B23" s="20" t="s">
        <v>57</v>
      </c>
      <c r="C23" s="21" t="s">
        <v>58</v>
      </c>
      <c r="D23" s="22" t="s">
        <v>59</v>
      </c>
      <c r="E23" s="21" t="s">
        <v>170</v>
      </c>
      <c r="F23" s="23" t="s">
        <v>170</v>
      </c>
      <c r="G23" s="20" t="str">
        <f>SUBSTITUTE(SUBSTITUTE(SUBSTITUTE(O23,"/@","_"),"/cac:","_"),"/cbc:","_")</f>
        <v>Invoice_AdditionalDocumentReference_ID</v>
      </c>
      <c r="H23" s="19" t="s">
        <v>171</v>
      </c>
      <c r="I23" s="19"/>
      <c r="J23" s="19" t="s">
        <v>172</v>
      </c>
      <c r="K23" s="25"/>
      <c r="L23" s="25" t="s">
        <v>72</v>
      </c>
      <c r="M23" s="20" t="s">
        <v>165</v>
      </c>
      <c r="N23" s="26" t="str">
        <f>IF(O23="","",LEN(O23)-LEN(SUBSTITUTE(O23,"/",""))+IF(ISNUMBER(SEARCH("@",O23)),0,1))</f>
        <v>3</v>
      </c>
      <c r="O23" s="19" t="s">
        <v>173</v>
      </c>
      <c r="P23" s="19" t="s">
        <v>174</v>
      </c>
      <c r="Q23" s="20"/>
      <c r="R23" s="25"/>
      <c r="S23" s="20" t="s">
        <v>138</v>
      </c>
      <c r="T23" s="20"/>
      <c r="U23" s="20" t="s">
        <v>67</v>
      </c>
      <c r="V23" s="20" t="s">
        <v>68</v>
      </c>
      <c r="W23" s="20" t="str">
        <f>IF(ISBLANK(O23),"是","否")</f>
        <v>否</v>
      </c>
      <c r="X23" s="20" t="s">
        <v>76</v>
      </c>
      <c r="Y23" s="24">
        <v>17</v>
      </c>
      <c r="Z23" s="25" t="s">
        <v>170</v>
      </c>
      <c r="AC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ht="60.45112781954887" customHeight="1" spans="1:52" x14ac:dyDescent="0.25">
      <c r="A24" s="19" t="s">
        <v>175</v>
      </c>
      <c r="B24" s="20" t="s">
        <v>57</v>
      </c>
      <c r="C24" s="21" t="s">
        <v>58</v>
      </c>
      <c r="D24" s="22" t="s">
        <v>59</v>
      </c>
      <c r="E24" s="21" t="s">
        <v>176</v>
      </c>
      <c r="F24" s="23" t="s">
        <v>176</v>
      </c>
      <c r="G24" s="20" t="str">
        <f>SUBSTITUTE(SUBSTITUTE(SUBSTITUTE(O24,"/@","_"),"/cac:","_"),"/cbc:","_")</f>
        <v>Invoice_AccountingSupplierParty_SellerContact_Name</v>
      </c>
      <c r="H24" s="19" t="s">
        <v>177</v>
      </c>
      <c r="I24" s="19"/>
      <c r="J24" s="19" t="s">
        <v>178</v>
      </c>
      <c r="K24" s="25"/>
      <c r="L24" s="25" t="s">
        <v>164</v>
      </c>
      <c r="M24" s="20" t="s">
        <v>64</v>
      </c>
      <c r="N24" s="26" t="str">
        <f>IF(O24="","",LEN(O24)-LEN(SUBSTITUTE(O24,"/",""))+IF(ISNUMBER(SEARCH("@",O24)),0,1))</f>
        <v>4</v>
      </c>
      <c r="O24" s="19" t="s">
        <v>179</v>
      </c>
      <c r="P24" s="19" t="s">
        <v>180</v>
      </c>
      <c r="Q24" s="20"/>
      <c r="R24" s="25"/>
      <c r="S24" s="20" t="s">
        <v>181</v>
      </c>
      <c r="T24" s="20"/>
      <c r="U24" s="20" t="s">
        <v>67</v>
      </c>
      <c r="V24" s="20" t="s">
        <v>68</v>
      </c>
      <c r="W24" s="20" t="str">
        <f>IF(ISBLANK(O24),"是","否")</f>
        <v>否</v>
      </c>
      <c r="X24" s="20" t="s">
        <v>76</v>
      </c>
      <c r="Y24" s="24">
        <v>42</v>
      </c>
      <c r="Z24" s="25" t="s">
        <v>176</v>
      </c>
      <c r="AA24" s="24">
        <v>145</v>
      </c>
      <c r="AB24" s="25" t="s">
        <v>176</v>
      </c>
      <c r="AC24" s="20"/>
      <c r="AD24" s="24"/>
      <c r="AE24" s="25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ht="50.16541353383458" customHeight="1" spans="1:52" x14ac:dyDescent="0.25">
      <c r="A25" s="19" t="s">
        <v>175</v>
      </c>
      <c r="B25" s="20" t="s">
        <v>57</v>
      </c>
      <c r="C25" s="21" t="s">
        <v>58</v>
      </c>
      <c r="D25" s="22" t="s">
        <v>59</v>
      </c>
      <c r="E25" s="21" t="s">
        <v>182</v>
      </c>
      <c r="F25" s="23" t="s">
        <v>182</v>
      </c>
      <c r="G25" s="20" t="str">
        <f>SUBSTITUTE(SUBSTITUTE(SUBSTITUTE(O25,"/@","_"),"/cac:","_"),"/cbc:","_")</f>
        <v>Invoice_AccountingSupplierParty_SellerContact_ID</v>
      </c>
      <c r="H25" s="19" t="s">
        <v>183</v>
      </c>
      <c r="I25" s="19"/>
      <c r="J25" s="19" t="s">
        <v>184</v>
      </c>
      <c r="K25" s="25"/>
      <c r="L25" s="25" t="s">
        <v>63</v>
      </c>
      <c r="M25" s="19" t="s">
        <v>64</v>
      </c>
      <c r="N25" s="26" t="str">
        <f>IF(O25="","",LEN(O25)-LEN(SUBSTITUTE(O25,"/",""))+IF(ISNUMBER(SEARCH("@",O25)),0,1))</f>
        <v>4</v>
      </c>
      <c r="O25" s="19" t="s">
        <v>185</v>
      </c>
      <c r="P25" s="19" t="s">
        <v>186</v>
      </c>
      <c r="Q25" s="20"/>
      <c r="R25" s="25"/>
      <c r="S25" s="20" t="s">
        <v>187</v>
      </c>
      <c r="T25" s="20"/>
      <c r="U25" s="20" t="s">
        <v>67</v>
      </c>
      <c r="V25" s="20" t="s">
        <v>68</v>
      </c>
      <c r="W25" s="20" t="str">
        <f>IF(ISBLANK(O25),"是","否")</f>
        <v>否</v>
      </c>
      <c r="X25" s="20" t="s">
        <v>76</v>
      </c>
      <c r="Y25" s="24">
        <v>43</v>
      </c>
      <c r="Z25" s="25" t="s">
        <v>182</v>
      </c>
      <c r="AC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ht="39.879699248120296" customHeight="1" spans="1:52" x14ac:dyDescent="0.25">
      <c r="A26" s="19" t="s">
        <v>188</v>
      </c>
      <c r="B26" s="20" t="s">
        <v>57</v>
      </c>
      <c r="C26" s="21" t="s">
        <v>58</v>
      </c>
      <c r="D26" s="22" t="s">
        <v>59</v>
      </c>
      <c r="E26" s="21" t="s">
        <v>189</v>
      </c>
      <c r="F26" s="23" t="s">
        <v>189</v>
      </c>
      <c r="G26" s="20" t="str">
        <f>SUBSTITUTE(SUBSTITUTE(SUBSTITUTE(O26,"/@","_"),"/cac:","_"),"/cbc:","_")</f>
        <v>Invoice_PayeeParty_PartyName_Name</v>
      </c>
      <c r="H26" s="19" t="s">
        <v>190</v>
      </c>
      <c r="I26" s="19"/>
      <c r="J26" s="19" t="s">
        <v>191</v>
      </c>
      <c r="K26" s="20"/>
      <c r="L26" s="25" t="s">
        <v>164</v>
      </c>
      <c r="M26" s="28">
        <v>1</v>
      </c>
      <c r="N26" s="26" t="str">
        <f>IF(O26="","",LEN(O26)-LEN(SUBSTITUTE(O26,"/",""))+IF(ISNUMBER(SEARCH("@",O26)),0,1))</f>
        <v>4</v>
      </c>
      <c r="O26" s="19" t="s">
        <v>192</v>
      </c>
      <c r="P26" s="19" t="s">
        <v>193</v>
      </c>
      <c r="Q26" s="20"/>
      <c r="R26" s="20"/>
      <c r="S26" s="20" t="s">
        <v>194</v>
      </c>
      <c r="T26" s="20"/>
      <c r="U26" s="20" t="s">
        <v>67</v>
      </c>
      <c r="V26" s="20" t="s">
        <v>68</v>
      </c>
      <c r="W26" s="20" t="str">
        <f>IF(ISBLANK(O26),"是","否")</f>
        <v>否</v>
      </c>
      <c r="X26" s="20" t="s">
        <v>76</v>
      </c>
      <c r="Y26" s="24">
        <v>44</v>
      </c>
      <c r="Z26" s="25" t="s">
        <v>189</v>
      </c>
      <c r="AA26" s="24">
        <v>28</v>
      </c>
      <c r="AB26" s="25" t="s">
        <v>195</v>
      </c>
      <c r="AC26" s="20"/>
      <c r="AD26" s="24"/>
      <c r="AE26" s="25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ht="50.16541353383458" customHeight="1" spans="1:52" x14ac:dyDescent="0.25">
      <c r="A27" s="19" t="s">
        <v>175</v>
      </c>
      <c r="B27" s="20" t="s">
        <v>57</v>
      </c>
      <c r="C27" s="21" t="s">
        <v>58</v>
      </c>
      <c r="D27" s="22" t="s">
        <v>59</v>
      </c>
      <c r="E27" s="21" t="s">
        <v>196</v>
      </c>
      <c r="F27" s="23" t="s">
        <v>196</v>
      </c>
      <c r="G27" s="20" t="str">
        <f>SUBSTITUTE(SUBSTITUTE(SUBSTITUTE(O27,"/@","_"),"/cac:","_"),"/cbc:","_")</f>
        <v>Invoice_Signature_SignatoryParty_Contact_Name</v>
      </c>
      <c r="H27" s="19" t="s">
        <v>197</v>
      </c>
      <c r="I27" s="19"/>
      <c r="J27" s="19" t="s">
        <v>178</v>
      </c>
      <c r="K27" s="24"/>
      <c r="L27" s="25" t="s">
        <v>164</v>
      </c>
      <c r="M27" s="19" t="s">
        <v>64</v>
      </c>
      <c r="N27" s="26" t="str">
        <f>IF(O27="","",LEN(O27)-LEN(SUBSTITUTE(O27,"/",""))+IF(ISNUMBER(SEARCH("@",O27)),0,1))</f>
        <v>5</v>
      </c>
      <c r="O27" s="19" t="s">
        <v>198</v>
      </c>
      <c r="P27" s="19" t="s">
        <v>199</v>
      </c>
      <c r="Q27" s="20"/>
      <c r="R27" s="20"/>
      <c r="S27" s="20" t="s">
        <v>181</v>
      </c>
      <c r="T27" s="20"/>
      <c r="U27" s="20" t="s">
        <v>67</v>
      </c>
      <c r="V27" s="20" t="s">
        <v>68</v>
      </c>
      <c r="W27" s="20" t="str">
        <f>IF(ISBLANK(O27),"是","否")</f>
        <v>否</v>
      </c>
      <c r="X27" s="20" t="s">
        <v>76</v>
      </c>
      <c r="Y27" s="24">
        <v>45</v>
      </c>
      <c r="Z27" s="25" t="s">
        <v>196</v>
      </c>
      <c r="AA27" s="24">
        <v>29</v>
      </c>
      <c r="AB27" s="25" t="s">
        <v>200</v>
      </c>
      <c r="AC27" s="20"/>
      <c r="AD27" s="24"/>
      <c r="AE27" s="25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ht="50.16541353383458" customHeight="1" spans="1:52" x14ac:dyDescent="0.25">
      <c r="A28" s="27"/>
      <c r="B28" s="20" t="s">
        <v>57</v>
      </c>
      <c r="C28" s="21" t="s">
        <v>58</v>
      </c>
      <c r="D28" s="22" t="s">
        <v>59</v>
      </c>
      <c r="E28" s="21" t="s">
        <v>201</v>
      </c>
      <c r="F28" s="23" t="s">
        <v>201</v>
      </c>
      <c r="G28" s="20" t="str">
        <f>SUBSTITUTE(SUBSTITUTE(SUBSTITUTE(O28,"/@","_"),"/cac:","_"),"/cbc:","_")</f>
        <v/>
      </c>
      <c r="H28" s="19" t="s">
        <v>202</v>
      </c>
      <c r="I28" s="19"/>
      <c r="J28" s="19"/>
      <c r="K28" s="20" t="s">
        <v>203</v>
      </c>
      <c r="L28" s="25" t="s">
        <v>204</v>
      </c>
      <c r="M28" s="20"/>
      <c r="N28" s="26" t="str">
        <f>IF(O28="","",LEN(O28)-LEN(SUBSTITUTE(O28,"/",""))+IF(ISNUMBER(SEARCH("@",O28)),0,1))</f>
        <v/>
      </c>
      <c r="O28" s="19"/>
      <c r="P28" s="19" t="s">
        <v>205</v>
      </c>
      <c r="Q28" s="20"/>
      <c r="R28" s="20" t="s">
        <v>206</v>
      </c>
      <c r="S28" s="20"/>
      <c r="T28" s="20"/>
      <c r="U28" s="20" t="s">
        <v>67</v>
      </c>
      <c r="V28" s="20"/>
      <c r="W28" s="20" t="str">
        <f>IF(ISBLANK(O28),"是","否")</f>
        <v>是</v>
      </c>
      <c r="X28" s="20" t="s">
        <v>76</v>
      </c>
      <c r="Y28" s="24">
        <v>47</v>
      </c>
      <c r="Z28" s="25" t="s">
        <v>201</v>
      </c>
      <c r="AC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ht="50.16541353383458" customHeight="1" spans="1:52" x14ac:dyDescent="0.25">
      <c r="A29" s="27"/>
      <c r="B29" s="20" t="s">
        <v>57</v>
      </c>
      <c r="C29" s="21" t="s">
        <v>58</v>
      </c>
      <c r="D29" s="22" t="s">
        <v>59</v>
      </c>
      <c r="E29" s="21" t="s">
        <v>207</v>
      </c>
      <c r="F29" s="23" t="s">
        <v>207</v>
      </c>
      <c r="G29" s="20" t="str">
        <f>SUBSTITUTE(SUBSTITUTE(SUBSTITUTE(O29,"/@","_"),"/cac:","_"),"/cbc:","_")</f>
        <v/>
      </c>
      <c r="H29" s="19" t="s">
        <v>208</v>
      </c>
      <c r="I29" s="19"/>
      <c r="J29" s="19"/>
      <c r="K29" s="20" t="s">
        <v>203</v>
      </c>
      <c r="L29" s="25" t="s">
        <v>204</v>
      </c>
      <c r="M29" s="20"/>
      <c r="N29" s="26" t="str">
        <f>IF(O29="","",LEN(O29)-LEN(SUBSTITUTE(O29,"/",""))+IF(ISNUMBER(SEARCH("@",O29)),0,1))</f>
        <v/>
      </c>
      <c r="O29" s="19"/>
      <c r="P29" s="19" t="s">
        <v>209</v>
      </c>
      <c r="Q29" s="20"/>
      <c r="R29" s="20" t="s">
        <v>206</v>
      </c>
      <c r="S29" s="20"/>
      <c r="T29" s="20"/>
      <c r="U29" s="20" t="s">
        <v>67</v>
      </c>
      <c r="V29" s="20"/>
      <c r="W29" s="20" t="str">
        <f>IF(ISBLANK(O29),"是","否")</f>
        <v>是</v>
      </c>
      <c r="X29" s="20" t="s">
        <v>76</v>
      </c>
      <c r="Y29" s="24">
        <v>48</v>
      </c>
      <c r="Z29" s="25" t="s">
        <v>207</v>
      </c>
      <c r="AC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ht="50.16541353383458" customHeight="1" spans="1:52" x14ac:dyDescent="0.25">
      <c r="A30" s="27"/>
      <c r="B30" s="20" t="s">
        <v>57</v>
      </c>
      <c r="C30" s="21" t="s">
        <v>58</v>
      </c>
      <c r="D30" s="22" t="s">
        <v>59</v>
      </c>
      <c r="E30" s="21" t="s">
        <v>210</v>
      </c>
      <c r="F30" s="23" t="s">
        <v>210</v>
      </c>
      <c r="G30" s="20" t="str">
        <f>SUBSTITUTE(SUBSTITUTE(SUBSTITUTE(O30,"/@","_"),"/cac:","_"),"/cbc:","_")</f>
        <v/>
      </c>
      <c r="H30" s="19" t="s">
        <v>211</v>
      </c>
      <c r="I30" s="19"/>
      <c r="J30" s="19"/>
      <c r="K30" s="20" t="s">
        <v>203</v>
      </c>
      <c r="L30" s="25" t="s">
        <v>204</v>
      </c>
      <c r="M30" s="20"/>
      <c r="N30" s="26" t="str">
        <f>IF(O30="","",LEN(O30)-LEN(SUBSTITUTE(O30,"/",""))+IF(ISNUMBER(SEARCH("@",O30)),0,1))</f>
        <v/>
      </c>
      <c r="O30" s="19"/>
      <c r="P30" s="19" t="s">
        <v>212</v>
      </c>
      <c r="Q30" s="20"/>
      <c r="R30" s="20" t="s">
        <v>206</v>
      </c>
      <c r="S30" s="20"/>
      <c r="T30" s="20"/>
      <c r="U30" s="20" t="s">
        <v>67</v>
      </c>
      <c r="V30" s="20"/>
      <c r="W30" s="20" t="str">
        <f>IF(ISBLANK(O30),"是","否")</f>
        <v>是</v>
      </c>
      <c r="X30" s="20" t="s">
        <v>76</v>
      </c>
      <c r="Y30" s="24">
        <v>49</v>
      </c>
      <c r="Z30" s="25" t="s">
        <v>210</v>
      </c>
      <c r="AC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ht="50.16541353383458" customHeight="1" spans="1:52" x14ac:dyDescent="0.25">
      <c r="A31" s="27"/>
      <c r="B31" s="20" t="s">
        <v>57</v>
      </c>
      <c r="C31" s="21" t="s">
        <v>58</v>
      </c>
      <c r="D31" s="22" t="s">
        <v>59</v>
      </c>
      <c r="E31" s="21" t="s">
        <v>213</v>
      </c>
      <c r="F31" s="23" t="s">
        <v>213</v>
      </c>
      <c r="G31" s="20" t="str">
        <f>SUBSTITUTE(SUBSTITUTE(SUBSTITUTE(O31,"/@","_"),"/cac:","_"),"/cbc:","_")</f>
        <v/>
      </c>
      <c r="H31" s="19" t="s">
        <v>214</v>
      </c>
      <c r="I31" s="19"/>
      <c r="J31" s="19"/>
      <c r="K31" s="20" t="s">
        <v>203</v>
      </c>
      <c r="L31" s="25" t="s">
        <v>204</v>
      </c>
      <c r="M31" s="20"/>
      <c r="N31" s="26" t="str">
        <f>IF(O31="","",LEN(O31)-LEN(SUBSTITUTE(O31,"/",""))+IF(ISNUMBER(SEARCH("@",O31)),0,1))</f>
        <v/>
      </c>
      <c r="O31" s="19"/>
      <c r="P31" s="19" t="s">
        <v>215</v>
      </c>
      <c r="Q31" s="20"/>
      <c r="R31" s="20" t="s">
        <v>206</v>
      </c>
      <c r="S31" s="20"/>
      <c r="T31" s="20"/>
      <c r="U31" s="20" t="s">
        <v>67</v>
      </c>
      <c r="V31" s="20"/>
      <c r="W31" s="20" t="str">
        <f>IF(ISBLANK(O31),"是","否")</f>
        <v>是</v>
      </c>
      <c r="X31" s="20" t="s">
        <v>76</v>
      </c>
      <c r="Y31" s="24">
        <v>50</v>
      </c>
      <c r="Z31" s="25" t="s">
        <v>213</v>
      </c>
      <c r="AC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ht="29.59398496240601" customHeight="1" spans="1:52" x14ac:dyDescent="0.25">
      <c r="A32" s="19" t="s">
        <v>41</v>
      </c>
      <c r="B32" s="20" t="s">
        <v>57</v>
      </c>
      <c r="C32" s="21"/>
      <c r="D32" s="22"/>
      <c r="E32" s="21" t="s">
        <v>216</v>
      </c>
      <c r="F32" s="29" t="s">
        <v>217</v>
      </c>
      <c r="G32" s="20" t="str">
        <f>SUBSTITUTE(SUBSTITUTE(SUBSTITUTE(O32,"/@","_"),"/cac:","_"),"/cbc:","_")</f>
        <v>Invoice_AccountingSupplierParty</v>
      </c>
      <c r="H32" s="19" t="s">
        <v>218</v>
      </c>
      <c r="I32" s="19"/>
      <c r="J32" s="19" t="s">
        <v>219</v>
      </c>
      <c r="K32" s="20"/>
      <c r="L32" s="25" t="s">
        <v>220</v>
      </c>
      <c r="M32" s="27" t="s">
        <v>165</v>
      </c>
      <c r="N32" s="26" t="str">
        <f>IF(O32="","",LEN(O32)-LEN(SUBSTITUTE(O32,"/",""))+IF(ISNUMBER(SEARCH("@",O32)),0,1))</f>
        <v>2</v>
      </c>
      <c r="O32" s="26" t="s">
        <v>221</v>
      </c>
      <c r="P32" s="20"/>
      <c r="Q32" s="20"/>
      <c r="R32" s="20"/>
      <c r="S32" s="27"/>
      <c r="T32" s="20"/>
      <c r="U32" s="25" t="s">
        <v>67</v>
      </c>
      <c r="V32" s="27" t="s">
        <v>222</v>
      </c>
      <c r="W32" s="20" t="str">
        <f>IF(ISBLANK(O32),"是","否")</f>
        <v>否</v>
      </c>
      <c r="X32" s="20"/>
      <c r="Y32" s="25"/>
      <c r="Z32" s="25"/>
      <c r="AC32" s="20" t="s">
        <v>76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ht="29.59398496240601" customHeight="1" spans="1:52" x14ac:dyDescent="0.25">
      <c r="A33" s="19" t="s">
        <v>223</v>
      </c>
      <c r="B33" s="20" t="s">
        <v>57</v>
      </c>
      <c r="C33" s="21"/>
      <c r="D33" s="22"/>
      <c r="E33" s="21" t="s">
        <v>224</v>
      </c>
      <c r="F33" s="29" t="s">
        <v>225</v>
      </c>
      <c r="G33" s="20" t="str">
        <f>SUBSTITUTE(SUBSTITUTE(SUBSTITUTE(O33,"/@","_"),"/cac:","_"),"/cbc:","_")</f>
        <v>Invoice_AccountingSupplierParty_CustomerAssignedAccountID</v>
      </c>
      <c r="H33" s="19" t="s">
        <v>226</v>
      </c>
      <c r="I33" s="19"/>
      <c r="J33" s="19" t="s">
        <v>227</v>
      </c>
      <c r="K33" s="20"/>
      <c r="L33" s="25" t="s">
        <v>228</v>
      </c>
      <c r="M33" s="27" t="s">
        <v>64</v>
      </c>
      <c r="N33" s="26" t="str">
        <f>IF(O33="","",LEN(O33)-LEN(SUBSTITUTE(O33,"/",""))+IF(ISNUMBER(SEARCH("@",O33)),0,1))</f>
        <v>3</v>
      </c>
      <c r="O33" s="26" t="s">
        <v>229</v>
      </c>
      <c r="P33" s="20"/>
      <c r="Q33" s="20"/>
      <c r="R33" s="20"/>
      <c r="S33" s="27"/>
      <c r="T33" s="20"/>
      <c r="U33" s="25" t="s">
        <v>67</v>
      </c>
      <c r="V33" s="27" t="s">
        <v>68</v>
      </c>
      <c r="W33" s="20" t="str">
        <f>IF(ISBLANK(O33),"是","否")</f>
        <v>否</v>
      </c>
      <c r="X33" s="20"/>
      <c r="Y33" s="25"/>
      <c r="Z33" s="25"/>
      <c r="AC33" s="20" t="s">
        <v>76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ht="29.59398496240601" customHeight="1" spans="1:52" x14ac:dyDescent="0.25">
      <c r="A34" s="19" t="s">
        <v>223</v>
      </c>
      <c r="B34" s="20" t="s">
        <v>57</v>
      </c>
      <c r="C34" s="21"/>
      <c r="D34" s="22"/>
      <c r="E34" s="21" t="s">
        <v>230</v>
      </c>
      <c r="F34" s="29" t="s">
        <v>231</v>
      </c>
      <c r="G34" s="20" t="str">
        <f>SUBSTITUTE(SUBSTITUTE(SUBSTITUTE(O34,"/@","_"),"/cac:","_"),"/cbc:","_")</f>
        <v>Invoice_AccountingSupplierParty_Party</v>
      </c>
      <c r="H34" s="19" t="s">
        <v>232</v>
      </c>
      <c r="I34" s="19"/>
      <c r="J34" s="19" t="s">
        <v>233</v>
      </c>
      <c r="K34" s="20"/>
      <c r="L34" s="25" t="s">
        <v>220</v>
      </c>
      <c r="M34" s="27" t="s">
        <v>64</v>
      </c>
      <c r="N34" s="26" t="str">
        <f>IF(O34="","",LEN(O34)-LEN(SUBSTITUTE(O34,"/",""))+IF(ISNUMBER(SEARCH("@",O34)),0,1))</f>
        <v>3</v>
      </c>
      <c r="O34" s="26" t="s">
        <v>234</v>
      </c>
      <c r="P34" s="20"/>
      <c r="Q34" s="20"/>
      <c r="R34" s="20"/>
      <c r="S34" s="27"/>
      <c r="T34" s="20"/>
      <c r="U34" s="25" t="s">
        <v>67</v>
      </c>
      <c r="V34" s="27" t="s">
        <v>222</v>
      </c>
      <c r="W34" s="20" t="str">
        <f>IF(ISBLANK(O34),"是","否")</f>
        <v>否</v>
      </c>
      <c r="X34" s="20"/>
      <c r="Y34" s="25"/>
      <c r="Z34" s="25"/>
      <c r="AC34" s="20" t="s">
        <v>76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ht="29.59398496240601" customHeight="1" spans="1:52" x14ac:dyDescent="0.25">
      <c r="A35" s="19" t="s">
        <v>230</v>
      </c>
      <c r="B35" s="20" t="s">
        <v>57</v>
      </c>
      <c r="C35" s="21"/>
      <c r="D35" s="22"/>
      <c r="E35" s="21" t="s">
        <v>235</v>
      </c>
      <c r="F35" s="29" t="s">
        <v>236</v>
      </c>
      <c r="G35" s="20" t="str">
        <f>SUBSTITUTE(SUBSTITUTE(SUBSTITUTE(O35,"/@","_"),"/cac:","_"),"/cbc:","_")</f>
        <v>Invoice_AccountingSupplierParty_Party_EndpointID</v>
      </c>
      <c r="H35" s="19" t="s">
        <v>237</v>
      </c>
      <c r="I35" s="19"/>
      <c r="J35" s="19" t="s">
        <v>238</v>
      </c>
      <c r="K35" s="20"/>
      <c r="L35" s="25" t="s">
        <v>228</v>
      </c>
      <c r="M35" s="27" t="s">
        <v>64</v>
      </c>
      <c r="N35" s="26" t="str">
        <f>IF(O35="","",LEN(O35)-LEN(SUBSTITUTE(O35,"/",""))+IF(ISNUMBER(SEARCH("@",O35)),0,1))</f>
        <v>4</v>
      </c>
      <c r="O35" s="26" t="s">
        <v>239</v>
      </c>
      <c r="P35" s="20"/>
      <c r="Q35" s="20"/>
      <c r="R35" s="20"/>
      <c r="S35" s="27" t="s">
        <v>240</v>
      </c>
      <c r="T35" s="20"/>
      <c r="U35" s="25" t="s">
        <v>67</v>
      </c>
      <c r="V35" s="27" t="s">
        <v>68</v>
      </c>
      <c r="W35" s="20" t="str">
        <f>IF(ISBLANK(O35),"是","否")</f>
        <v>否</v>
      </c>
      <c r="X35" s="20"/>
      <c r="Y35" s="25"/>
      <c r="Z35" s="25"/>
      <c r="AC35" s="20" t="s">
        <v>76</v>
      </c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ht="29.59398496240601" customHeight="1" spans="1:52" x14ac:dyDescent="0.25">
      <c r="A36" s="19" t="s">
        <v>230</v>
      </c>
      <c r="B36" s="20" t="s">
        <v>57</v>
      </c>
      <c r="C36" s="21"/>
      <c r="D36" s="22"/>
      <c r="E36" s="21" t="s">
        <v>241</v>
      </c>
      <c r="F36" s="29" t="s">
        <v>242</v>
      </c>
      <c r="G36" s="20" t="str">
        <f>SUBSTITUTE(SUBSTITUTE(SUBSTITUTE(O36,"/@","_"),"/cac:","_"),"/cbc:","_")</f>
        <v>Invoice_AccountingSupplierParty_Party_EndpointID_schemeID</v>
      </c>
      <c r="H36" s="19" t="s">
        <v>237</v>
      </c>
      <c r="I36" s="19"/>
      <c r="J36" s="19" t="s">
        <v>238</v>
      </c>
      <c r="K36" s="20"/>
      <c r="L36" s="25" t="s">
        <v>243</v>
      </c>
      <c r="M36" s="27" t="s">
        <v>64</v>
      </c>
      <c r="N36" s="26" t="str">
        <f>IF(O36="","",LEN(O36)-LEN(SUBSTITUTE(O36,"/",""))+IF(ISNUMBER(SEARCH("@",O36)),0,1))</f>
        <v>4</v>
      </c>
      <c r="O36" s="26" t="s">
        <v>244</v>
      </c>
      <c r="P36" s="20"/>
      <c r="Q36" s="20"/>
      <c r="R36" s="20"/>
      <c r="S36" s="27" t="s">
        <v>240</v>
      </c>
      <c r="T36" s="20"/>
      <c r="U36" s="25" t="s">
        <v>67</v>
      </c>
      <c r="V36" s="27" t="s">
        <v>68</v>
      </c>
      <c r="W36" s="20" t="str">
        <f>IF(ISBLANK(O36),"是","否")</f>
        <v>否</v>
      </c>
      <c r="X36" s="20"/>
      <c r="Y36" s="25"/>
      <c r="Z36" s="25"/>
      <c r="AC36" s="20" t="s">
        <v>76</v>
      </c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ht="29.59398496240601" customHeight="1" spans="1:52" x14ac:dyDescent="0.25">
      <c r="A37" s="19" t="s">
        <v>230</v>
      </c>
      <c r="B37" s="20" t="s">
        <v>57</v>
      </c>
      <c r="C37" s="21"/>
      <c r="D37" s="22"/>
      <c r="E37" s="21" t="s">
        <v>245</v>
      </c>
      <c r="F37" s="29" t="s">
        <v>246</v>
      </c>
      <c r="G37" s="20" t="str">
        <f>SUBSTITUTE(SUBSTITUTE(SUBSTITUTE(O37,"/@","_"),"/cac:","_"),"/cbc:","_")</f>
        <v>Invoice_AccountingSupplierParty_Party_IndustryClassificationCode</v>
      </c>
      <c r="H37" s="19" t="s">
        <v>247</v>
      </c>
      <c r="I37" s="19"/>
      <c r="J37" s="19" t="s">
        <v>248</v>
      </c>
      <c r="K37" s="20"/>
      <c r="L37" s="25" t="s">
        <v>243</v>
      </c>
      <c r="M37" s="27" t="s">
        <v>64</v>
      </c>
      <c r="N37" s="26" t="str">
        <f>IF(O37="","",LEN(O37)-LEN(SUBSTITUTE(O37,"/",""))+IF(ISNUMBER(SEARCH("@",O37)),0,1))</f>
        <v>4</v>
      </c>
      <c r="O37" s="26" t="s">
        <v>249</v>
      </c>
      <c r="P37" s="20"/>
      <c r="Q37" s="20"/>
      <c r="R37" s="20"/>
      <c r="S37" s="27" t="s">
        <v>250</v>
      </c>
      <c r="T37" s="20"/>
      <c r="U37" s="25" t="s">
        <v>67</v>
      </c>
      <c r="V37" s="27" t="s">
        <v>68</v>
      </c>
      <c r="W37" s="20" t="str">
        <f>IF(ISBLANK(O37),"是","否")</f>
        <v>否</v>
      </c>
      <c r="X37" s="20"/>
      <c r="Y37" s="25"/>
      <c r="Z37" s="25"/>
      <c r="AC37" s="20" t="s">
        <v>76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ht="39.879699248120296" customHeight="1" spans="1:52" x14ac:dyDescent="0.25">
      <c r="A38" s="19" t="s">
        <v>230</v>
      </c>
      <c r="B38" s="20" t="s">
        <v>57</v>
      </c>
      <c r="C38" s="21"/>
      <c r="D38" s="22"/>
      <c r="E38" s="21" t="s">
        <v>251</v>
      </c>
      <c r="F38" s="29" t="s">
        <v>252</v>
      </c>
      <c r="G38" s="20" t="str">
        <f>SUBSTITUTE(SUBSTITUTE(SUBSTITUTE(O38,"/@","_"),"/cac:","_"),"/cbc:","_")</f>
        <v>Invoice_AccountingSupplierParty_Party_IndustryClassificationCode_name</v>
      </c>
      <c r="H38" s="19" t="s">
        <v>253</v>
      </c>
      <c r="I38" s="19"/>
      <c r="J38" s="19" t="s">
        <v>248</v>
      </c>
      <c r="K38" s="20"/>
      <c r="L38" s="25" t="s">
        <v>228</v>
      </c>
      <c r="M38" s="27" t="s">
        <v>64</v>
      </c>
      <c r="N38" s="26" t="str">
        <f>IF(O38="","",LEN(O38)-LEN(SUBSTITUTE(O38,"/",""))+IF(ISNUMBER(SEARCH("@",O38)),0,1))</f>
        <v>4</v>
      </c>
      <c r="O38" s="26" t="s">
        <v>254</v>
      </c>
      <c r="P38" s="20"/>
      <c r="Q38" s="20"/>
      <c r="R38" s="20"/>
      <c r="S38" s="27" t="s">
        <v>250</v>
      </c>
      <c r="T38" s="20"/>
      <c r="U38" s="25" t="s">
        <v>67</v>
      </c>
      <c r="V38" s="27" t="s">
        <v>68</v>
      </c>
      <c r="W38" s="20" t="str">
        <f>IF(ISBLANK(O38),"是","否")</f>
        <v>否</v>
      </c>
      <c r="X38" s="20"/>
      <c r="Y38" s="25"/>
      <c r="Z38" s="25"/>
      <c r="AC38" s="20" t="s">
        <v>76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ht="29.59398496240601" customHeight="1" spans="1:52" x14ac:dyDescent="0.25">
      <c r="A39" s="19" t="s">
        <v>230</v>
      </c>
      <c r="B39" s="20" t="s">
        <v>57</v>
      </c>
      <c r="C39" s="21"/>
      <c r="D39" s="22"/>
      <c r="E39" s="21" t="s">
        <v>255</v>
      </c>
      <c r="F39" s="29" t="s">
        <v>256</v>
      </c>
      <c r="G39" s="20" t="str">
        <f>SUBSTITUTE(SUBSTITUTE(SUBSTITUTE(O39,"/@","_"),"/cac:","_"),"/cbc:","_")</f>
        <v>Invoice_AccountingSupplierParty_Party_PartyIdentification</v>
      </c>
      <c r="H39" s="27"/>
      <c r="I39" s="19"/>
      <c r="J39" s="19" t="s">
        <v>257</v>
      </c>
      <c r="K39" s="20"/>
      <c r="L39" s="25" t="s">
        <v>258</v>
      </c>
      <c r="M39" s="30" t="s">
        <v>49</v>
      </c>
      <c r="N39" s="26" t="str">
        <f>IF(O39="","",LEN(O39)-LEN(SUBSTITUTE(O39,"/",""))+IF(ISNUMBER(SEARCH("@",O39)),0,1))</f>
        <v>4</v>
      </c>
      <c r="O39" s="26" t="s">
        <v>259</v>
      </c>
      <c r="P39" s="20"/>
      <c r="Q39" s="20"/>
      <c r="R39" s="20"/>
      <c r="S39" s="27"/>
      <c r="T39" s="20"/>
      <c r="U39" s="25" t="s">
        <v>67</v>
      </c>
      <c r="V39" s="27" t="s">
        <v>222</v>
      </c>
      <c r="W39" s="20" t="str">
        <f>IF(ISBLANK(O39),"是","否")</f>
        <v>否</v>
      </c>
      <c r="X39" s="20"/>
      <c r="Y39" s="25"/>
      <c r="Z39" s="25"/>
      <c r="AC39" s="20" t="s">
        <v>76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ht="29.59398496240601" customHeight="1" spans="1:52" x14ac:dyDescent="0.25">
      <c r="A40" s="19" t="s">
        <v>255</v>
      </c>
      <c r="B40" s="20" t="s">
        <v>57</v>
      </c>
      <c r="C40" s="21"/>
      <c r="D40" s="22"/>
      <c r="E40" s="21" t="s">
        <v>260</v>
      </c>
      <c r="F40" s="29" t="s">
        <v>261</v>
      </c>
      <c r="G40" s="20" t="str">
        <f>SUBSTITUTE(SUBSTITUTE(SUBSTITUTE(O40,"/@","_"),"/cac:","_"),"/cbc:","_")</f>
        <v>Invoice_AccountingSupplierParty_Party_PartyIdentification_ID</v>
      </c>
      <c r="H40" s="19" t="s">
        <v>262</v>
      </c>
      <c r="I40" s="19"/>
      <c r="J40" s="19" t="s">
        <v>263</v>
      </c>
      <c r="K40" s="20"/>
      <c r="L40" s="25" t="s">
        <v>228</v>
      </c>
      <c r="M40" s="30" t="s">
        <v>165</v>
      </c>
      <c r="N40" s="26" t="str">
        <f>IF(O40="","",LEN(O40)-LEN(SUBSTITUTE(O40,"/",""))+IF(ISNUMBER(SEARCH("@",O40)),0,1))</f>
        <v>5</v>
      </c>
      <c r="O40" s="26" t="s">
        <v>264</v>
      </c>
      <c r="P40" s="20"/>
      <c r="Q40" s="20"/>
      <c r="R40" s="20"/>
      <c r="S40" s="27"/>
      <c r="T40" s="20"/>
      <c r="U40" s="25" t="s">
        <v>67</v>
      </c>
      <c r="V40" s="27" t="s">
        <v>68</v>
      </c>
      <c r="W40" s="20" t="str">
        <f>IF(ISBLANK(O40),"是","否")</f>
        <v>否</v>
      </c>
      <c r="X40" s="20"/>
      <c r="Y40" s="25"/>
      <c r="Z40" s="25"/>
      <c r="AC40" s="20" t="s">
        <v>76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ht="39.879699248120296" customHeight="1" spans="1:52" x14ac:dyDescent="0.25">
      <c r="A41" s="19" t="s">
        <v>255</v>
      </c>
      <c r="B41" s="20" t="s">
        <v>57</v>
      </c>
      <c r="C41" s="21"/>
      <c r="D41" s="22"/>
      <c r="E41" s="21" t="s">
        <v>265</v>
      </c>
      <c r="F41" s="29" t="s">
        <v>266</v>
      </c>
      <c r="G41" s="20" t="str">
        <f>SUBSTITUTE(SUBSTITUTE(SUBSTITUTE(O41,"/@","_"),"/cac:","_"),"/cbc:","_")</f>
        <v>Invoice_AccountingSupplierParty_Party_PartyIdentification_ID_schemeID</v>
      </c>
      <c r="H41" s="19" t="s">
        <v>267</v>
      </c>
      <c r="I41" s="19"/>
      <c r="J41" s="19" t="s">
        <v>263</v>
      </c>
      <c r="K41" s="20"/>
      <c r="L41" s="25" t="s">
        <v>243</v>
      </c>
      <c r="M41" s="30" t="s">
        <v>165</v>
      </c>
      <c r="N41" s="26" t="str">
        <f>IF(O41="","",LEN(O41)-LEN(SUBSTITUTE(O41,"/",""))+IF(ISNUMBER(SEARCH("@",O41)),0,1))</f>
        <v>5</v>
      </c>
      <c r="O41" s="26" t="s">
        <v>268</v>
      </c>
      <c r="P41" s="20"/>
      <c r="Q41" s="20"/>
      <c r="R41" s="20"/>
      <c r="S41" s="20"/>
      <c r="T41" s="20"/>
      <c r="U41" s="25" t="s">
        <v>67</v>
      </c>
      <c r="V41" s="20" t="s">
        <v>68</v>
      </c>
      <c r="W41" s="20" t="str">
        <f>IF(ISBLANK(O41),"是","否")</f>
        <v>否</v>
      </c>
      <c r="X41" s="20"/>
      <c r="Y41" s="25"/>
      <c r="Z41" s="25"/>
      <c r="AC41" s="20" t="s">
        <v>76</v>
      </c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ht="29.59398496240601" customHeight="1" spans="1:52" x14ac:dyDescent="0.25">
      <c r="A42" s="19" t="s">
        <v>230</v>
      </c>
      <c r="B42" s="20" t="s">
        <v>57</v>
      </c>
      <c r="C42" s="21"/>
      <c r="D42" s="22"/>
      <c r="E42" s="21" t="s">
        <v>188</v>
      </c>
      <c r="F42" s="29" t="s">
        <v>269</v>
      </c>
      <c r="G42" s="20" t="str">
        <f>SUBSTITUTE(SUBSTITUTE(SUBSTITUTE(O42,"/@","_"),"/cac:","_"),"/cbc:","_")</f>
        <v>Invoice_AccountingSupplierParty_Party_PartyName</v>
      </c>
      <c r="H42" s="19" t="s">
        <v>270</v>
      </c>
      <c r="I42" s="19"/>
      <c r="J42" s="19" t="s">
        <v>271</v>
      </c>
      <c r="K42" s="20"/>
      <c r="L42" s="25" t="s">
        <v>220</v>
      </c>
      <c r="M42" s="30" t="s">
        <v>49</v>
      </c>
      <c r="N42" s="26" t="str">
        <f>IF(O42="","",LEN(O42)-LEN(SUBSTITUTE(O42,"/",""))+IF(ISNUMBER(SEARCH("@",O42)),0,1))</f>
        <v>4</v>
      </c>
      <c r="O42" s="26" t="s">
        <v>272</v>
      </c>
      <c r="P42" s="20"/>
      <c r="Q42" s="20"/>
      <c r="R42" s="20"/>
      <c r="S42" s="20"/>
      <c r="T42" s="20"/>
      <c r="U42" s="25" t="s">
        <v>67</v>
      </c>
      <c r="V42" s="20" t="s">
        <v>222</v>
      </c>
      <c r="W42" s="20" t="str">
        <f>IF(ISBLANK(O42),"是","否")</f>
        <v>否</v>
      </c>
      <c r="X42" s="20"/>
      <c r="Y42" s="25"/>
      <c r="Z42" s="25"/>
      <c r="AC42" s="20" t="s">
        <v>76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  <row r="43" ht="29.59398496240601" customHeight="1" spans="1:52" x14ac:dyDescent="0.25">
      <c r="A43" s="19" t="s">
        <v>188</v>
      </c>
      <c r="B43" s="20" t="s">
        <v>57</v>
      </c>
      <c r="C43" s="21"/>
      <c r="D43" s="22"/>
      <c r="E43" s="21" t="s">
        <v>273</v>
      </c>
      <c r="F43" s="29" t="s">
        <v>274</v>
      </c>
      <c r="G43" s="20" t="str">
        <f>SUBSTITUTE(SUBSTITUTE(SUBSTITUTE(O43,"/@","_"),"/cac:","_"),"/cbc:","_")</f>
        <v>Invoice_AccountingSupplierParty_Party_PartyName_Name</v>
      </c>
      <c r="H43" s="19" t="s">
        <v>275</v>
      </c>
      <c r="I43" s="19"/>
      <c r="J43" s="19" t="s">
        <v>191</v>
      </c>
      <c r="K43" s="20"/>
      <c r="L43" s="25" t="s">
        <v>228</v>
      </c>
      <c r="M43" s="30" t="s">
        <v>165</v>
      </c>
      <c r="N43" s="26" t="str">
        <f>IF(O43="","",LEN(O43)-LEN(SUBSTITUTE(O43,"/",""))+IF(ISNUMBER(SEARCH("@",O43)),0,1))</f>
        <v>5</v>
      </c>
      <c r="O43" s="26" t="s">
        <v>276</v>
      </c>
      <c r="P43" s="20"/>
      <c r="Q43" s="20"/>
      <c r="R43" s="20"/>
      <c r="S43" s="20" t="s">
        <v>194</v>
      </c>
      <c r="T43" s="20"/>
      <c r="U43" s="25" t="s">
        <v>67</v>
      </c>
      <c r="V43" s="20" t="s">
        <v>68</v>
      </c>
      <c r="W43" s="20" t="str">
        <f>IF(ISBLANK(O43),"是","否")</f>
        <v>否</v>
      </c>
      <c r="X43" s="20"/>
      <c r="Y43" s="25"/>
      <c r="Z43" s="25"/>
      <c r="AC43" s="20" t="s">
        <v>76</v>
      </c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</row>
    <row r="44" ht="29.59398496240601" customHeight="1" spans="1:52" x14ac:dyDescent="0.25">
      <c r="A44" s="19" t="s">
        <v>230</v>
      </c>
      <c r="B44" s="20" t="s">
        <v>57</v>
      </c>
      <c r="C44" s="21"/>
      <c r="D44" s="22"/>
      <c r="E44" s="21" t="s">
        <v>277</v>
      </c>
      <c r="F44" s="29" t="s">
        <v>278</v>
      </c>
      <c r="G44" s="20" t="str">
        <f>SUBSTITUTE(SUBSTITUTE(SUBSTITUTE(O44,"/@","_"),"/cac:","_"),"/cbc:","_")</f>
        <v>Invoice_AccountingSupplierParty_Party_PostalAddress</v>
      </c>
      <c r="H44" s="19" t="s">
        <v>279</v>
      </c>
      <c r="I44" s="19"/>
      <c r="J44" s="19" t="s">
        <v>280</v>
      </c>
      <c r="K44" s="20"/>
      <c r="L44" s="25" t="s">
        <v>220</v>
      </c>
      <c r="M44" s="27" t="s">
        <v>64</v>
      </c>
      <c r="N44" s="26" t="str">
        <f>IF(O44="","",LEN(O44)-LEN(SUBSTITUTE(O44,"/",""))+IF(ISNUMBER(SEARCH("@",O44)),0,1))</f>
        <v>4</v>
      </c>
      <c r="O44" s="26" t="s">
        <v>281</v>
      </c>
      <c r="P44" s="20"/>
      <c r="Q44" s="20"/>
      <c r="R44" s="20"/>
      <c r="S44" s="20"/>
      <c r="T44" s="20"/>
      <c r="U44" s="25" t="s">
        <v>67</v>
      </c>
      <c r="V44" s="20" t="s">
        <v>222</v>
      </c>
      <c r="W44" s="20" t="str">
        <f>IF(ISBLANK(O44),"是","否")</f>
        <v>否</v>
      </c>
      <c r="X44" s="20"/>
      <c r="Y44" s="25"/>
      <c r="Z44" s="25"/>
      <c r="AC44" s="20" t="s">
        <v>76</v>
      </c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</row>
    <row r="45" ht="29.59398496240601" customHeight="1" spans="1:52" x14ac:dyDescent="0.25">
      <c r="A45" s="19" t="s">
        <v>282</v>
      </c>
      <c r="B45" s="20" t="s">
        <v>57</v>
      </c>
      <c r="C45" s="21"/>
      <c r="D45" s="22"/>
      <c r="E45" s="21" t="s">
        <v>283</v>
      </c>
      <c r="F45" s="29" t="s">
        <v>284</v>
      </c>
      <c r="G45" s="20" t="str">
        <f>SUBSTITUTE(SUBSTITUTE(SUBSTITUTE(O45,"/@","_"),"/cac:","_"),"/cbc:","_")</f>
        <v>Invoice_AccountingSupplierParty_Party_PostalAddress_StreetName</v>
      </c>
      <c r="H45" s="19" t="s">
        <v>285</v>
      </c>
      <c r="I45" s="19" t="s">
        <v>286</v>
      </c>
      <c r="J45" s="19" t="s">
        <v>287</v>
      </c>
      <c r="K45" s="20"/>
      <c r="L45" s="25" t="s">
        <v>228</v>
      </c>
      <c r="M45" s="27" t="s">
        <v>64</v>
      </c>
      <c r="N45" s="26" t="str">
        <f>IF(O45="","",LEN(O45)-LEN(SUBSTITUTE(O45,"/",""))+IF(ISNUMBER(SEARCH("@",O45)),0,1))</f>
        <v>5</v>
      </c>
      <c r="O45" s="26" t="s">
        <v>288</v>
      </c>
      <c r="P45" s="20"/>
      <c r="Q45" s="20"/>
      <c r="R45" s="20"/>
      <c r="S45" s="20" t="s">
        <v>289</v>
      </c>
      <c r="T45" s="20"/>
      <c r="U45" s="25" t="s">
        <v>67</v>
      </c>
      <c r="V45" s="20" t="s">
        <v>68</v>
      </c>
      <c r="W45" s="20" t="str">
        <f>IF(ISBLANK(O45),"是","否")</f>
        <v>否</v>
      </c>
      <c r="X45" s="20"/>
      <c r="Y45" s="25"/>
      <c r="Z45" s="25"/>
      <c r="AC45" s="20" t="s">
        <v>76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</row>
    <row r="46" ht="29.59398496240601" customHeight="1" spans="1:52" x14ac:dyDescent="0.25">
      <c r="A46" s="19" t="s">
        <v>282</v>
      </c>
      <c r="B46" s="20" t="s">
        <v>57</v>
      </c>
      <c r="C46" s="21"/>
      <c r="D46" s="22"/>
      <c r="E46" s="21" t="s">
        <v>290</v>
      </c>
      <c r="F46" s="29" t="s">
        <v>291</v>
      </c>
      <c r="G46" s="20" t="str">
        <f>SUBSTITUTE(SUBSTITUTE(SUBSTITUTE(O46,"/@","_"),"/cac:","_"),"/cbc:","_")</f>
        <v>Invoice_AccountingSupplierParty_Party_PostalAddress_CityName</v>
      </c>
      <c r="H46" s="19" t="s">
        <v>292</v>
      </c>
      <c r="I46" s="19" t="s">
        <v>293</v>
      </c>
      <c r="J46" s="19" t="s">
        <v>294</v>
      </c>
      <c r="K46" s="20"/>
      <c r="L46" s="25" t="s">
        <v>228</v>
      </c>
      <c r="M46" s="27" t="s">
        <v>64</v>
      </c>
      <c r="N46" s="26" t="str">
        <f>IF(O46="","",LEN(O46)-LEN(SUBSTITUTE(O46,"/",""))+IF(ISNUMBER(SEARCH("@",O46)),0,1))</f>
        <v>5</v>
      </c>
      <c r="O46" s="26" t="s">
        <v>295</v>
      </c>
      <c r="P46" s="20"/>
      <c r="Q46" s="20"/>
      <c r="R46" s="20"/>
      <c r="S46" s="20" t="s">
        <v>296</v>
      </c>
      <c r="T46" s="20"/>
      <c r="U46" s="25" t="s">
        <v>67</v>
      </c>
      <c r="V46" s="20" t="s">
        <v>68</v>
      </c>
      <c r="W46" s="20" t="str">
        <f>IF(ISBLANK(O46),"是","否")</f>
        <v>否</v>
      </c>
      <c r="X46" s="20"/>
      <c r="Y46" s="25"/>
      <c r="Z46" s="25"/>
      <c r="AC46" s="20" t="s">
        <v>76</v>
      </c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</row>
    <row r="47" ht="39.879699248120296" customHeight="1" spans="1:52" x14ac:dyDescent="0.25">
      <c r="A47" s="19" t="s">
        <v>282</v>
      </c>
      <c r="B47" s="20" t="s">
        <v>57</v>
      </c>
      <c r="C47" s="21"/>
      <c r="D47" s="22"/>
      <c r="E47" s="21" t="s">
        <v>297</v>
      </c>
      <c r="F47" s="29" t="s">
        <v>298</v>
      </c>
      <c r="G47" s="20" t="str">
        <f>SUBSTITUTE(SUBSTITUTE(SUBSTITUTE(O47,"/@","_"),"/cac:","_"),"/cbc:","_")</f>
        <v>Invoice_AccountingSupplierParty_Party_PostalAddress_CountrySubentity</v>
      </c>
      <c r="H47" s="19" t="s">
        <v>299</v>
      </c>
      <c r="I47" s="19" t="s">
        <v>300</v>
      </c>
      <c r="J47" s="19" t="s">
        <v>301</v>
      </c>
      <c r="K47" s="20"/>
      <c r="L47" s="25" t="s">
        <v>243</v>
      </c>
      <c r="M47" s="27" t="s">
        <v>64</v>
      </c>
      <c r="N47" s="26" t="str">
        <f>IF(O47="","",LEN(O47)-LEN(SUBSTITUTE(O47,"/",""))+IF(ISNUMBER(SEARCH("@",O47)),0,1))</f>
        <v>5</v>
      </c>
      <c r="O47" s="26" t="s">
        <v>302</v>
      </c>
      <c r="P47" s="20"/>
      <c r="Q47" s="20"/>
      <c r="R47" s="20"/>
      <c r="S47" s="20" t="s">
        <v>303</v>
      </c>
      <c r="T47" s="20"/>
      <c r="U47" s="25" t="s">
        <v>67</v>
      </c>
      <c r="V47" s="20" t="s">
        <v>68</v>
      </c>
      <c r="W47" s="20" t="str">
        <f>IF(ISBLANK(O47),"是","否")</f>
        <v>否</v>
      </c>
      <c r="X47" s="20"/>
      <c r="Y47" s="25"/>
      <c r="Z47" s="25"/>
      <c r="AC47" s="20" t="s">
        <v>76</v>
      </c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</row>
    <row r="48" ht="39.879699248120296" customHeight="1" spans="1:52" x14ac:dyDescent="0.25">
      <c r="A48" s="19" t="s">
        <v>282</v>
      </c>
      <c r="B48" s="20" t="s">
        <v>57</v>
      </c>
      <c r="C48" s="21"/>
      <c r="D48" s="22"/>
      <c r="E48" s="21" t="s">
        <v>304</v>
      </c>
      <c r="F48" s="29" t="s">
        <v>305</v>
      </c>
      <c r="G48" s="20" t="str">
        <f>SUBSTITUTE(SUBSTITUTE(SUBSTITUTE(O48,"/@","_"),"/cac:","_"),"/cbc:","_")</f>
        <v>Invoice_AccountingSupplierParty_Party_PostalAddress_CountrySubentityCode</v>
      </c>
      <c r="H48" s="19" t="s">
        <v>299</v>
      </c>
      <c r="I48" s="19" t="s">
        <v>306</v>
      </c>
      <c r="J48" s="19" t="s">
        <v>307</v>
      </c>
      <c r="K48" s="20"/>
      <c r="L48" s="25" t="s">
        <v>243</v>
      </c>
      <c r="M48" s="27" t="s">
        <v>64</v>
      </c>
      <c r="N48" s="26" t="str">
        <f>IF(O48="","",LEN(O48)-LEN(SUBSTITUTE(O48,"/",""))+IF(ISNUMBER(SEARCH("@",O48)),0,1))</f>
        <v>5</v>
      </c>
      <c r="O48" s="26" t="s">
        <v>308</v>
      </c>
      <c r="P48" s="20"/>
      <c r="Q48" s="20"/>
      <c r="R48" s="20"/>
      <c r="S48" s="20"/>
      <c r="T48" s="20"/>
      <c r="U48" s="25" t="s">
        <v>67</v>
      </c>
      <c r="V48" s="20" t="s">
        <v>68</v>
      </c>
      <c r="W48" s="20" t="str">
        <f>IF(ISBLANK(O48),"是","否")</f>
        <v>否</v>
      </c>
      <c r="X48" s="20"/>
      <c r="Y48" s="25"/>
      <c r="Z48" s="25"/>
      <c r="AC48" s="20" t="s">
        <v>76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</row>
    <row r="49" ht="39.879699248120296" customHeight="1" spans="1:52" x14ac:dyDescent="0.25">
      <c r="A49" s="19" t="s">
        <v>282</v>
      </c>
      <c r="B49" s="20" t="s">
        <v>57</v>
      </c>
      <c r="C49" s="21"/>
      <c r="D49" s="22"/>
      <c r="E49" s="21" t="s">
        <v>309</v>
      </c>
      <c r="F49" s="29" t="s">
        <v>310</v>
      </c>
      <c r="G49" s="20" t="str">
        <f>SUBSTITUTE(SUBSTITUTE(SUBSTITUTE(O49,"/@","_"),"/cac:","_"),"/cbc:","_")</f>
        <v>Invoice_AccountingSupplierParty_Party_PostalAddress_PostalZone</v>
      </c>
      <c r="H49" s="19" t="s">
        <v>311</v>
      </c>
      <c r="I49" s="19" t="s">
        <v>312</v>
      </c>
      <c r="J49" s="19" t="s">
        <v>313</v>
      </c>
      <c r="K49" s="20"/>
      <c r="L49" s="25" t="s">
        <v>228</v>
      </c>
      <c r="M49" s="27" t="s">
        <v>64</v>
      </c>
      <c r="N49" s="26" t="str">
        <f>IF(O49="","",LEN(O49)-LEN(SUBSTITUTE(O49,"/",""))+IF(ISNUMBER(SEARCH("@",O49)),0,1))</f>
        <v>5</v>
      </c>
      <c r="O49" s="26" t="s">
        <v>314</v>
      </c>
      <c r="P49" s="20"/>
      <c r="Q49" s="20"/>
      <c r="R49" s="20"/>
      <c r="S49" s="20" t="s">
        <v>315</v>
      </c>
      <c r="T49" s="20"/>
      <c r="U49" s="25" t="s">
        <v>67</v>
      </c>
      <c r="V49" s="20" t="s">
        <v>68</v>
      </c>
      <c r="W49" s="20" t="str">
        <f>IF(ISBLANK(O49),"是","否")</f>
        <v>否</v>
      </c>
      <c r="X49" s="20"/>
      <c r="Y49" s="25"/>
      <c r="Z49" s="25"/>
      <c r="AC49" s="20" t="s">
        <v>76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</row>
    <row r="50" ht="29.59398496240601" customHeight="1" spans="1:52" x14ac:dyDescent="0.25">
      <c r="A50" s="19" t="s">
        <v>282</v>
      </c>
      <c r="B50" s="20" t="s">
        <v>57</v>
      </c>
      <c r="C50" s="21"/>
      <c r="D50" s="22"/>
      <c r="E50" s="21" t="s">
        <v>316</v>
      </c>
      <c r="F50" s="29" t="s">
        <v>317</v>
      </c>
      <c r="G50" s="20" t="str">
        <f>SUBSTITUTE(SUBSTITUTE(SUBSTITUTE(O50,"/@","_"),"/cac:","_"),"/cbc:","_")</f>
        <v>Invoice_AccountingSupplierParty_Party_PostalAddress_AddressLine</v>
      </c>
      <c r="H50" s="19" t="s">
        <v>318</v>
      </c>
      <c r="I50" s="19"/>
      <c r="J50" s="19" t="s">
        <v>319</v>
      </c>
      <c r="K50" s="20"/>
      <c r="L50" s="25" t="s">
        <v>220</v>
      </c>
      <c r="M50" s="27" t="s">
        <v>49</v>
      </c>
      <c r="N50" s="26" t="str">
        <f>IF(O50="","",LEN(O50)-LEN(SUBSTITUTE(O50,"/",""))+IF(ISNUMBER(SEARCH("@",O50)),0,1))</f>
        <v>5</v>
      </c>
      <c r="O50" s="26" t="s">
        <v>320</v>
      </c>
      <c r="P50" s="20"/>
      <c r="Q50" s="20"/>
      <c r="R50" s="20"/>
      <c r="S50" s="20"/>
      <c r="T50" s="20"/>
      <c r="U50" s="25" t="s">
        <v>67</v>
      </c>
      <c r="V50" s="20" t="s">
        <v>222</v>
      </c>
      <c r="W50" s="20" t="str">
        <f>IF(ISBLANK(O50),"是","否")</f>
        <v>否</v>
      </c>
      <c r="X50" s="20"/>
      <c r="Y50" s="25"/>
      <c r="Z50" s="25"/>
      <c r="AC50" s="20" t="s">
        <v>76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</row>
    <row r="51" ht="39.879699248120296" customHeight="1" spans="1:52" x14ac:dyDescent="0.25">
      <c r="A51" s="19" t="s">
        <v>316</v>
      </c>
      <c r="B51" s="20" t="s">
        <v>57</v>
      </c>
      <c r="C51" s="21"/>
      <c r="D51" s="22"/>
      <c r="E51" s="21" t="s">
        <v>321</v>
      </c>
      <c r="F51" s="29" t="s">
        <v>322</v>
      </c>
      <c r="G51" s="20" t="str">
        <f>SUBSTITUTE(SUBSTITUTE(SUBSTITUTE(O51,"/@","_"),"/cac:","_"),"/cbc:","_")</f>
        <v>Invoice_AccountingSupplierParty_Party_PostalAddress_AddressLine_Line</v>
      </c>
      <c r="H51" s="19" t="s">
        <v>323</v>
      </c>
      <c r="I51" s="19"/>
      <c r="J51" s="19" t="s">
        <v>324</v>
      </c>
      <c r="K51" s="20"/>
      <c r="L51" s="25" t="s">
        <v>325</v>
      </c>
      <c r="M51" s="27" t="s">
        <v>165</v>
      </c>
      <c r="N51" s="26" t="str">
        <f>IF(O51="","",LEN(O51)-LEN(SUBSTITUTE(O51,"/",""))+IF(ISNUMBER(SEARCH("@",O51)),0,1))</f>
        <v>6</v>
      </c>
      <c r="O51" s="26" t="s">
        <v>326</v>
      </c>
      <c r="P51" s="20"/>
      <c r="Q51" s="20"/>
      <c r="R51" s="20"/>
      <c r="S51" s="20" t="s">
        <v>327</v>
      </c>
      <c r="T51" s="20"/>
      <c r="U51" s="25" t="s">
        <v>67</v>
      </c>
      <c r="V51" s="20" t="s">
        <v>68</v>
      </c>
      <c r="W51" s="20" t="str">
        <f>IF(ISBLANK(O51),"是","否")</f>
        <v>否</v>
      </c>
      <c r="X51" s="20"/>
      <c r="Y51" s="25"/>
      <c r="Z51" s="25"/>
      <c r="AC51" s="20" t="s">
        <v>76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</row>
    <row r="52" ht="29.59398496240601" customHeight="1" spans="1:52" x14ac:dyDescent="0.25">
      <c r="A52" s="19" t="s">
        <v>282</v>
      </c>
      <c r="B52" s="20" t="s">
        <v>57</v>
      </c>
      <c r="C52" s="21"/>
      <c r="D52" s="22"/>
      <c r="E52" s="21" t="s">
        <v>328</v>
      </c>
      <c r="F52" s="29" t="s">
        <v>329</v>
      </c>
      <c r="G52" s="20" t="str">
        <f>SUBSTITUTE(SUBSTITUTE(SUBSTITUTE(O52,"/@","_"),"/cac:","_"),"/cbc:","_")</f>
        <v>Invoice_AccountingSupplierParty_Party_PostalAddress_Country</v>
      </c>
      <c r="H52" s="19" t="s">
        <v>330</v>
      </c>
      <c r="I52" s="19"/>
      <c r="J52" s="19" t="s">
        <v>331</v>
      </c>
      <c r="K52" s="20"/>
      <c r="L52" s="25" t="s">
        <v>220</v>
      </c>
      <c r="M52" s="27" t="s">
        <v>64</v>
      </c>
      <c r="N52" s="26" t="str">
        <f>IF(O52="","",LEN(O52)-LEN(SUBSTITUTE(O52,"/",""))+IF(ISNUMBER(SEARCH("@",O52)),0,1))</f>
        <v>5</v>
      </c>
      <c r="O52" s="26" t="s">
        <v>332</v>
      </c>
      <c r="P52" s="20"/>
      <c r="Q52" s="20"/>
      <c r="R52" s="20"/>
      <c r="S52" s="20"/>
      <c r="T52" s="20"/>
      <c r="U52" s="25" t="s">
        <v>67</v>
      </c>
      <c r="V52" s="20" t="s">
        <v>222</v>
      </c>
      <c r="W52" s="20" t="str">
        <f>IF(ISBLANK(O52),"是","否")</f>
        <v>否</v>
      </c>
      <c r="X52" s="20"/>
      <c r="Y52" s="25"/>
      <c r="Z52" s="25"/>
      <c r="AC52" s="20" t="s">
        <v>76</v>
      </c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</row>
    <row r="53" ht="39.879699248120296" customHeight="1" spans="1:52" x14ac:dyDescent="0.25">
      <c r="A53" s="19" t="s">
        <v>328</v>
      </c>
      <c r="B53" s="20" t="s">
        <v>57</v>
      </c>
      <c r="C53" s="21"/>
      <c r="D53" s="22"/>
      <c r="E53" s="21" t="s">
        <v>333</v>
      </c>
      <c r="F53" s="29" t="s">
        <v>334</v>
      </c>
      <c r="G53" s="20" t="str">
        <f>SUBSTITUTE(SUBSTITUTE(SUBSTITUTE(O53,"/@","_"),"/cac:","_"),"/cbc:","_")</f>
        <v>Invoice_AccountingSupplierParty_Party_PostalAddress_Country_IdentificationCode</v>
      </c>
      <c r="H53" s="19" t="s">
        <v>335</v>
      </c>
      <c r="I53" s="19"/>
      <c r="J53" s="19" t="s">
        <v>336</v>
      </c>
      <c r="K53" s="20"/>
      <c r="L53" s="25" t="s">
        <v>243</v>
      </c>
      <c r="M53" s="27" t="s">
        <v>64</v>
      </c>
      <c r="N53" s="26" t="str">
        <f>IF(O53="","",LEN(O53)-LEN(SUBSTITUTE(O53,"/",""))+IF(ISNUMBER(SEARCH("@",O53)),0,1))</f>
        <v>6</v>
      </c>
      <c r="O53" s="26" t="s">
        <v>337</v>
      </c>
      <c r="P53" s="20"/>
      <c r="Q53" s="20"/>
      <c r="R53" s="20"/>
      <c r="S53" s="20"/>
      <c r="T53" s="20"/>
      <c r="U53" s="25" t="s">
        <v>67</v>
      </c>
      <c r="V53" s="20" t="s">
        <v>68</v>
      </c>
      <c r="W53" s="20" t="str">
        <f>IF(ISBLANK(O53),"是","否")</f>
        <v>否</v>
      </c>
      <c r="X53" s="20"/>
      <c r="Y53" s="25"/>
      <c r="Z53" s="25"/>
      <c r="AC53" s="20" t="s">
        <v>76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</row>
    <row r="54" ht="39.879699248120296" customHeight="1" spans="1:52" x14ac:dyDescent="0.25">
      <c r="A54" s="19" t="s">
        <v>328</v>
      </c>
      <c r="B54" s="20" t="s">
        <v>57</v>
      </c>
      <c r="C54" s="21"/>
      <c r="D54" s="22"/>
      <c r="E54" s="21" t="s">
        <v>338</v>
      </c>
      <c r="F54" s="29" t="s">
        <v>339</v>
      </c>
      <c r="G54" s="20" t="str">
        <f>SUBSTITUTE(SUBSTITUTE(SUBSTITUTE(O54,"/@","_"),"/cac:","_"),"/cbc:","_")</f>
        <v>Invoice_AccountingSupplierParty_Party_PostalAddress_Country_Name</v>
      </c>
      <c r="H54" s="19" t="s">
        <v>340</v>
      </c>
      <c r="I54" s="19"/>
      <c r="J54" s="19" t="s">
        <v>341</v>
      </c>
      <c r="K54" s="20"/>
      <c r="L54" s="25" t="s">
        <v>228</v>
      </c>
      <c r="M54" s="27" t="s">
        <v>64</v>
      </c>
      <c r="N54" s="26" t="str">
        <f>IF(O54="","",LEN(O54)-LEN(SUBSTITUTE(O54,"/",""))+IF(ISNUMBER(SEARCH("@",O54)),0,1))</f>
        <v>6</v>
      </c>
      <c r="O54" s="26" t="s">
        <v>342</v>
      </c>
      <c r="P54" s="20"/>
      <c r="Q54" s="20"/>
      <c r="R54" s="20"/>
      <c r="S54" s="20" t="s">
        <v>343</v>
      </c>
      <c r="T54" s="20"/>
      <c r="U54" s="25" t="s">
        <v>67</v>
      </c>
      <c r="V54" s="20" t="s">
        <v>68</v>
      </c>
      <c r="W54" s="20" t="str">
        <f>IF(ISBLANK(O54),"是","否")</f>
        <v>否</v>
      </c>
      <c r="X54" s="20"/>
      <c r="Y54" s="25"/>
      <c r="Z54" s="25"/>
      <c r="AC54" s="20" t="s">
        <v>76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</row>
    <row r="55" ht="29.59398496240601" customHeight="1" spans="1:52" x14ac:dyDescent="0.25">
      <c r="A55" s="19" t="s">
        <v>230</v>
      </c>
      <c r="B55" s="20" t="s">
        <v>57</v>
      </c>
      <c r="C55" s="21"/>
      <c r="D55" s="22"/>
      <c r="E55" s="21" t="s">
        <v>344</v>
      </c>
      <c r="F55" s="29" t="s">
        <v>345</v>
      </c>
      <c r="G55" s="20" t="str">
        <f>SUBSTITUTE(SUBSTITUTE(SUBSTITUTE(O55,"/@","_"),"/cac:","_"),"/cbc:","_")</f>
        <v>Invoice_AccountingSupplierParty_Party_PartyTaxScheme</v>
      </c>
      <c r="H55" s="19" t="s">
        <v>346</v>
      </c>
      <c r="I55" s="19"/>
      <c r="J55" s="19" t="s">
        <v>347</v>
      </c>
      <c r="K55" s="20"/>
      <c r="L55" s="25" t="s">
        <v>220</v>
      </c>
      <c r="M55" s="27" t="s">
        <v>49</v>
      </c>
      <c r="N55" s="26" t="str">
        <f>IF(O55="","",LEN(O55)-LEN(SUBSTITUTE(O55,"/",""))+IF(ISNUMBER(SEARCH("@",O55)),0,1))</f>
        <v>4</v>
      </c>
      <c r="O55" s="26" t="s">
        <v>348</v>
      </c>
      <c r="P55" s="20"/>
      <c r="Q55" s="20"/>
      <c r="R55" s="20"/>
      <c r="S55" s="20"/>
      <c r="T55" s="20"/>
      <c r="U55" s="25" t="s">
        <v>67</v>
      </c>
      <c r="V55" s="20" t="s">
        <v>222</v>
      </c>
      <c r="W55" s="20" t="str">
        <f>IF(ISBLANK(O55),"是","否")</f>
        <v>否</v>
      </c>
      <c r="X55" s="20"/>
      <c r="Y55" s="25"/>
      <c r="Z55" s="25"/>
      <c r="AC55" s="20" t="s">
        <v>76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56" ht="60.45112781954887" customHeight="1" spans="1:52" x14ac:dyDescent="0.25">
      <c r="A56" s="19" t="s">
        <v>349</v>
      </c>
      <c r="B56" s="20" t="s">
        <v>57</v>
      </c>
      <c r="C56" s="21"/>
      <c r="D56" s="22"/>
      <c r="E56" s="21" t="s">
        <v>349</v>
      </c>
      <c r="F56" s="29" t="s">
        <v>350</v>
      </c>
      <c r="G56" s="20" t="str">
        <f>SUBSTITUTE(SUBSTITUTE(SUBSTITUTE(O56,"/@","_"),"/cac:","_"),"/cbc:","_")</f>
        <v>Invoice_AccountingSupplierParty_Party_PartyTaxScheme_TaxScheme_ID</v>
      </c>
      <c r="H56" s="19" t="s">
        <v>267</v>
      </c>
      <c r="I56" s="19"/>
      <c r="J56" s="19" t="s">
        <v>351</v>
      </c>
      <c r="K56" s="20"/>
      <c r="L56" s="25" t="s">
        <v>243</v>
      </c>
      <c r="M56" s="27" t="s">
        <v>64</v>
      </c>
      <c r="N56" s="26" t="str">
        <f>IF(O56="","",LEN(O56)-LEN(SUBSTITUTE(O56,"/",""))+IF(ISNUMBER(SEARCH("@",O56)),0,1))</f>
        <v>6</v>
      </c>
      <c r="O56" s="26" t="s">
        <v>352</v>
      </c>
      <c r="P56" s="20"/>
      <c r="Q56" s="20"/>
      <c r="R56" s="20"/>
      <c r="S56" s="20" t="s">
        <v>353</v>
      </c>
      <c r="T56" s="20"/>
      <c r="U56" s="25" t="s">
        <v>67</v>
      </c>
      <c r="V56" s="20" t="s">
        <v>68</v>
      </c>
      <c r="W56" s="20" t="str">
        <f>IF(ISBLANK(O56),"是","否")</f>
        <v>否</v>
      </c>
      <c r="X56" s="20"/>
      <c r="Y56" s="25"/>
      <c r="Z56" s="25"/>
      <c r="AC56" s="20" t="s">
        <v>76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</row>
    <row r="57" ht="39.879699248120296" customHeight="1" spans="1:52" x14ac:dyDescent="0.25">
      <c r="A57" s="19" t="s">
        <v>344</v>
      </c>
      <c r="B57" s="20" t="s">
        <v>57</v>
      </c>
      <c r="C57" s="21"/>
      <c r="D57" s="22"/>
      <c r="E57" s="21" t="s">
        <v>354</v>
      </c>
      <c r="F57" s="29" t="s">
        <v>355</v>
      </c>
      <c r="G57" s="20" t="str">
        <f>SUBSTITUTE(SUBSTITUTE(SUBSTITUTE(O57,"/@","_"),"/cac:","_"),"/cbc:","_")</f>
        <v>Invoice_AccountingSupplierParty_Party_PartyTaxScheme_CompanyID</v>
      </c>
      <c r="H57" s="19" t="s">
        <v>356</v>
      </c>
      <c r="I57" s="19" t="s">
        <v>357</v>
      </c>
      <c r="J57" s="19" t="s">
        <v>358</v>
      </c>
      <c r="K57" s="20"/>
      <c r="L57" s="25" t="s">
        <v>228</v>
      </c>
      <c r="M57" s="27" t="s">
        <v>64</v>
      </c>
      <c r="N57" s="26" t="str">
        <f>IF(O57="","",LEN(O57)-LEN(SUBSTITUTE(O57,"/",""))+IF(ISNUMBER(SEARCH("@",O57)),0,1))</f>
        <v>5</v>
      </c>
      <c r="O57" s="26" t="s">
        <v>359</v>
      </c>
      <c r="P57" s="20"/>
      <c r="Q57" s="20"/>
      <c r="R57" s="20"/>
      <c r="S57" s="20" t="s">
        <v>360</v>
      </c>
      <c r="T57" s="20"/>
      <c r="U57" s="25" t="s">
        <v>67</v>
      </c>
      <c r="V57" s="20" t="s">
        <v>68</v>
      </c>
      <c r="W57" s="20" t="str">
        <f>IF(ISBLANK(O57),"是","否")</f>
        <v>否</v>
      </c>
      <c r="X57" s="20"/>
      <c r="Y57" s="25"/>
      <c r="Z57" s="25"/>
      <c r="AC57" s="20" t="s">
        <v>76</v>
      </c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</row>
    <row r="58" ht="29.59398496240601" customHeight="1" spans="1:52" x14ac:dyDescent="0.25">
      <c r="A58" s="19" t="s">
        <v>230</v>
      </c>
      <c r="B58" s="20" t="s">
        <v>57</v>
      </c>
      <c r="C58" s="21"/>
      <c r="D58" s="22"/>
      <c r="E58" s="21" t="s">
        <v>361</v>
      </c>
      <c r="F58" s="29" t="s">
        <v>362</v>
      </c>
      <c r="G58" s="20" t="str">
        <f>SUBSTITUTE(SUBSTITUTE(SUBSTITUTE(O58,"/@","_"),"/cac:","_"),"/cbc:","_")</f>
        <v>Invoice_AccountingSupplierParty_Party_PartyLegalEntity</v>
      </c>
      <c r="H58" s="19" t="s">
        <v>363</v>
      </c>
      <c r="I58" s="19"/>
      <c r="J58" s="19" t="s">
        <v>364</v>
      </c>
      <c r="K58" s="20"/>
      <c r="L58" s="25" t="s">
        <v>220</v>
      </c>
      <c r="M58" s="27" t="s">
        <v>49</v>
      </c>
      <c r="N58" s="26" t="str">
        <f>IF(O58="","",LEN(O58)-LEN(SUBSTITUTE(O58,"/",""))+IF(ISNUMBER(SEARCH("@",O58)),0,1))</f>
        <v>4</v>
      </c>
      <c r="O58" s="26" t="s">
        <v>365</v>
      </c>
      <c r="P58" s="20"/>
      <c r="Q58" s="20"/>
      <c r="R58" s="20"/>
      <c r="S58" s="20"/>
      <c r="T58" s="20"/>
      <c r="U58" s="25" t="s">
        <v>67</v>
      </c>
      <c r="V58" s="20" t="s">
        <v>222</v>
      </c>
      <c r="W58" s="20" t="str">
        <f>IF(ISBLANK(O58),"是","否")</f>
        <v>否</v>
      </c>
      <c r="X58" s="20"/>
      <c r="Y58" s="25"/>
      <c r="Z58" s="25"/>
      <c r="AC58" s="20" t="s">
        <v>76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</row>
    <row r="59" ht="39.879699248120296" customHeight="1" spans="1:52" x14ac:dyDescent="0.25">
      <c r="A59" s="19" t="s">
        <v>366</v>
      </c>
      <c r="B59" s="20" t="s">
        <v>57</v>
      </c>
      <c r="C59" s="21"/>
      <c r="D59" s="22"/>
      <c r="E59" s="21" t="s">
        <v>367</v>
      </c>
      <c r="F59" s="29" t="s">
        <v>368</v>
      </c>
      <c r="G59" s="20" t="str">
        <f>SUBSTITUTE(SUBSTITUTE(SUBSTITUTE(O59,"/@","_"),"/cac:","_"),"/cbc:","_")</f>
        <v>Invoice_AccountingSupplierParty_Party_PartyLegalEntity_RegistrationName</v>
      </c>
      <c r="H59" s="19" t="s">
        <v>270</v>
      </c>
      <c r="I59" s="19"/>
      <c r="J59" s="19" t="s">
        <v>369</v>
      </c>
      <c r="K59" s="20"/>
      <c r="L59" s="25" t="s">
        <v>228</v>
      </c>
      <c r="M59" s="27" t="s">
        <v>64</v>
      </c>
      <c r="N59" s="26" t="str">
        <f>IF(O59="","",LEN(O59)-LEN(SUBSTITUTE(O59,"/",""))+IF(ISNUMBER(SEARCH("@",O59)),0,1))</f>
        <v>5</v>
      </c>
      <c r="O59" s="26" t="s">
        <v>370</v>
      </c>
      <c r="P59" s="20"/>
      <c r="Q59" s="20"/>
      <c r="R59" s="20"/>
      <c r="S59" s="20" t="s">
        <v>371</v>
      </c>
      <c r="T59" s="20"/>
      <c r="U59" s="25" t="s">
        <v>67</v>
      </c>
      <c r="V59" s="20" t="s">
        <v>68</v>
      </c>
      <c r="W59" s="20" t="str">
        <f>IF(ISBLANK(O59),"是","否")</f>
        <v>否</v>
      </c>
      <c r="X59" s="20"/>
      <c r="Y59" s="25"/>
      <c r="Z59" s="25"/>
      <c r="AC59" s="20" t="s">
        <v>76</v>
      </c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</row>
    <row r="60" ht="39.879699248120296" customHeight="1" spans="1:52" x14ac:dyDescent="0.25">
      <c r="A60" s="19" t="s">
        <v>366</v>
      </c>
      <c r="B60" s="20" t="s">
        <v>57</v>
      </c>
      <c r="C60" s="21"/>
      <c r="D60" s="22"/>
      <c r="E60" s="21" t="s">
        <v>354</v>
      </c>
      <c r="F60" s="29" t="s">
        <v>372</v>
      </c>
      <c r="G60" s="20" t="str">
        <f>SUBSTITUTE(SUBSTITUTE(SUBSTITUTE(O60,"/@","_"),"/cac:","_"),"/cbc:","_")</f>
        <v>Invoice_AccountingSupplierParty_Party_PartyLegalEntity_CompanyID</v>
      </c>
      <c r="H60" s="19" t="s">
        <v>262</v>
      </c>
      <c r="I60" s="19" t="s">
        <v>373</v>
      </c>
      <c r="J60" s="19" t="s">
        <v>374</v>
      </c>
      <c r="K60" s="20"/>
      <c r="L60" s="25" t="s">
        <v>228</v>
      </c>
      <c r="M60" s="27" t="s">
        <v>64</v>
      </c>
      <c r="N60" s="26" t="str">
        <f>IF(O60="","",LEN(O60)-LEN(SUBSTITUTE(O60,"/",""))+IF(ISNUMBER(SEARCH("@",O60)),0,1))</f>
        <v>5</v>
      </c>
      <c r="O60" s="26" t="s">
        <v>375</v>
      </c>
      <c r="P60" s="20"/>
      <c r="Q60" s="20"/>
      <c r="R60" s="20"/>
      <c r="S60" s="20" t="s">
        <v>360</v>
      </c>
      <c r="T60" s="20"/>
      <c r="U60" s="25" t="s">
        <v>67</v>
      </c>
      <c r="V60" s="20" t="s">
        <v>68</v>
      </c>
      <c r="W60" s="20" t="str">
        <f>IF(ISBLANK(O60),"是","否")</f>
        <v>否</v>
      </c>
      <c r="X60" s="20"/>
      <c r="Y60" s="25"/>
      <c r="Z60" s="25"/>
      <c r="AC60" s="20" t="s">
        <v>76</v>
      </c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 ht="39.879699248120296" customHeight="1" spans="1:52" x14ac:dyDescent="0.25">
      <c r="A61" s="19" t="s">
        <v>366</v>
      </c>
      <c r="B61" s="20" t="s">
        <v>57</v>
      </c>
      <c r="C61" s="21"/>
      <c r="D61" s="22"/>
      <c r="E61" s="21" t="s">
        <v>376</v>
      </c>
      <c r="F61" s="29" t="s">
        <v>377</v>
      </c>
      <c r="G61" s="20" t="str">
        <f>SUBSTITUTE(SUBSTITUTE(SUBSTITUTE(O61,"/@","_"),"/cac:","_"),"/cbc:","_")</f>
        <v>Invoice_AccountingSupplierParty_Party_PartyLegalEntity_CompanyID_schemeID</v>
      </c>
      <c r="H61" s="19" t="s">
        <v>267</v>
      </c>
      <c r="I61" s="19" t="s">
        <v>373</v>
      </c>
      <c r="J61" s="19" t="s">
        <v>374</v>
      </c>
      <c r="K61" s="20"/>
      <c r="L61" s="25" t="s">
        <v>243</v>
      </c>
      <c r="M61" s="27" t="s">
        <v>64</v>
      </c>
      <c r="N61" s="26" t="str">
        <f>IF(O61="","",LEN(O61)-LEN(SUBSTITUTE(O61,"/",""))+IF(ISNUMBER(SEARCH("@",O61)),0,1))</f>
        <v>5</v>
      </c>
      <c r="O61" s="26" t="s">
        <v>378</v>
      </c>
      <c r="P61" s="20"/>
      <c r="Q61" s="20"/>
      <c r="R61" s="20"/>
      <c r="S61" s="20" t="s">
        <v>360</v>
      </c>
      <c r="T61" s="20"/>
      <c r="U61" s="25" t="s">
        <v>67</v>
      </c>
      <c r="V61" s="20" t="s">
        <v>68</v>
      </c>
      <c r="W61" s="20" t="str">
        <f>IF(ISBLANK(O61),"是","否")</f>
        <v>否</v>
      </c>
      <c r="X61" s="20"/>
      <c r="Y61" s="25"/>
      <c r="Z61" s="25"/>
      <c r="AC61" s="20" t="s">
        <v>76</v>
      </c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 ht="39.879699248120296" customHeight="1" spans="1:52" x14ac:dyDescent="0.25">
      <c r="A62" s="19" t="s">
        <v>366</v>
      </c>
      <c r="B62" s="20" t="s">
        <v>57</v>
      </c>
      <c r="C62" s="21"/>
      <c r="D62" s="22"/>
      <c r="E62" s="21" t="s">
        <v>379</v>
      </c>
      <c r="F62" s="29" t="s">
        <v>380</v>
      </c>
      <c r="G62" s="20" t="str">
        <f>SUBSTITUTE(SUBSTITUTE(SUBSTITUTE(O62,"/@","_"),"/cac:","_"),"/cbc:","_")</f>
        <v>Invoice_AccountingSupplierParty_Party_PartyLegalEntity_CompanyLegalForm</v>
      </c>
      <c r="H62" s="19" t="s">
        <v>381</v>
      </c>
      <c r="I62" s="19"/>
      <c r="J62" s="19" t="s">
        <v>382</v>
      </c>
      <c r="K62" s="20"/>
      <c r="L62" s="25" t="s">
        <v>228</v>
      </c>
      <c r="M62" s="27" t="s">
        <v>64</v>
      </c>
      <c r="N62" s="26" t="str">
        <f>IF(O62="","",LEN(O62)-LEN(SUBSTITUTE(O62,"/",""))+IF(ISNUMBER(SEARCH("@",O62)),0,1))</f>
        <v>5</v>
      </c>
      <c r="O62" s="26" t="s">
        <v>383</v>
      </c>
      <c r="P62" s="20"/>
      <c r="Q62" s="20"/>
      <c r="R62" s="20"/>
      <c r="S62" s="20"/>
      <c r="T62" s="20"/>
      <c r="U62" s="25" t="s">
        <v>67</v>
      </c>
      <c r="V62" s="20" t="s">
        <v>68</v>
      </c>
      <c r="W62" s="20" t="str">
        <f>IF(ISBLANK(O62),"是","否")</f>
        <v>否</v>
      </c>
      <c r="X62" s="20"/>
      <c r="Y62" s="25"/>
      <c r="Z62" s="25"/>
      <c r="AC62" s="20" t="s">
        <v>76</v>
      </c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 ht="29.59398496240601" customHeight="1" spans="1:52" x14ac:dyDescent="0.25">
      <c r="A63" s="19" t="s">
        <v>230</v>
      </c>
      <c r="B63" s="20" t="s">
        <v>57</v>
      </c>
      <c r="C63" s="21"/>
      <c r="D63" s="22"/>
      <c r="E63" s="21" t="s">
        <v>384</v>
      </c>
      <c r="F63" s="29" t="s">
        <v>385</v>
      </c>
      <c r="G63" s="20" t="str">
        <f>SUBSTITUTE(SUBSTITUTE(SUBSTITUTE(O63,"/@","_"),"/cac:","_"),"/cbc:","_")</f>
        <v>Invoice_AccountingSupplierParty_Party_Contact</v>
      </c>
      <c r="H63" s="19" t="s">
        <v>386</v>
      </c>
      <c r="I63" s="19"/>
      <c r="J63" s="19" t="s">
        <v>387</v>
      </c>
      <c r="K63" s="20"/>
      <c r="L63" s="25" t="s">
        <v>220</v>
      </c>
      <c r="M63" s="27" t="s">
        <v>64</v>
      </c>
      <c r="N63" s="26" t="str">
        <f>IF(O63="","",LEN(O63)-LEN(SUBSTITUTE(O63,"/",""))+IF(ISNUMBER(SEARCH("@",O63)),0,1))</f>
        <v>4</v>
      </c>
      <c r="O63" s="26" t="s">
        <v>388</v>
      </c>
      <c r="P63" s="20"/>
      <c r="Q63" s="20"/>
      <c r="R63" s="20"/>
      <c r="S63" s="20"/>
      <c r="T63" s="20"/>
      <c r="U63" s="25" t="s">
        <v>67</v>
      </c>
      <c r="V63" s="20" t="s">
        <v>222</v>
      </c>
      <c r="W63" s="20" t="str">
        <f>IF(ISBLANK(O63),"是","否")</f>
        <v>否</v>
      </c>
      <c r="X63" s="20"/>
      <c r="Y63" s="25"/>
      <c r="Z63" s="25"/>
      <c r="AC63" s="20" t="s">
        <v>76</v>
      </c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 ht="39.879699248120296" customHeight="1" spans="1:52" x14ac:dyDescent="0.25">
      <c r="A64" s="19" t="s">
        <v>175</v>
      </c>
      <c r="B64" s="20" t="s">
        <v>57</v>
      </c>
      <c r="C64" s="21"/>
      <c r="D64" s="22"/>
      <c r="E64" s="21" t="s">
        <v>273</v>
      </c>
      <c r="F64" s="29" t="s">
        <v>389</v>
      </c>
      <c r="G64" s="20" t="str">
        <f>SUBSTITUTE(SUBSTITUTE(SUBSTITUTE(O64,"/@","_"),"/cac:","_"),"/cbc:","_")</f>
        <v>Invoice_AccountingSupplierParty_Party_Contact_Name</v>
      </c>
      <c r="H64" s="19" t="s">
        <v>390</v>
      </c>
      <c r="I64" s="19"/>
      <c r="J64" s="19" t="s">
        <v>178</v>
      </c>
      <c r="K64" s="20"/>
      <c r="L64" s="25" t="s">
        <v>228</v>
      </c>
      <c r="M64" s="27" t="s">
        <v>64</v>
      </c>
      <c r="N64" s="26" t="str">
        <f>IF(O64="","",LEN(O64)-LEN(SUBSTITUTE(O64,"/",""))+IF(ISNUMBER(SEARCH("@",O64)),0,1))</f>
        <v>5</v>
      </c>
      <c r="O64" s="26" t="s">
        <v>391</v>
      </c>
      <c r="P64" s="20"/>
      <c r="Q64" s="20"/>
      <c r="R64" s="20"/>
      <c r="S64" s="20" t="s">
        <v>181</v>
      </c>
      <c r="T64" s="20"/>
      <c r="U64" s="25" t="s">
        <v>67</v>
      </c>
      <c r="V64" s="20" t="s">
        <v>68</v>
      </c>
      <c r="W64" s="20" t="str">
        <f>IF(ISBLANK(O64),"是","否")</f>
        <v>否</v>
      </c>
      <c r="X64" s="20"/>
      <c r="Y64" s="25"/>
      <c r="Z64" s="25"/>
      <c r="AC64" s="20" t="s">
        <v>76</v>
      </c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 ht="29.59398496240601" customHeight="1" spans="1:52" x14ac:dyDescent="0.25">
      <c r="A65" s="19" t="s">
        <v>175</v>
      </c>
      <c r="B65" s="20" t="s">
        <v>57</v>
      </c>
      <c r="C65" s="21"/>
      <c r="D65" s="22"/>
      <c r="E65" s="21" t="s">
        <v>392</v>
      </c>
      <c r="F65" s="29" t="s">
        <v>393</v>
      </c>
      <c r="G65" s="20" t="str">
        <f>SUBSTITUTE(SUBSTITUTE(SUBSTITUTE(O65,"/@","_"),"/cac:","_"),"/cbc:","_")</f>
        <v>Invoice_AccountingSupplierParty_Party_Contact_Telephone</v>
      </c>
      <c r="H65" s="19" t="s">
        <v>394</v>
      </c>
      <c r="I65" s="19"/>
      <c r="J65" s="19" t="s">
        <v>395</v>
      </c>
      <c r="K65" s="20"/>
      <c r="L65" s="25" t="s">
        <v>228</v>
      </c>
      <c r="M65" s="27" t="s">
        <v>64</v>
      </c>
      <c r="N65" s="26" t="str">
        <f>IF(O65="","",LEN(O65)-LEN(SUBSTITUTE(O65,"/",""))+IF(ISNUMBER(SEARCH("@",O65)),0,1))</f>
        <v>5</v>
      </c>
      <c r="O65" s="26" t="s">
        <v>396</v>
      </c>
      <c r="P65" s="20"/>
      <c r="Q65" s="20"/>
      <c r="R65" s="20"/>
      <c r="S65" s="20"/>
      <c r="T65" s="20"/>
      <c r="U65" s="25" t="s">
        <v>67</v>
      </c>
      <c r="V65" s="20" t="s">
        <v>68</v>
      </c>
      <c r="W65" s="20" t="str">
        <f>IF(ISBLANK(O65),"是","否")</f>
        <v>否</v>
      </c>
      <c r="X65" s="20"/>
      <c r="Y65" s="25"/>
      <c r="Z65" s="25"/>
      <c r="AC65" s="20" t="s">
        <v>76</v>
      </c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</row>
    <row r="66" ht="29.59398496240601" customHeight="1" spans="1:52" x14ac:dyDescent="0.25">
      <c r="A66" s="19" t="s">
        <v>175</v>
      </c>
      <c r="B66" s="20" t="s">
        <v>57</v>
      </c>
      <c r="C66" s="21"/>
      <c r="D66" s="22"/>
      <c r="E66" s="21" t="s">
        <v>397</v>
      </c>
      <c r="F66" s="29" t="s">
        <v>398</v>
      </c>
      <c r="G66" s="20" t="str">
        <f>SUBSTITUTE(SUBSTITUTE(SUBSTITUTE(O66,"/@","_"),"/cac:","_"),"/cbc:","_")</f>
        <v>Invoice_AccountingSupplierParty_Party_Contact_ElectronicMail</v>
      </c>
      <c r="H66" s="19" t="s">
        <v>399</v>
      </c>
      <c r="I66" s="19"/>
      <c r="J66" s="19" t="s">
        <v>400</v>
      </c>
      <c r="K66" s="20"/>
      <c r="L66" s="25" t="s">
        <v>228</v>
      </c>
      <c r="M66" s="27" t="s">
        <v>64</v>
      </c>
      <c r="N66" s="26" t="str">
        <f>IF(O66="","",LEN(O66)-LEN(SUBSTITUTE(O66,"/",""))+IF(ISNUMBER(SEARCH("@",O66)),0,1))</f>
        <v>5</v>
      </c>
      <c r="O66" s="26" t="s">
        <v>401</v>
      </c>
      <c r="P66" s="20"/>
      <c r="Q66" s="20"/>
      <c r="R66" s="20"/>
      <c r="S66" s="20"/>
      <c r="T66" s="20"/>
      <c r="U66" s="25" t="s">
        <v>67</v>
      </c>
      <c r="V66" s="20" t="s">
        <v>68</v>
      </c>
      <c r="W66" s="20" t="str">
        <f>IF(ISBLANK(O66),"是","否")</f>
        <v>否</v>
      </c>
      <c r="X66" s="20"/>
      <c r="Y66" s="25"/>
      <c r="Z66" s="25"/>
      <c r="AC66" s="20" t="s">
        <v>76</v>
      </c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</row>
    <row r="67" ht="29.59398496240601" customHeight="1" spans="1:52" x14ac:dyDescent="0.25">
      <c r="A67" s="19" t="s">
        <v>230</v>
      </c>
      <c r="B67" s="20" t="s">
        <v>57</v>
      </c>
      <c r="C67" s="21"/>
      <c r="D67" s="22"/>
      <c r="E67" s="21" t="s">
        <v>402</v>
      </c>
      <c r="F67" s="29" t="s">
        <v>403</v>
      </c>
      <c r="G67" s="20" t="str">
        <f>SUBSTITUTE(SUBSTITUTE(SUBSTITUTE(O67,"/@","_"),"/cac:","_"),"/cbc:","_")</f>
        <v>Invoice_AccountingSupplierParty_Party_Person</v>
      </c>
      <c r="H67" s="19" t="s">
        <v>404</v>
      </c>
      <c r="I67" s="19"/>
      <c r="J67" s="19" t="s">
        <v>405</v>
      </c>
      <c r="K67" s="20"/>
      <c r="L67" s="25" t="s">
        <v>220</v>
      </c>
      <c r="M67" s="27" t="s">
        <v>49</v>
      </c>
      <c r="N67" s="26" t="str">
        <f>IF(O67="","",LEN(O67)-LEN(SUBSTITUTE(O67,"/",""))+IF(ISNUMBER(SEARCH("@",O67)),0,1))</f>
        <v>4</v>
      </c>
      <c r="O67" s="26" t="s">
        <v>406</v>
      </c>
      <c r="P67" s="20"/>
      <c r="Q67" s="20"/>
      <c r="R67" s="20"/>
      <c r="S67" s="20"/>
      <c r="T67" s="20"/>
      <c r="U67" s="25" t="s">
        <v>67</v>
      </c>
      <c r="V67" s="20" t="s">
        <v>222</v>
      </c>
      <c r="W67" s="20" t="str">
        <f>IF(ISBLANK(O67),"是","否")</f>
        <v>否</v>
      </c>
      <c r="X67" s="20"/>
      <c r="Y67" s="25"/>
      <c r="Z67" s="25"/>
      <c r="AC67" s="20" t="s">
        <v>76</v>
      </c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</row>
    <row r="68" ht="29.59398496240601" customHeight="1" spans="1:52" x14ac:dyDescent="0.25">
      <c r="A68" s="19" t="s">
        <v>402</v>
      </c>
      <c r="B68" s="20" t="s">
        <v>57</v>
      </c>
      <c r="C68" s="21"/>
      <c r="D68" s="22"/>
      <c r="E68" s="21" t="s">
        <v>407</v>
      </c>
      <c r="F68" s="29" t="s">
        <v>408</v>
      </c>
      <c r="G68" s="20" t="str">
        <f>SUBSTITUTE(SUBSTITUTE(SUBSTITUTE(O68,"/@","_"),"/cac:","_"),"/cbc:","_")</f>
        <v>Invoice_AccountingSupplierParty_Party_Person_FirstName</v>
      </c>
      <c r="H68" s="19" t="s">
        <v>409</v>
      </c>
      <c r="I68" s="19"/>
      <c r="J68" s="19" t="s">
        <v>410</v>
      </c>
      <c r="K68" s="20"/>
      <c r="L68" s="25" t="s">
        <v>228</v>
      </c>
      <c r="M68" s="27" t="s">
        <v>64</v>
      </c>
      <c r="N68" s="26" t="str">
        <f>IF(O68="","",LEN(O68)-LEN(SUBSTITUTE(O68,"/",""))+IF(ISNUMBER(SEARCH("@",O68)),0,1))</f>
        <v>5</v>
      </c>
      <c r="O68" s="26" t="s">
        <v>411</v>
      </c>
      <c r="P68" s="20"/>
      <c r="Q68" s="20"/>
      <c r="R68" s="20"/>
      <c r="S68" s="20"/>
      <c r="T68" s="20"/>
      <c r="U68" s="25" t="s">
        <v>67</v>
      </c>
      <c r="V68" s="20" t="s">
        <v>68</v>
      </c>
      <c r="W68" s="20" t="str">
        <f>IF(ISBLANK(O68),"是","否")</f>
        <v>否</v>
      </c>
      <c r="X68" s="20"/>
      <c r="Y68" s="25"/>
      <c r="Z68" s="25"/>
      <c r="AC68" s="20" t="s">
        <v>76</v>
      </c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</row>
    <row r="69" ht="29.59398496240601" customHeight="1" spans="1:52" x14ac:dyDescent="0.25">
      <c r="A69" s="19" t="s">
        <v>402</v>
      </c>
      <c r="B69" s="20" t="s">
        <v>57</v>
      </c>
      <c r="C69" s="21"/>
      <c r="D69" s="22"/>
      <c r="E69" s="21" t="s">
        <v>412</v>
      </c>
      <c r="F69" s="29" t="s">
        <v>413</v>
      </c>
      <c r="G69" s="20" t="str">
        <f>SUBSTITUTE(SUBSTITUTE(SUBSTITUTE(O69,"/@","_"),"/cac:","_"),"/cbc:","_")</f>
        <v>Invoice_AccountingSupplierParty_Party_Person_FamilyName</v>
      </c>
      <c r="H69" s="19" t="s">
        <v>414</v>
      </c>
      <c r="I69" s="19"/>
      <c r="J69" s="19" t="s">
        <v>415</v>
      </c>
      <c r="K69" s="20"/>
      <c r="L69" s="25" t="s">
        <v>228</v>
      </c>
      <c r="M69" s="27" t="s">
        <v>64</v>
      </c>
      <c r="N69" s="26" t="str">
        <f>IF(O69="","",LEN(O69)-LEN(SUBSTITUTE(O69,"/",""))+IF(ISNUMBER(SEARCH("@",O69)),0,1))</f>
        <v>5</v>
      </c>
      <c r="O69" s="26" t="s">
        <v>416</v>
      </c>
      <c r="P69" s="20"/>
      <c r="Q69" s="20"/>
      <c r="R69" s="20"/>
      <c r="S69" s="20"/>
      <c r="T69" s="20"/>
      <c r="U69" s="25" t="s">
        <v>67</v>
      </c>
      <c r="V69" s="20" t="s">
        <v>68</v>
      </c>
      <c r="W69" s="20" t="str">
        <f>IF(ISBLANK(O69),"是","否")</f>
        <v>否</v>
      </c>
      <c r="X69" s="20"/>
      <c r="Y69" s="25"/>
      <c r="Z69" s="25"/>
      <c r="AC69" s="20" t="s">
        <v>76</v>
      </c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</row>
    <row r="70" ht="29.59398496240601" customHeight="1" spans="1:52" x14ac:dyDescent="0.25">
      <c r="A70" s="19" t="s">
        <v>223</v>
      </c>
      <c r="B70" s="20" t="s">
        <v>57</v>
      </c>
      <c r="C70" s="21"/>
      <c r="D70" s="22"/>
      <c r="E70" s="21" t="s">
        <v>417</v>
      </c>
      <c r="F70" s="29" t="s">
        <v>418</v>
      </c>
      <c r="G70" s="20" t="str">
        <f>SUBSTITUTE(SUBSTITUTE(SUBSTITUTE(O70,"/@","_"),"/cac:","_"),"/cbc:","_")</f>
        <v>Invoice_AccountingSupplierParty_AccountingContact</v>
      </c>
      <c r="H70" s="19" t="s">
        <v>419</v>
      </c>
      <c r="I70" s="19"/>
      <c r="J70" s="19" t="s">
        <v>420</v>
      </c>
      <c r="K70" s="20"/>
      <c r="L70" s="25" t="s">
        <v>220</v>
      </c>
      <c r="M70" s="27" t="s">
        <v>64</v>
      </c>
      <c r="N70" s="26" t="str">
        <f>IF(O70="","",LEN(O70)-LEN(SUBSTITUTE(O70,"/",""))+IF(ISNUMBER(SEARCH("@",O70)),0,1))</f>
        <v>3</v>
      </c>
      <c r="O70" s="26" t="s">
        <v>421</v>
      </c>
      <c r="P70" s="20"/>
      <c r="Q70" s="20"/>
      <c r="R70" s="20"/>
      <c r="S70" s="20"/>
      <c r="T70" s="20"/>
      <c r="U70" s="25" t="s">
        <v>67</v>
      </c>
      <c r="V70" s="20" t="s">
        <v>222</v>
      </c>
      <c r="W70" s="20" t="str">
        <f>IF(ISBLANK(O70),"是","否")</f>
        <v>否</v>
      </c>
      <c r="X70" s="20"/>
      <c r="Y70" s="25"/>
      <c r="Z70" s="25"/>
      <c r="AC70" s="20" t="s">
        <v>76</v>
      </c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</row>
    <row r="71" ht="29.59398496240601" customHeight="1" spans="1:52" x14ac:dyDescent="0.25">
      <c r="A71" s="19" t="s">
        <v>175</v>
      </c>
      <c r="B71" s="20" t="s">
        <v>57</v>
      </c>
      <c r="C71" s="21"/>
      <c r="D71" s="22"/>
      <c r="E71" s="21" t="s">
        <v>273</v>
      </c>
      <c r="F71" s="29" t="s">
        <v>422</v>
      </c>
      <c r="G71" s="20" t="str">
        <f>SUBSTITUTE(SUBSTITUTE(SUBSTITUTE(O71,"/@","_"),"/cac:","_"),"/cbc:","_")</f>
        <v>Invoice_AccountingSupplierParty_AccountingContact_Name</v>
      </c>
      <c r="H71" s="19" t="s">
        <v>423</v>
      </c>
      <c r="I71" s="19"/>
      <c r="J71" s="19" t="s">
        <v>424</v>
      </c>
      <c r="K71" s="20"/>
      <c r="L71" s="25" t="s">
        <v>228</v>
      </c>
      <c r="M71" s="27" t="s">
        <v>64</v>
      </c>
      <c r="N71" s="26" t="str">
        <f>IF(O71="","",LEN(O71)-LEN(SUBSTITUTE(O71,"/",""))+IF(ISNUMBER(SEARCH("@",O71)),0,1))</f>
        <v>4</v>
      </c>
      <c r="O71" s="26" t="s">
        <v>425</v>
      </c>
      <c r="P71" s="20"/>
      <c r="Q71" s="20"/>
      <c r="R71" s="20"/>
      <c r="S71" s="20" t="s">
        <v>181</v>
      </c>
      <c r="T71" s="20"/>
      <c r="U71" s="25" t="s">
        <v>67</v>
      </c>
      <c r="V71" s="20" t="s">
        <v>68</v>
      </c>
      <c r="W71" s="20" t="str">
        <f>IF(ISBLANK(O71),"是","否")</f>
        <v>否</v>
      </c>
      <c r="X71" s="20"/>
      <c r="Y71" s="25"/>
      <c r="Z71" s="25"/>
      <c r="AC71" s="20" t="s">
        <v>76</v>
      </c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</row>
    <row r="72" ht="29.59398496240601" customHeight="1" spans="1:52" x14ac:dyDescent="0.25">
      <c r="A72" s="19" t="s">
        <v>175</v>
      </c>
      <c r="B72" s="20" t="s">
        <v>57</v>
      </c>
      <c r="C72" s="21"/>
      <c r="D72" s="22"/>
      <c r="E72" s="21" t="s">
        <v>392</v>
      </c>
      <c r="F72" s="29" t="s">
        <v>426</v>
      </c>
      <c r="G72" s="20" t="str">
        <f>SUBSTITUTE(SUBSTITUTE(SUBSTITUTE(O72,"/@","_"),"/cac:","_"),"/cbc:","_")</f>
        <v>Invoice_AccountingSupplierParty_AccountingContact_Telephone</v>
      </c>
      <c r="H72" s="19" t="s">
        <v>427</v>
      </c>
      <c r="I72" s="19"/>
      <c r="J72" s="19" t="s">
        <v>395</v>
      </c>
      <c r="K72" s="20"/>
      <c r="L72" s="25" t="s">
        <v>228</v>
      </c>
      <c r="M72" s="27" t="s">
        <v>64</v>
      </c>
      <c r="N72" s="26" t="str">
        <f>IF(O72="","",LEN(O72)-LEN(SUBSTITUTE(O72,"/",""))+IF(ISNUMBER(SEARCH("@",O72)),0,1))</f>
        <v>4</v>
      </c>
      <c r="O72" s="26" t="s">
        <v>428</v>
      </c>
      <c r="P72" s="20"/>
      <c r="Q72" s="20"/>
      <c r="R72" s="20"/>
      <c r="S72" s="20"/>
      <c r="T72" s="20"/>
      <c r="U72" s="25" t="s">
        <v>67</v>
      </c>
      <c r="V72" s="20" t="s">
        <v>68</v>
      </c>
      <c r="W72" s="20" t="str">
        <f>IF(ISBLANK(O72),"是","否")</f>
        <v>否</v>
      </c>
      <c r="X72" s="20"/>
      <c r="Y72" s="25"/>
      <c r="Z72" s="25"/>
      <c r="AC72" s="20" t="s">
        <v>76</v>
      </c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</row>
    <row r="73" ht="29.59398496240601" customHeight="1" spans="1:52" x14ac:dyDescent="0.25">
      <c r="A73" s="19" t="s">
        <v>175</v>
      </c>
      <c r="B73" s="20" t="s">
        <v>57</v>
      </c>
      <c r="C73" s="21"/>
      <c r="D73" s="22"/>
      <c r="E73" s="21" t="s">
        <v>429</v>
      </c>
      <c r="F73" s="29" t="s">
        <v>430</v>
      </c>
      <c r="G73" s="20" t="str">
        <f>SUBSTITUTE(SUBSTITUTE(SUBSTITUTE(O73,"/@","_"),"/cac:","_"),"/cbc:","_")</f>
        <v>Invoice_AccountingSupplierParty_AccountingContact_Telefax</v>
      </c>
      <c r="H73" s="19" t="s">
        <v>431</v>
      </c>
      <c r="I73" s="19"/>
      <c r="J73" s="19" t="s">
        <v>432</v>
      </c>
      <c r="K73" s="20"/>
      <c r="L73" s="25" t="s">
        <v>228</v>
      </c>
      <c r="M73" s="27" t="s">
        <v>64</v>
      </c>
      <c r="N73" s="26" t="str">
        <f>IF(O73="","",LEN(O73)-LEN(SUBSTITUTE(O73,"/",""))+IF(ISNUMBER(SEARCH("@",O73)),0,1))</f>
        <v>4</v>
      </c>
      <c r="O73" s="26" t="s">
        <v>433</v>
      </c>
      <c r="P73" s="20"/>
      <c r="Q73" s="20"/>
      <c r="R73" s="20"/>
      <c r="S73" s="20"/>
      <c r="T73" s="20"/>
      <c r="U73" s="25" t="s">
        <v>67</v>
      </c>
      <c r="V73" s="20" t="s">
        <v>68</v>
      </c>
      <c r="W73" s="20" t="str">
        <f>IF(ISBLANK(O73),"是","否")</f>
        <v>否</v>
      </c>
      <c r="X73" s="20"/>
      <c r="Y73" s="25"/>
      <c r="Z73" s="25"/>
      <c r="AC73" s="20" t="s">
        <v>76</v>
      </c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</row>
    <row r="74" ht="29.59398496240601" customHeight="1" spans="1:52" x14ac:dyDescent="0.25">
      <c r="A74" s="19" t="s">
        <v>175</v>
      </c>
      <c r="B74" s="20" t="s">
        <v>57</v>
      </c>
      <c r="C74" s="21"/>
      <c r="D74" s="22"/>
      <c r="E74" s="21" t="s">
        <v>397</v>
      </c>
      <c r="F74" s="29" t="s">
        <v>434</v>
      </c>
      <c r="G74" s="20" t="str">
        <f>SUBSTITUTE(SUBSTITUTE(SUBSTITUTE(O74,"/@","_"),"/cac:","_"),"/cbc:","_")</f>
        <v>Invoice_AccountingSupplierParty_AccountingContact_ElectronicMail</v>
      </c>
      <c r="H74" s="19" t="s">
        <v>435</v>
      </c>
      <c r="I74" s="19"/>
      <c r="J74" s="19" t="s">
        <v>400</v>
      </c>
      <c r="K74" s="20"/>
      <c r="L74" s="25" t="s">
        <v>228</v>
      </c>
      <c r="M74" s="27" t="s">
        <v>64</v>
      </c>
      <c r="N74" s="26" t="str">
        <f>IF(O74="","",LEN(O74)-LEN(SUBSTITUTE(O74,"/",""))+IF(ISNUMBER(SEARCH("@",O74)),0,1))</f>
        <v>4</v>
      </c>
      <c r="O74" s="26" t="s">
        <v>436</v>
      </c>
      <c r="P74" s="20"/>
      <c r="Q74" s="20"/>
      <c r="R74" s="20"/>
      <c r="S74" s="20"/>
      <c r="T74" s="20"/>
      <c r="U74" s="25" t="s">
        <v>67</v>
      </c>
      <c r="V74" s="20" t="s">
        <v>68</v>
      </c>
      <c r="W74" s="20" t="str">
        <f>IF(ISBLANK(O74),"是","否")</f>
        <v>否</v>
      </c>
      <c r="X74" s="20"/>
      <c r="Y74" s="25"/>
      <c r="Z74" s="25"/>
      <c r="AC74" s="20" t="s">
        <v>76</v>
      </c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</row>
    <row r="75" ht="29.59398496240601" customHeight="1" spans="1:52" x14ac:dyDescent="0.25">
      <c r="A75" s="19" t="s">
        <v>41</v>
      </c>
      <c r="B75" s="20" t="s">
        <v>57</v>
      </c>
      <c r="C75" s="21"/>
      <c r="D75" s="22"/>
      <c r="E75" s="21" t="s">
        <v>437</v>
      </c>
      <c r="F75" s="29" t="s">
        <v>438</v>
      </c>
      <c r="G75" s="20" t="str">
        <f>SUBSTITUTE(SUBSTITUTE(SUBSTITUTE(O75,"/@","_"),"/cac:","_"),"/cbc:","_")</f>
        <v>Invoice_AccountingCustomerParty</v>
      </c>
      <c r="H75" s="19" t="s">
        <v>439</v>
      </c>
      <c r="I75" s="19"/>
      <c r="J75" s="19" t="s">
        <v>440</v>
      </c>
      <c r="K75" s="20"/>
      <c r="L75" s="25" t="s">
        <v>220</v>
      </c>
      <c r="M75" s="27" t="s">
        <v>165</v>
      </c>
      <c r="N75" s="26" t="str">
        <f>IF(O75="","",LEN(O75)-LEN(SUBSTITUTE(O75,"/",""))+IF(ISNUMBER(SEARCH("@",O75)),0,1))</f>
        <v>2</v>
      </c>
      <c r="O75" s="26" t="s">
        <v>441</v>
      </c>
      <c r="P75" s="20"/>
      <c r="Q75" s="20"/>
      <c r="R75" s="20"/>
      <c r="S75" s="20"/>
      <c r="T75" s="20"/>
      <c r="U75" s="25" t="s">
        <v>67</v>
      </c>
      <c r="V75" s="20" t="s">
        <v>222</v>
      </c>
      <c r="W75" s="20" t="str">
        <f>IF(ISBLANK(O75),"是","否")</f>
        <v>否</v>
      </c>
      <c r="X75" s="20"/>
      <c r="Y75" s="25"/>
      <c r="Z75" s="25"/>
      <c r="AC75" s="20" t="s">
        <v>76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</row>
    <row r="76" ht="29.59398496240601" customHeight="1" spans="1:52" x14ac:dyDescent="0.25">
      <c r="A76" s="19" t="s">
        <v>442</v>
      </c>
      <c r="B76" s="20" t="s">
        <v>57</v>
      </c>
      <c r="C76" s="21"/>
      <c r="D76" s="22"/>
      <c r="E76" s="21" t="s">
        <v>443</v>
      </c>
      <c r="F76" s="29" t="s">
        <v>444</v>
      </c>
      <c r="G76" s="20" t="str">
        <f>SUBSTITUTE(SUBSTITUTE(SUBSTITUTE(O76,"/@","_"),"/cac:","_"),"/cbc:","_")</f>
        <v>Invoice_AccountingCustomerParty_SupplierAssignedAccountID</v>
      </c>
      <c r="H76" s="19" t="s">
        <v>445</v>
      </c>
      <c r="I76" s="19"/>
      <c r="J76" s="19" t="s">
        <v>446</v>
      </c>
      <c r="K76" s="20"/>
      <c r="L76" s="25" t="s">
        <v>228</v>
      </c>
      <c r="M76" s="27" t="s">
        <v>64</v>
      </c>
      <c r="N76" s="26" t="str">
        <f>IF(O76="","",LEN(O76)-LEN(SUBSTITUTE(O76,"/",""))+IF(ISNUMBER(SEARCH("@",O76)),0,1))</f>
        <v>3</v>
      </c>
      <c r="O76" s="26" t="s">
        <v>447</v>
      </c>
      <c r="P76" s="20"/>
      <c r="Q76" s="20"/>
      <c r="R76" s="20"/>
      <c r="S76" s="20"/>
      <c r="T76" s="20"/>
      <c r="U76" s="25" t="s">
        <v>67</v>
      </c>
      <c r="V76" s="20" t="s">
        <v>68</v>
      </c>
      <c r="W76" s="20" t="str">
        <f>IF(ISBLANK(O76),"是","否")</f>
        <v>否</v>
      </c>
      <c r="X76" s="20"/>
      <c r="Y76" s="25"/>
      <c r="Z76" s="25"/>
      <c r="AC76" s="20" t="s">
        <v>76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</row>
    <row r="77" ht="29.59398496240601" customHeight="1" spans="1:52" x14ac:dyDescent="0.25">
      <c r="A77" s="19" t="s">
        <v>442</v>
      </c>
      <c r="B77" s="20" t="s">
        <v>57</v>
      </c>
      <c r="C77" s="21"/>
      <c r="D77" s="22"/>
      <c r="E77" s="21" t="s">
        <v>230</v>
      </c>
      <c r="F77" s="29" t="s">
        <v>448</v>
      </c>
      <c r="G77" s="20" t="str">
        <f>SUBSTITUTE(SUBSTITUTE(SUBSTITUTE(O77,"/@","_"),"/cac:","_"),"/cbc:","_")</f>
        <v>Invoice_AccountingCustomerParty_Party</v>
      </c>
      <c r="H77" s="19" t="s">
        <v>449</v>
      </c>
      <c r="I77" s="19"/>
      <c r="J77" s="19" t="s">
        <v>450</v>
      </c>
      <c r="K77" s="20"/>
      <c r="L77" s="25" t="s">
        <v>220</v>
      </c>
      <c r="M77" s="27" t="s">
        <v>64</v>
      </c>
      <c r="N77" s="26" t="str">
        <f>IF(O77="","",LEN(O77)-LEN(SUBSTITUTE(O77,"/",""))+IF(ISNUMBER(SEARCH("@",O77)),0,1))</f>
        <v>3</v>
      </c>
      <c r="O77" s="26" t="s">
        <v>451</v>
      </c>
      <c r="P77" s="20"/>
      <c r="Q77" s="20"/>
      <c r="R77" s="20"/>
      <c r="S77" s="20"/>
      <c r="T77" s="20"/>
      <c r="U77" s="25" t="s">
        <v>67</v>
      </c>
      <c r="V77" s="20" t="s">
        <v>222</v>
      </c>
      <c r="W77" s="20" t="str">
        <f>IF(ISBLANK(O77),"是","否")</f>
        <v>否</v>
      </c>
      <c r="X77" s="20"/>
      <c r="Y77" s="25"/>
      <c r="Z77" s="25"/>
      <c r="AC77" s="20" t="s">
        <v>76</v>
      </c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</row>
    <row r="78" ht="29.59398496240601" customHeight="1" spans="1:52" x14ac:dyDescent="0.25">
      <c r="A78" s="19" t="s">
        <v>230</v>
      </c>
      <c r="B78" s="20" t="s">
        <v>57</v>
      </c>
      <c r="C78" s="21"/>
      <c r="D78" s="22"/>
      <c r="E78" s="21" t="s">
        <v>235</v>
      </c>
      <c r="F78" s="29" t="s">
        <v>452</v>
      </c>
      <c r="G78" s="20" t="str">
        <f>SUBSTITUTE(SUBSTITUTE(SUBSTITUTE(O78,"/@","_"),"/cac:","_"),"/cbc:","_")</f>
        <v>Invoice_AccountingCustomerParty_Party_EndpointID</v>
      </c>
      <c r="H78" s="19" t="s">
        <v>453</v>
      </c>
      <c r="I78" s="19" t="s">
        <v>454</v>
      </c>
      <c r="J78" s="19" t="s">
        <v>238</v>
      </c>
      <c r="K78" s="20"/>
      <c r="L78" s="25" t="s">
        <v>228</v>
      </c>
      <c r="M78" s="27" t="s">
        <v>64</v>
      </c>
      <c r="N78" s="26" t="str">
        <f>IF(O78="","",LEN(O78)-LEN(SUBSTITUTE(O78,"/",""))+IF(ISNUMBER(SEARCH("@",O78)),0,1))</f>
        <v>4</v>
      </c>
      <c r="O78" s="26" t="s">
        <v>455</v>
      </c>
      <c r="P78" s="20"/>
      <c r="Q78" s="20"/>
      <c r="R78" s="20"/>
      <c r="S78" s="20" t="s">
        <v>456</v>
      </c>
      <c r="T78" s="20"/>
      <c r="U78" s="25" t="s">
        <v>67</v>
      </c>
      <c r="V78" s="20" t="s">
        <v>68</v>
      </c>
      <c r="W78" s="20" t="str">
        <f>IF(ISBLANK(O78),"是","否")</f>
        <v>否</v>
      </c>
      <c r="X78" s="20"/>
      <c r="Y78" s="25"/>
      <c r="Z78" s="25"/>
      <c r="AC78" s="20" t="s">
        <v>76</v>
      </c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</row>
    <row r="79" ht="29.59398496240601" customHeight="1" spans="1:52" x14ac:dyDescent="0.25">
      <c r="A79" s="19" t="s">
        <v>230</v>
      </c>
      <c r="B79" s="20" t="s">
        <v>57</v>
      </c>
      <c r="C79" s="21"/>
      <c r="D79" s="22"/>
      <c r="E79" s="21" t="s">
        <v>241</v>
      </c>
      <c r="F79" s="29" t="s">
        <v>457</v>
      </c>
      <c r="G79" s="20" t="str">
        <f>SUBSTITUTE(SUBSTITUTE(SUBSTITUTE(O79,"/@","_"),"/cac:","_"),"/cbc:","_")</f>
        <v>Invoice_AccountingCustomerParty_Party_EndpointID_schemeID</v>
      </c>
      <c r="H79" s="19" t="s">
        <v>453</v>
      </c>
      <c r="I79" s="19" t="s">
        <v>454</v>
      </c>
      <c r="J79" s="19" t="s">
        <v>238</v>
      </c>
      <c r="K79" s="20"/>
      <c r="L79" s="25" t="s">
        <v>243</v>
      </c>
      <c r="M79" s="27" t="s">
        <v>64</v>
      </c>
      <c r="N79" s="26" t="str">
        <f>IF(O79="","",LEN(O79)-LEN(SUBSTITUTE(O79,"/",""))+IF(ISNUMBER(SEARCH("@",O79)),0,1))</f>
        <v>4</v>
      </c>
      <c r="O79" s="26" t="s">
        <v>458</v>
      </c>
      <c r="P79" s="20"/>
      <c r="Q79" s="20"/>
      <c r="R79" s="20"/>
      <c r="S79" s="20" t="s">
        <v>456</v>
      </c>
      <c r="T79" s="20"/>
      <c r="U79" s="25" t="s">
        <v>67</v>
      </c>
      <c r="V79" s="20" t="s">
        <v>68</v>
      </c>
      <c r="W79" s="20" t="str">
        <f>IF(ISBLANK(O79),"是","否")</f>
        <v>否</v>
      </c>
      <c r="X79" s="20"/>
      <c r="Y79" s="25"/>
      <c r="Z79" s="25"/>
      <c r="AC79" s="20" t="s">
        <v>76</v>
      </c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</row>
    <row r="80" ht="29.59398496240601" customHeight="1" spans="1:52" x14ac:dyDescent="0.25">
      <c r="A80" s="19" t="s">
        <v>230</v>
      </c>
      <c r="B80" s="20" t="s">
        <v>57</v>
      </c>
      <c r="C80" s="21"/>
      <c r="D80" s="22"/>
      <c r="E80" s="21" t="s">
        <v>255</v>
      </c>
      <c r="F80" s="29" t="s">
        <v>459</v>
      </c>
      <c r="G80" s="20" t="str">
        <f>SUBSTITUTE(SUBSTITUTE(SUBSTITUTE(O80,"/@","_"),"/cac:","_"),"/cbc:","_")</f>
        <v>Invoice_AccountingCustomerParty_Party_PartyIdentification</v>
      </c>
      <c r="H80" s="19" t="s">
        <v>460</v>
      </c>
      <c r="I80" s="19"/>
      <c r="J80" s="19" t="s">
        <v>263</v>
      </c>
      <c r="K80" s="20"/>
      <c r="L80" s="25" t="s">
        <v>220</v>
      </c>
      <c r="M80" s="27" t="s">
        <v>49</v>
      </c>
      <c r="N80" s="26" t="str">
        <f>IF(O80="","",LEN(O80)-LEN(SUBSTITUTE(O80,"/",""))+IF(ISNUMBER(SEARCH("@",O80)),0,1))</f>
        <v>4</v>
      </c>
      <c r="O80" s="26" t="s">
        <v>461</v>
      </c>
      <c r="P80" s="20"/>
      <c r="Q80" s="20"/>
      <c r="R80" s="20"/>
      <c r="S80" s="20"/>
      <c r="T80" s="20"/>
      <c r="U80" s="25" t="s">
        <v>67</v>
      </c>
      <c r="V80" s="20" t="s">
        <v>222</v>
      </c>
      <c r="W80" s="20" t="str">
        <f>IF(ISBLANK(O80),"是","否")</f>
        <v>否</v>
      </c>
      <c r="X80" s="20"/>
      <c r="Y80" s="25"/>
      <c r="Z80" s="25"/>
      <c r="AC80" s="20" t="s">
        <v>76</v>
      </c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</row>
    <row r="81" ht="29.59398496240601" customHeight="1" spans="1:52" x14ac:dyDescent="0.25">
      <c r="A81" s="19" t="s">
        <v>255</v>
      </c>
      <c r="B81" s="20" t="s">
        <v>57</v>
      </c>
      <c r="C81" s="21"/>
      <c r="D81" s="22"/>
      <c r="E81" s="21" t="s">
        <v>260</v>
      </c>
      <c r="F81" s="29" t="s">
        <v>462</v>
      </c>
      <c r="G81" s="20" t="str">
        <f>SUBSTITUTE(SUBSTITUTE(SUBSTITUTE(O81,"/@","_"),"/cac:","_"),"/cbc:","_")</f>
        <v>Invoice_AccountingCustomerParty_Party_PartyIdentification_ID</v>
      </c>
      <c r="H81" s="19" t="s">
        <v>262</v>
      </c>
      <c r="I81" s="19"/>
      <c r="J81" s="19" t="s">
        <v>263</v>
      </c>
      <c r="K81" s="20"/>
      <c r="L81" s="25" t="s">
        <v>228</v>
      </c>
      <c r="M81" s="27" t="s">
        <v>165</v>
      </c>
      <c r="N81" s="26" t="str">
        <f>IF(O81="","",LEN(O81)-LEN(SUBSTITUTE(O81,"/",""))+IF(ISNUMBER(SEARCH("@",O81)),0,1))</f>
        <v>5</v>
      </c>
      <c r="O81" s="26" t="s">
        <v>463</v>
      </c>
      <c r="P81" s="20"/>
      <c r="Q81" s="20"/>
      <c r="R81" s="20"/>
      <c r="S81" s="20"/>
      <c r="T81" s="20"/>
      <c r="U81" s="25" t="s">
        <v>67</v>
      </c>
      <c r="V81" s="20" t="s">
        <v>68</v>
      </c>
      <c r="W81" s="20" t="str">
        <f>IF(ISBLANK(O81),"是","否")</f>
        <v>否</v>
      </c>
      <c r="X81" s="20"/>
      <c r="Y81" s="25"/>
      <c r="Z81" s="25"/>
      <c r="AC81" s="20" t="s">
        <v>76</v>
      </c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</row>
    <row r="82" ht="39.879699248120296" customHeight="1" spans="1:52" x14ac:dyDescent="0.25">
      <c r="A82" s="19" t="s">
        <v>255</v>
      </c>
      <c r="B82" s="20" t="s">
        <v>57</v>
      </c>
      <c r="C82" s="21"/>
      <c r="D82" s="22"/>
      <c r="E82" s="21" t="s">
        <v>265</v>
      </c>
      <c r="F82" s="29" t="s">
        <v>464</v>
      </c>
      <c r="G82" s="20" t="str">
        <f>SUBSTITUTE(SUBSTITUTE(SUBSTITUTE(O82,"/@","_"),"/cac:","_"),"/cbc:","_")</f>
        <v>Invoice_AccountingCustomerParty_Party_PartyIdentification_ID_schemeID</v>
      </c>
      <c r="H82" s="19" t="s">
        <v>267</v>
      </c>
      <c r="I82" s="19"/>
      <c r="J82" s="19" t="s">
        <v>263</v>
      </c>
      <c r="K82" s="20"/>
      <c r="L82" s="25" t="s">
        <v>243</v>
      </c>
      <c r="M82" s="27" t="s">
        <v>165</v>
      </c>
      <c r="N82" s="26" t="str">
        <f>IF(O82="","",LEN(O82)-LEN(SUBSTITUTE(O82,"/",""))+IF(ISNUMBER(SEARCH("@",O82)),0,1))</f>
        <v>5</v>
      </c>
      <c r="O82" s="26" t="s">
        <v>465</v>
      </c>
      <c r="P82" s="20"/>
      <c r="Q82" s="20"/>
      <c r="R82" s="20"/>
      <c r="S82" s="20"/>
      <c r="T82" s="20"/>
      <c r="U82" s="25" t="s">
        <v>67</v>
      </c>
      <c r="V82" s="20" t="s">
        <v>68</v>
      </c>
      <c r="W82" s="20" t="str">
        <f>IF(ISBLANK(O82),"是","否")</f>
        <v>否</v>
      </c>
      <c r="X82" s="20"/>
      <c r="Y82" s="25"/>
      <c r="Z82" s="25"/>
      <c r="AC82" s="20" t="s">
        <v>76</v>
      </c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</row>
    <row r="83" ht="29.59398496240601" customHeight="1" spans="1:52" x14ac:dyDescent="0.25">
      <c r="A83" s="19" t="s">
        <v>230</v>
      </c>
      <c r="B83" s="20" t="s">
        <v>57</v>
      </c>
      <c r="C83" s="21"/>
      <c r="D83" s="22"/>
      <c r="E83" s="21" t="s">
        <v>466</v>
      </c>
      <c r="F83" s="29" t="s">
        <v>467</v>
      </c>
      <c r="G83" s="20" t="str">
        <f>SUBSTITUTE(SUBSTITUTE(SUBSTITUTE(O83,"/@","_"),"/cac:","_"),"/cbc:","_")</f>
        <v>Invoice_AccountingCustomerParty_Party_PostalAddress</v>
      </c>
      <c r="H83" s="19" t="s">
        <v>279</v>
      </c>
      <c r="I83" s="19"/>
      <c r="J83" s="19" t="s">
        <v>280</v>
      </c>
      <c r="K83" s="20"/>
      <c r="L83" s="25" t="s">
        <v>220</v>
      </c>
      <c r="M83" s="27" t="s">
        <v>64</v>
      </c>
      <c r="N83" s="26" t="str">
        <f>IF(O83="","",LEN(O83)-LEN(SUBSTITUTE(O83,"/",""))+IF(ISNUMBER(SEARCH("@",O83)),0,1))</f>
        <v>4</v>
      </c>
      <c r="O83" s="26" t="s">
        <v>468</v>
      </c>
      <c r="P83" s="20"/>
      <c r="Q83" s="20"/>
      <c r="R83" s="20"/>
      <c r="S83" s="20"/>
      <c r="T83" s="20"/>
      <c r="U83" s="25" t="s">
        <v>67</v>
      </c>
      <c r="V83" s="20" t="s">
        <v>222</v>
      </c>
      <c r="W83" s="20" t="str">
        <f>IF(ISBLANK(O83),"是","否")</f>
        <v>否</v>
      </c>
      <c r="X83" s="20"/>
      <c r="Y83" s="25"/>
      <c r="Z83" s="25"/>
      <c r="AC83" s="20" t="s">
        <v>76</v>
      </c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</row>
    <row r="84" ht="29.59398496240601" customHeight="1" spans="1:52" x14ac:dyDescent="0.25">
      <c r="A84" s="19" t="s">
        <v>282</v>
      </c>
      <c r="B84" s="20" t="s">
        <v>57</v>
      </c>
      <c r="C84" s="21"/>
      <c r="D84" s="22"/>
      <c r="E84" s="21" t="s">
        <v>469</v>
      </c>
      <c r="F84" s="29" t="s">
        <v>470</v>
      </c>
      <c r="G84" s="20" t="str">
        <f>SUBSTITUTE(SUBSTITUTE(SUBSTITUTE(O84,"/@","_"),"/cac:","_"),"/cbc:","_")</f>
        <v>Invoice_AccountingCustomerParty_Party_PostalAddress_Postbox</v>
      </c>
      <c r="H84" s="19" t="s">
        <v>471</v>
      </c>
      <c r="I84" s="19" t="s">
        <v>472</v>
      </c>
      <c r="J84" s="19" t="s">
        <v>473</v>
      </c>
      <c r="K84" s="20"/>
      <c r="L84" s="25" t="s">
        <v>228</v>
      </c>
      <c r="M84" s="27" t="s">
        <v>64</v>
      </c>
      <c r="N84" s="26" t="str">
        <f>IF(O84="","",LEN(O84)-LEN(SUBSTITUTE(O84,"/",""))+IF(ISNUMBER(SEARCH("@",O84)),0,1))</f>
        <v>5</v>
      </c>
      <c r="O84" s="26" t="s">
        <v>474</v>
      </c>
      <c r="P84" s="20"/>
      <c r="Q84" s="20"/>
      <c r="R84" s="20"/>
      <c r="S84" s="20" t="s">
        <v>475</v>
      </c>
      <c r="T84" s="20"/>
      <c r="U84" s="25" t="s">
        <v>67</v>
      </c>
      <c r="V84" s="20" t="s">
        <v>68</v>
      </c>
      <c r="W84" s="20" t="str">
        <f>IF(ISBLANK(O84),"是","否")</f>
        <v>否</v>
      </c>
      <c r="X84" s="20"/>
      <c r="Y84" s="25"/>
      <c r="Z84" s="25"/>
      <c r="AC84" s="20" t="s">
        <v>76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</row>
    <row r="85" ht="39.879699248120296" customHeight="1" spans="1:52" x14ac:dyDescent="0.25">
      <c r="A85" s="19" t="s">
        <v>282</v>
      </c>
      <c r="B85" s="20" t="s">
        <v>57</v>
      </c>
      <c r="C85" s="21"/>
      <c r="D85" s="22"/>
      <c r="E85" s="21" t="s">
        <v>283</v>
      </c>
      <c r="F85" s="29" t="s">
        <v>476</v>
      </c>
      <c r="G85" s="20" t="str">
        <f>SUBSTITUTE(SUBSTITUTE(SUBSTITUTE(O85,"/@","_"),"/cac:","_"),"/cbc:","_")</f>
        <v>Invoice_AccountingCustomerParty_Party_PostalAddress_StreetName</v>
      </c>
      <c r="H85" s="19" t="s">
        <v>285</v>
      </c>
      <c r="I85" s="19" t="s">
        <v>286</v>
      </c>
      <c r="J85" s="19" t="s">
        <v>287</v>
      </c>
      <c r="K85" s="20"/>
      <c r="L85" s="25" t="s">
        <v>228</v>
      </c>
      <c r="M85" s="27" t="s">
        <v>64</v>
      </c>
      <c r="N85" s="26" t="str">
        <f>IF(O85="","",LEN(O85)-LEN(SUBSTITUTE(O85,"/",""))+IF(ISNUMBER(SEARCH("@",O85)),0,1))</f>
        <v>5</v>
      </c>
      <c r="O85" s="26" t="s">
        <v>477</v>
      </c>
      <c r="P85" s="20"/>
      <c r="Q85" s="20"/>
      <c r="R85" s="20"/>
      <c r="S85" s="20" t="s">
        <v>289</v>
      </c>
      <c r="T85" s="20"/>
      <c r="U85" s="25" t="s">
        <v>67</v>
      </c>
      <c r="V85" s="20" t="s">
        <v>68</v>
      </c>
      <c r="W85" s="20" t="str">
        <f>IF(ISBLANK(O85),"是","否")</f>
        <v>否</v>
      </c>
      <c r="X85" s="20"/>
      <c r="Y85" s="25"/>
      <c r="Z85" s="25"/>
      <c r="AC85" s="20" t="s">
        <v>76</v>
      </c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</row>
    <row r="86" ht="39.879699248120296" customHeight="1" spans="1:52" x14ac:dyDescent="0.25">
      <c r="A86" s="19" t="s">
        <v>282</v>
      </c>
      <c r="B86" s="20" t="s">
        <v>57</v>
      </c>
      <c r="C86" s="21"/>
      <c r="D86" s="22"/>
      <c r="E86" s="21" t="s">
        <v>478</v>
      </c>
      <c r="F86" s="29" t="s">
        <v>479</v>
      </c>
      <c r="G86" s="20" t="str">
        <f>SUBSTITUTE(SUBSTITUTE(SUBSTITUTE(O86,"/@","_"),"/cac:","_"),"/cbc:","_")</f>
        <v>Invoice_AccountingCustomerParty_Party_PostalAddress_AdditionalStreetName</v>
      </c>
      <c r="H86" s="19" t="s">
        <v>480</v>
      </c>
      <c r="I86" s="19" t="s">
        <v>286</v>
      </c>
      <c r="J86" s="19" t="s">
        <v>481</v>
      </c>
      <c r="K86" s="20"/>
      <c r="L86" s="25" t="s">
        <v>228</v>
      </c>
      <c r="M86" s="27" t="s">
        <v>64</v>
      </c>
      <c r="N86" s="26" t="str">
        <f>IF(O86="","",LEN(O86)-LEN(SUBSTITUTE(O86,"/",""))+IF(ISNUMBER(SEARCH("@",O86)),0,1))</f>
        <v>5</v>
      </c>
      <c r="O86" s="26" t="s">
        <v>482</v>
      </c>
      <c r="P86" s="20"/>
      <c r="Q86" s="20"/>
      <c r="R86" s="20"/>
      <c r="S86" s="20" t="s">
        <v>483</v>
      </c>
      <c r="T86" s="20"/>
      <c r="U86" s="25" t="s">
        <v>67</v>
      </c>
      <c r="V86" s="20" t="s">
        <v>68</v>
      </c>
      <c r="W86" s="20" t="str">
        <f>IF(ISBLANK(O86),"是","否")</f>
        <v>否</v>
      </c>
      <c r="X86" s="20"/>
      <c r="Y86" s="25"/>
      <c r="Z86" s="25"/>
      <c r="AC86" s="20" t="s">
        <v>76</v>
      </c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</row>
    <row r="87" ht="39.879699248120296" customHeight="1" spans="1:52" x14ac:dyDescent="0.25">
      <c r="A87" s="19" t="s">
        <v>282</v>
      </c>
      <c r="B87" s="20" t="s">
        <v>57</v>
      </c>
      <c r="C87" s="21"/>
      <c r="D87" s="22"/>
      <c r="E87" s="21" t="s">
        <v>484</v>
      </c>
      <c r="F87" s="29" t="s">
        <v>485</v>
      </c>
      <c r="G87" s="20" t="str">
        <f>SUBSTITUTE(SUBSTITUTE(SUBSTITUTE(O87,"/@","_"),"/cac:","_"),"/cbc:","_")</f>
        <v>Invoice_AccountingCustomerParty_Party_PostalAddress_BuildingNumber</v>
      </c>
      <c r="H87" s="19" t="s">
        <v>486</v>
      </c>
      <c r="I87" s="19" t="s">
        <v>487</v>
      </c>
      <c r="J87" s="19" t="s">
        <v>488</v>
      </c>
      <c r="K87" s="20"/>
      <c r="L87" s="25" t="s">
        <v>228</v>
      </c>
      <c r="M87" s="27" t="s">
        <v>64</v>
      </c>
      <c r="N87" s="26" t="str">
        <f>IF(O87="","",LEN(O87)-LEN(SUBSTITUTE(O87,"/",""))+IF(ISNUMBER(SEARCH("@",O87)),0,1))</f>
        <v>5</v>
      </c>
      <c r="O87" s="26" t="s">
        <v>489</v>
      </c>
      <c r="P87" s="20"/>
      <c r="Q87" s="20"/>
      <c r="R87" s="20"/>
      <c r="S87" s="20" t="s">
        <v>490</v>
      </c>
      <c r="T87" s="20"/>
      <c r="U87" s="25" t="s">
        <v>67</v>
      </c>
      <c r="V87" s="20" t="s">
        <v>68</v>
      </c>
      <c r="W87" s="20" t="str">
        <f>IF(ISBLANK(O87),"是","否")</f>
        <v>否</v>
      </c>
      <c r="X87" s="20"/>
      <c r="Y87" s="25"/>
      <c r="Z87" s="25"/>
      <c r="AC87" s="20" t="s">
        <v>76</v>
      </c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</row>
    <row r="88" ht="39.879699248120296" customHeight="1" spans="1:52" x14ac:dyDescent="0.25">
      <c r="A88" s="19" t="s">
        <v>282</v>
      </c>
      <c r="B88" s="20" t="s">
        <v>57</v>
      </c>
      <c r="C88" s="21"/>
      <c r="D88" s="22"/>
      <c r="E88" s="21" t="s">
        <v>491</v>
      </c>
      <c r="F88" s="29" t="s">
        <v>492</v>
      </c>
      <c r="G88" s="20" t="str">
        <f>SUBSTITUTE(SUBSTITUTE(SUBSTITUTE(O88,"/@","_"),"/cac:","_"),"/cbc:","_")</f>
        <v>Invoice_AccountingCustomerParty_Party_PostalAddress_Department</v>
      </c>
      <c r="H88" s="19" t="s">
        <v>493</v>
      </c>
      <c r="I88" s="19" t="s">
        <v>491</v>
      </c>
      <c r="J88" s="19" t="s">
        <v>494</v>
      </c>
      <c r="K88" s="20"/>
      <c r="L88" s="25" t="s">
        <v>228</v>
      </c>
      <c r="M88" s="27" t="s">
        <v>64</v>
      </c>
      <c r="N88" s="26" t="str">
        <f>IF(O88="","",LEN(O88)-LEN(SUBSTITUTE(O88,"/",""))+IF(ISNUMBER(SEARCH("@",O88)),0,1))</f>
        <v>5</v>
      </c>
      <c r="O88" s="26" t="s">
        <v>495</v>
      </c>
      <c r="P88" s="20"/>
      <c r="Q88" s="20"/>
      <c r="R88" s="20"/>
      <c r="S88" s="20" t="s">
        <v>496</v>
      </c>
      <c r="T88" s="20"/>
      <c r="U88" s="25" t="s">
        <v>67</v>
      </c>
      <c r="V88" s="20" t="s">
        <v>68</v>
      </c>
      <c r="W88" s="20" t="str">
        <f>IF(ISBLANK(O88),"是","否")</f>
        <v>否</v>
      </c>
      <c r="X88" s="20"/>
      <c r="Y88" s="25"/>
      <c r="Z88" s="25"/>
      <c r="AC88" s="20" t="s">
        <v>76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</row>
    <row r="89" ht="39.879699248120296" customHeight="1" spans="1:52" x14ac:dyDescent="0.25">
      <c r="A89" s="19" t="s">
        <v>282</v>
      </c>
      <c r="B89" s="20" t="s">
        <v>57</v>
      </c>
      <c r="C89" s="21"/>
      <c r="D89" s="22"/>
      <c r="E89" s="21" t="s">
        <v>497</v>
      </c>
      <c r="F89" s="29" t="s">
        <v>498</v>
      </c>
      <c r="G89" s="20" t="str">
        <f>SUBSTITUTE(SUBSTITUTE(SUBSTITUTE(O89,"/@","_"),"/cac:","_"),"/cbc:","_")</f>
        <v>Invoice_AccountingCustomerParty_Party_PostalAddress_PlotIdentification</v>
      </c>
      <c r="H89" s="19" t="s">
        <v>499</v>
      </c>
      <c r="I89" s="19"/>
      <c r="J89" s="19" t="s">
        <v>500</v>
      </c>
      <c r="K89" s="20"/>
      <c r="L89" s="25" t="s">
        <v>228</v>
      </c>
      <c r="M89" s="27" t="s">
        <v>64</v>
      </c>
      <c r="N89" s="26" t="str">
        <f>IF(O89="","",LEN(O89)-LEN(SUBSTITUTE(O89,"/",""))+IF(ISNUMBER(SEARCH("@",O89)),0,1))</f>
        <v>5</v>
      </c>
      <c r="O89" s="26" t="s">
        <v>501</v>
      </c>
      <c r="P89" s="20"/>
      <c r="Q89" s="20"/>
      <c r="R89" s="20"/>
      <c r="S89" s="20"/>
      <c r="T89" s="20"/>
      <c r="U89" s="25" t="s">
        <v>67</v>
      </c>
      <c r="V89" s="20" t="s">
        <v>68</v>
      </c>
      <c r="W89" s="20" t="str">
        <f>IF(ISBLANK(O89),"是","否")</f>
        <v>否</v>
      </c>
      <c r="X89" s="20"/>
      <c r="Y89" s="25"/>
      <c r="Z89" s="25"/>
      <c r="AC89" s="20" t="s">
        <v>76</v>
      </c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</row>
    <row r="90" ht="39.879699248120296" customHeight="1" spans="1:52" x14ac:dyDescent="0.25">
      <c r="A90" s="19" t="s">
        <v>282</v>
      </c>
      <c r="B90" s="20" t="s">
        <v>57</v>
      </c>
      <c r="C90" s="21"/>
      <c r="D90" s="22"/>
      <c r="E90" s="21" t="s">
        <v>502</v>
      </c>
      <c r="F90" s="29" t="s">
        <v>503</v>
      </c>
      <c r="G90" s="20" t="str">
        <f>SUBSTITUTE(SUBSTITUTE(SUBSTITUTE(O90,"/@","_"),"/cac:","_"),"/cbc:","_")</f>
        <v>Invoice_AccountingCustomerParty_Party_PostalAddress_CitySubdivisionName</v>
      </c>
      <c r="H90" s="19" t="s">
        <v>504</v>
      </c>
      <c r="I90" s="19"/>
      <c r="J90" s="19" t="s">
        <v>505</v>
      </c>
      <c r="K90" s="20"/>
      <c r="L90" s="25" t="s">
        <v>228</v>
      </c>
      <c r="M90" s="27" t="s">
        <v>64</v>
      </c>
      <c r="N90" s="26" t="str">
        <f>IF(O90="","",LEN(O90)-LEN(SUBSTITUTE(O90,"/",""))+IF(ISNUMBER(SEARCH("@",O90)),0,1))</f>
        <v>5</v>
      </c>
      <c r="O90" s="26" t="s">
        <v>506</v>
      </c>
      <c r="P90" s="20"/>
      <c r="Q90" s="20"/>
      <c r="R90" s="20"/>
      <c r="S90" s="20"/>
      <c r="T90" s="20"/>
      <c r="U90" s="25" t="s">
        <v>67</v>
      </c>
      <c r="V90" s="20" t="s">
        <v>68</v>
      </c>
      <c r="W90" s="20" t="str">
        <f>IF(ISBLANK(O90),"是","否")</f>
        <v>否</v>
      </c>
      <c r="X90" s="20"/>
      <c r="Y90" s="25"/>
      <c r="Z90" s="25"/>
      <c r="AC90" s="20" t="s">
        <v>76</v>
      </c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</row>
    <row r="91" ht="29.59398496240601" customHeight="1" spans="1:52" x14ac:dyDescent="0.25">
      <c r="A91" s="19" t="s">
        <v>282</v>
      </c>
      <c r="B91" s="20" t="s">
        <v>57</v>
      </c>
      <c r="C91" s="21"/>
      <c r="D91" s="22"/>
      <c r="E91" s="21" t="s">
        <v>290</v>
      </c>
      <c r="F91" s="29" t="s">
        <v>507</v>
      </c>
      <c r="G91" s="20" t="str">
        <f>SUBSTITUTE(SUBSTITUTE(SUBSTITUTE(O91,"/@","_"),"/cac:","_"),"/cbc:","_")</f>
        <v>Invoice_AccountingCustomerParty_Party_PostalAddress_CityName</v>
      </c>
      <c r="H91" s="19" t="s">
        <v>292</v>
      </c>
      <c r="I91" s="19" t="s">
        <v>293</v>
      </c>
      <c r="J91" s="19" t="s">
        <v>294</v>
      </c>
      <c r="K91" s="20"/>
      <c r="L91" s="25" t="s">
        <v>228</v>
      </c>
      <c r="M91" s="27" t="s">
        <v>64</v>
      </c>
      <c r="N91" s="26" t="str">
        <f>IF(O91="","",LEN(O91)-LEN(SUBSTITUTE(O91,"/",""))+IF(ISNUMBER(SEARCH("@",O91)),0,1))</f>
        <v>5</v>
      </c>
      <c r="O91" s="26" t="s">
        <v>508</v>
      </c>
      <c r="P91" s="20"/>
      <c r="Q91" s="20"/>
      <c r="R91" s="20"/>
      <c r="S91" s="20" t="s">
        <v>296</v>
      </c>
      <c r="T91" s="20"/>
      <c r="U91" s="25" t="s">
        <v>67</v>
      </c>
      <c r="V91" s="20" t="s">
        <v>68</v>
      </c>
      <c r="W91" s="20" t="str">
        <f>IF(ISBLANK(O91),"是","否")</f>
        <v>否</v>
      </c>
      <c r="X91" s="20"/>
      <c r="Y91" s="25"/>
      <c r="Z91" s="25"/>
      <c r="AC91" s="20" t="s">
        <v>76</v>
      </c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</row>
    <row r="92" ht="39.879699248120296" customHeight="1" spans="1:52" x14ac:dyDescent="0.25">
      <c r="A92" s="19" t="s">
        <v>282</v>
      </c>
      <c r="B92" s="20" t="s">
        <v>57</v>
      </c>
      <c r="C92" s="21"/>
      <c r="D92" s="22"/>
      <c r="E92" s="21" t="s">
        <v>309</v>
      </c>
      <c r="F92" s="29" t="s">
        <v>509</v>
      </c>
      <c r="G92" s="20" t="str">
        <f>SUBSTITUTE(SUBSTITUTE(SUBSTITUTE(O92,"/@","_"),"/cac:","_"),"/cbc:","_")</f>
        <v>Invoice_AccountingCustomerParty_Party_PostalAddress_PostalZone</v>
      </c>
      <c r="H92" s="19" t="s">
        <v>311</v>
      </c>
      <c r="I92" s="19" t="s">
        <v>312</v>
      </c>
      <c r="J92" s="19" t="s">
        <v>313</v>
      </c>
      <c r="K92" s="20"/>
      <c r="L92" s="25" t="s">
        <v>228</v>
      </c>
      <c r="M92" s="27" t="s">
        <v>64</v>
      </c>
      <c r="N92" s="26" t="str">
        <f>IF(O92="","",LEN(O92)-LEN(SUBSTITUTE(O92,"/",""))+IF(ISNUMBER(SEARCH("@",O92)),0,1))</f>
        <v>5</v>
      </c>
      <c r="O92" s="26" t="s">
        <v>510</v>
      </c>
      <c r="P92" s="20"/>
      <c r="Q92" s="20"/>
      <c r="R92" s="20"/>
      <c r="S92" s="20" t="s">
        <v>315</v>
      </c>
      <c r="T92" s="20"/>
      <c r="U92" s="25" t="s">
        <v>67</v>
      </c>
      <c r="V92" s="20" t="s">
        <v>68</v>
      </c>
      <c r="W92" s="20" t="str">
        <f>IF(ISBLANK(O92),"是","否")</f>
        <v>否</v>
      </c>
      <c r="X92" s="20"/>
      <c r="Y92" s="25"/>
      <c r="Z92" s="25"/>
      <c r="AC92" s="20" t="s">
        <v>76</v>
      </c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</row>
    <row r="93" ht="39.879699248120296" customHeight="1" spans="1:52" x14ac:dyDescent="0.25">
      <c r="A93" s="19" t="s">
        <v>282</v>
      </c>
      <c r="B93" s="20" t="s">
        <v>57</v>
      </c>
      <c r="C93" s="21"/>
      <c r="D93" s="22"/>
      <c r="E93" s="21" t="s">
        <v>297</v>
      </c>
      <c r="F93" s="29" t="s">
        <v>511</v>
      </c>
      <c r="G93" s="20" t="str">
        <f>SUBSTITUTE(SUBSTITUTE(SUBSTITUTE(O93,"/@","_"),"/cac:","_"),"/cbc:","_")</f>
        <v>Invoice_AccountingCustomerParty_Party_PostalAddress_CountrySubentity</v>
      </c>
      <c r="H93" s="19" t="s">
        <v>299</v>
      </c>
      <c r="I93" s="19" t="s">
        <v>300</v>
      </c>
      <c r="J93" s="19" t="s">
        <v>301</v>
      </c>
      <c r="K93" s="20"/>
      <c r="L93" s="25" t="s">
        <v>243</v>
      </c>
      <c r="M93" s="27" t="s">
        <v>64</v>
      </c>
      <c r="N93" s="26" t="str">
        <f>IF(O93="","",LEN(O93)-LEN(SUBSTITUTE(O93,"/",""))+IF(ISNUMBER(SEARCH("@",O93)),0,1))</f>
        <v>5</v>
      </c>
      <c r="O93" s="26" t="s">
        <v>512</v>
      </c>
      <c r="P93" s="20"/>
      <c r="Q93" s="20"/>
      <c r="R93" s="20"/>
      <c r="S93" s="20" t="s">
        <v>303</v>
      </c>
      <c r="T93" s="20"/>
      <c r="U93" s="25" t="s">
        <v>67</v>
      </c>
      <c r="V93" s="20" t="s">
        <v>68</v>
      </c>
      <c r="W93" s="20" t="str">
        <f>IF(ISBLANK(O93),"是","否")</f>
        <v>否</v>
      </c>
      <c r="X93" s="20"/>
      <c r="Y93" s="25"/>
      <c r="Z93" s="25"/>
      <c r="AC93" s="20" t="s">
        <v>76</v>
      </c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</row>
    <row r="94" ht="39.879699248120296" customHeight="1" spans="1:52" x14ac:dyDescent="0.25">
      <c r="A94" s="19" t="s">
        <v>282</v>
      </c>
      <c r="B94" s="20" t="s">
        <v>57</v>
      </c>
      <c r="C94" s="21"/>
      <c r="D94" s="22"/>
      <c r="E94" s="21" t="s">
        <v>513</v>
      </c>
      <c r="F94" s="29" t="s">
        <v>514</v>
      </c>
      <c r="G94" s="20" t="str">
        <f>SUBSTITUTE(SUBSTITUTE(SUBSTITUTE(O94,"/@","_"),"/cac:","_"),"/cbc:","_")</f>
        <v>Invoice_AccountingSupplierParty_Party_PostalAddress_CountrySubentityCode</v>
      </c>
      <c r="H94" s="19" t="s">
        <v>299</v>
      </c>
      <c r="I94" s="19" t="s">
        <v>306</v>
      </c>
      <c r="J94" s="19" t="s">
        <v>307</v>
      </c>
      <c r="K94" s="20"/>
      <c r="L94" s="25" t="s">
        <v>243</v>
      </c>
      <c r="M94" s="27" t="s">
        <v>64</v>
      </c>
      <c r="N94" s="26" t="str">
        <f>IF(O94="","",LEN(O94)-LEN(SUBSTITUTE(O94,"/",""))+IF(ISNUMBER(SEARCH("@",O94)),0,1))</f>
        <v>5</v>
      </c>
      <c r="O94" s="26" t="s">
        <v>308</v>
      </c>
      <c r="P94" s="20"/>
      <c r="Q94" s="20"/>
      <c r="R94" s="20"/>
      <c r="S94" s="20"/>
      <c r="T94" s="20"/>
      <c r="U94" s="25" t="s">
        <v>67</v>
      </c>
      <c r="V94" s="20" t="s">
        <v>68</v>
      </c>
      <c r="W94" s="20" t="str">
        <f>IF(ISBLANK(O94),"是","否")</f>
        <v>否</v>
      </c>
      <c r="X94" s="20"/>
      <c r="Y94" s="25"/>
      <c r="Z94" s="25"/>
      <c r="AC94" s="20" t="s">
        <v>76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</row>
    <row r="95" ht="39.879699248120296" customHeight="1" spans="1:52" x14ac:dyDescent="0.25">
      <c r="A95" s="19" t="s">
        <v>282</v>
      </c>
      <c r="B95" s="20" t="s">
        <v>57</v>
      </c>
      <c r="C95" s="21"/>
      <c r="D95" s="22"/>
      <c r="E95" s="21" t="s">
        <v>316</v>
      </c>
      <c r="F95" s="29" t="s">
        <v>515</v>
      </c>
      <c r="G95" s="20" t="str">
        <f>SUBSTITUTE(SUBSTITUTE(SUBSTITUTE(O95,"/@","_"),"/cac:","_"),"/cbc:","_")</f>
        <v>Invoice_AccountingCustomerParty_Party_PostalAddress_AddressLine</v>
      </c>
      <c r="H95" s="19" t="s">
        <v>318</v>
      </c>
      <c r="I95" s="19"/>
      <c r="J95" s="19" t="s">
        <v>319</v>
      </c>
      <c r="K95" s="20"/>
      <c r="L95" s="25" t="s">
        <v>220</v>
      </c>
      <c r="M95" s="27" t="s">
        <v>49</v>
      </c>
      <c r="N95" s="26" t="str">
        <f>IF(O95="","",LEN(O95)-LEN(SUBSTITUTE(O95,"/",""))+IF(ISNUMBER(SEARCH("@",O95)),0,1))</f>
        <v>5</v>
      </c>
      <c r="O95" s="26" t="s">
        <v>516</v>
      </c>
      <c r="P95" s="20"/>
      <c r="Q95" s="20"/>
      <c r="R95" s="20"/>
      <c r="S95" s="20"/>
      <c r="T95" s="20"/>
      <c r="U95" s="25" t="s">
        <v>67</v>
      </c>
      <c r="V95" s="20" t="s">
        <v>222</v>
      </c>
      <c r="W95" s="20" t="str">
        <f>IF(ISBLANK(O95),"是","否")</f>
        <v>否</v>
      </c>
      <c r="X95" s="20"/>
      <c r="Y95" s="25"/>
      <c r="Z95" s="25"/>
      <c r="AC95" s="20" t="s">
        <v>76</v>
      </c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</row>
    <row r="96" ht="39.879699248120296" customHeight="1" spans="1:52" x14ac:dyDescent="0.25">
      <c r="A96" s="19" t="s">
        <v>316</v>
      </c>
      <c r="B96" s="20" t="s">
        <v>57</v>
      </c>
      <c r="C96" s="21"/>
      <c r="D96" s="22"/>
      <c r="E96" s="21" t="s">
        <v>321</v>
      </c>
      <c r="F96" s="29" t="s">
        <v>517</v>
      </c>
      <c r="G96" s="20" t="str">
        <f>SUBSTITUTE(SUBSTITUTE(SUBSTITUTE(O96,"/@","_"),"/cac:","_"),"/cbc:","_")</f>
        <v>Invoice_AccountingCustomerParty_Party_PostalAddress_AddressLine_Line</v>
      </c>
      <c r="H96" s="19" t="s">
        <v>323</v>
      </c>
      <c r="I96" s="19"/>
      <c r="J96" s="19" t="s">
        <v>324</v>
      </c>
      <c r="K96" s="20"/>
      <c r="L96" s="25" t="s">
        <v>325</v>
      </c>
      <c r="M96" s="27" t="s">
        <v>165</v>
      </c>
      <c r="N96" s="26" t="str">
        <f>IF(O96="","",LEN(O96)-LEN(SUBSTITUTE(O96,"/",""))+IF(ISNUMBER(SEARCH("@",O96)),0,1))</f>
        <v>6</v>
      </c>
      <c r="O96" s="26" t="s">
        <v>518</v>
      </c>
      <c r="P96" s="20"/>
      <c r="Q96" s="20"/>
      <c r="R96" s="20"/>
      <c r="S96" s="20" t="s">
        <v>327</v>
      </c>
      <c r="T96" s="20"/>
      <c r="U96" s="25" t="s">
        <v>67</v>
      </c>
      <c r="V96" s="20" t="s">
        <v>68</v>
      </c>
      <c r="W96" s="20" t="str">
        <f>IF(ISBLANK(O96),"是","否")</f>
        <v>否</v>
      </c>
      <c r="X96" s="20"/>
      <c r="Y96" s="25"/>
      <c r="Z96" s="25"/>
      <c r="AC96" s="20" t="s">
        <v>76</v>
      </c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 ht="39.879699248120296" customHeight="1" spans="1:52" x14ac:dyDescent="0.25">
      <c r="A97" s="19" t="s">
        <v>328</v>
      </c>
      <c r="B97" s="20" t="s">
        <v>57</v>
      </c>
      <c r="C97" s="21"/>
      <c r="D97" s="22"/>
      <c r="E97" s="21" t="s">
        <v>519</v>
      </c>
      <c r="F97" s="29" t="s">
        <v>520</v>
      </c>
      <c r="G97" s="20" t="str">
        <f>SUBSTITUTE(SUBSTITUTE(SUBSTITUTE(O97,"/@","_"),"/cac:","_"),"/cbc:","_")</f>
        <v>Invoice_AccountingCustomerParty_Party_PostalAddress_Country_IdentificationCode</v>
      </c>
      <c r="H97" s="19" t="s">
        <v>335</v>
      </c>
      <c r="I97" s="19"/>
      <c r="J97" s="19" t="s">
        <v>336</v>
      </c>
      <c r="K97" s="20"/>
      <c r="L97" s="25" t="s">
        <v>243</v>
      </c>
      <c r="M97" s="27" t="s">
        <v>64</v>
      </c>
      <c r="N97" s="26" t="str">
        <f>IF(O97="","",LEN(O97)-LEN(SUBSTITUTE(O97,"/",""))+IF(ISNUMBER(SEARCH("@",O97)),0,1))</f>
        <v>6</v>
      </c>
      <c r="O97" s="26" t="s">
        <v>521</v>
      </c>
      <c r="P97" s="20"/>
      <c r="Q97" s="20"/>
      <c r="R97" s="20"/>
      <c r="S97" s="20"/>
      <c r="T97" s="20"/>
      <c r="U97" s="25" t="s">
        <v>67</v>
      </c>
      <c r="V97" s="20" t="s">
        <v>68</v>
      </c>
      <c r="W97" s="20" t="str">
        <f>IF(ISBLANK(O97),"是","否")</f>
        <v>否</v>
      </c>
      <c r="X97" s="20"/>
      <c r="Y97" s="25"/>
      <c r="Z97" s="25"/>
      <c r="AC97" s="20" t="s">
        <v>76</v>
      </c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ht="39.879699248120296" customHeight="1" spans="1:52" x14ac:dyDescent="0.25">
      <c r="A98" s="19" t="s">
        <v>328</v>
      </c>
      <c r="B98" s="20" t="s">
        <v>57</v>
      </c>
      <c r="C98" s="21"/>
      <c r="D98" s="22"/>
      <c r="E98" s="21" t="s">
        <v>522</v>
      </c>
      <c r="F98" s="29" t="s">
        <v>523</v>
      </c>
      <c r="G98" s="20" t="str">
        <f>SUBSTITUTE(SUBSTITUTE(SUBSTITUTE(O98,"/@","_"),"/cac:","_"),"/cbc:","_")</f>
        <v>Invoice_AccountingCustomerParty_Party_PostalAddress_Country_Name</v>
      </c>
      <c r="H98" s="19" t="s">
        <v>340</v>
      </c>
      <c r="I98" s="19"/>
      <c r="J98" s="19" t="s">
        <v>341</v>
      </c>
      <c r="K98" s="20"/>
      <c r="L98" s="25" t="s">
        <v>243</v>
      </c>
      <c r="M98" s="27" t="s">
        <v>64</v>
      </c>
      <c r="N98" s="26" t="str">
        <f>IF(O98="","",LEN(O98)-LEN(SUBSTITUTE(O98,"/",""))+IF(ISNUMBER(SEARCH("@",O98)),0,1))</f>
        <v>6</v>
      </c>
      <c r="O98" s="26" t="s">
        <v>524</v>
      </c>
      <c r="P98" s="20"/>
      <c r="Q98" s="20"/>
      <c r="R98" s="20"/>
      <c r="S98" s="20" t="s">
        <v>343</v>
      </c>
      <c r="T98" s="20"/>
      <c r="U98" s="25" t="s">
        <v>67</v>
      </c>
      <c r="V98" s="20" t="s">
        <v>68</v>
      </c>
      <c r="W98" s="20" t="str">
        <f>IF(ISBLANK(O98),"是","否")</f>
        <v>否</v>
      </c>
      <c r="X98" s="20"/>
      <c r="Y98" s="25"/>
      <c r="Z98" s="25"/>
      <c r="AC98" s="20" t="s">
        <v>76</v>
      </c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</row>
    <row r="99" ht="29.59398496240601" customHeight="1" spans="1:52" x14ac:dyDescent="0.25">
      <c r="A99" s="19" t="s">
        <v>230</v>
      </c>
      <c r="B99" s="20" t="s">
        <v>57</v>
      </c>
      <c r="C99" s="21"/>
      <c r="D99" s="22"/>
      <c r="E99" s="21" t="s">
        <v>344</v>
      </c>
      <c r="F99" s="29" t="s">
        <v>525</v>
      </c>
      <c r="G99" s="20" t="str">
        <f>SUBSTITUTE(SUBSTITUTE(SUBSTITUTE(O99,"/@","_"),"/cac:","_"),"/cbc:","_")</f>
        <v>Invoice_AccountingCustomerParty_Party_PartyTaxScheme</v>
      </c>
      <c r="H99" s="19" t="s">
        <v>346</v>
      </c>
      <c r="I99" s="19"/>
      <c r="J99" s="19" t="s">
        <v>347</v>
      </c>
      <c r="K99" s="20"/>
      <c r="L99" s="25" t="s">
        <v>220</v>
      </c>
      <c r="M99" s="27" t="s">
        <v>49</v>
      </c>
      <c r="N99" s="26" t="str">
        <f>IF(O99="","",LEN(O99)-LEN(SUBSTITUTE(O99,"/",""))+IF(ISNUMBER(SEARCH("@",O99)),0,1))</f>
        <v>4</v>
      </c>
      <c r="O99" s="26" t="s">
        <v>526</v>
      </c>
      <c r="P99" s="20"/>
      <c r="Q99" s="20"/>
      <c r="R99" s="20"/>
      <c r="S99" s="20"/>
      <c r="T99" s="20"/>
      <c r="U99" s="25" t="s">
        <v>67</v>
      </c>
      <c r="V99" s="20" t="s">
        <v>222</v>
      </c>
      <c r="W99" s="20" t="str">
        <f>IF(ISBLANK(O99),"是","否")</f>
        <v>否</v>
      </c>
      <c r="X99" s="20"/>
      <c r="Y99" s="25"/>
      <c r="Z99" s="25"/>
      <c r="AC99" s="20" t="s">
        <v>76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</row>
    <row r="100" ht="60.45112781954887" customHeight="1" spans="1:52" x14ac:dyDescent="0.25">
      <c r="A100" s="19" t="s">
        <v>349</v>
      </c>
      <c r="B100" s="20" t="s">
        <v>57</v>
      </c>
      <c r="C100" s="21"/>
      <c r="D100" s="22"/>
      <c r="E100" s="21" t="s">
        <v>527</v>
      </c>
      <c r="F100" s="29" t="s">
        <v>528</v>
      </c>
      <c r="G100" s="20" t="str">
        <f>SUBSTITUTE(SUBSTITUTE(SUBSTITUTE(O100,"/@","_"),"/cac:","_"),"/cbc:","_")</f>
        <v>Invoice_AccountingCustomerParty_Party_PartyTaxScheme_TaxScheme_ID</v>
      </c>
      <c r="H100" s="19" t="s">
        <v>529</v>
      </c>
      <c r="I100" s="19"/>
      <c r="J100" s="19" t="s">
        <v>351</v>
      </c>
      <c r="K100" s="20"/>
      <c r="L100" s="25" t="s">
        <v>243</v>
      </c>
      <c r="M100" s="27" t="s">
        <v>64</v>
      </c>
      <c r="N100" s="26" t="str">
        <f>IF(O100="","",LEN(O100)-LEN(SUBSTITUTE(O100,"/",""))+IF(ISNUMBER(SEARCH("@",O100)),0,1))</f>
        <v>6</v>
      </c>
      <c r="O100" s="26" t="s">
        <v>530</v>
      </c>
      <c r="P100" s="20"/>
      <c r="Q100" s="20"/>
      <c r="R100" s="20"/>
      <c r="S100" s="20" t="s">
        <v>353</v>
      </c>
      <c r="T100" s="20"/>
      <c r="U100" s="25" t="s">
        <v>67</v>
      </c>
      <c r="V100" s="20" t="s">
        <v>68</v>
      </c>
      <c r="W100" s="20" t="str">
        <f>IF(ISBLANK(O100),"是","否")</f>
        <v>否</v>
      </c>
      <c r="X100" s="20"/>
      <c r="Y100" s="25"/>
      <c r="Z100" s="25"/>
      <c r="AC100" s="20" t="s">
        <v>76</v>
      </c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</row>
    <row r="101" ht="39.879699248120296" customHeight="1" spans="1:52" x14ac:dyDescent="0.25">
      <c r="A101" s="19" t="s">
        <v>344</v>
      </c>
      <c r="B101" s="20" t="s">
        <v>57</v>
      </c>
      <c r="C101" s="21"/>
      <c r="D101" s="22"/>
      <c r="E101" s="21" t="s">
        <v>531</v>
      </c>
      <c r="F101" s="29" t="s">
        <v>532</v>
      </c>
      <c r="G101" s="20" t="str">
        <f>SUBSTITUTE(SUBSTITUTE(SUBSTITUTE(O101,"/@","_"),"/cac:","_"),"/cbc:","_")</f>
        <v>Invoice_AccountingCustomerParty_Party_PartyTaxScheme_CompanyID</v>
      </c>
      <c r="H101" s="19" t="s">
        <v>533</v>
      </c>
      <c r="I101" s="19" t="s">
        <v>357</v>
      </c>
      <c r="J101" s="19" t="s">
        <v>358</v>
      </c>
      <c r="K101" s="20"/>
      <c r="L101" s="25" t="s">
        <v>228</v>
      </c>
      <c r="M101" s="27" t="s">
        <v>64</v>
      </c>
      <c r="N101" s="26" t="str">
        <f>IF(O101="","",LEN(O101)-LEN(SUBSTITUTE(O101,"/",""))+IF(ISNUMBER(SEARCH("@",O101)),0,1))</f>
        <v>5</v>
      </c>
      <c r="O101" s="26" t="s">
        <v>534</v>
      </c>
      <c r="P101" s="20"/>
      <c r="Q101" s="20"/>
      <c r="R101" s="20"/>
      <c r="S101" s="20" t="s">
        <v>360</v>
      </c>
      <c r="T101" s="20"/>
      <c r="U101" s="25" t="s">
        <v>67</v>
      </c>
      <c r="V101" s="20" t="s">
        <v>68</v>
      </c>
      <c r="W101" s="20" t="str">
        <f>IF(ISBLANK(O101),"是","否")</f>
        <v>否</v>
      </c>
      <c r="X101" s="20"/>
      <c r="Y101" s="25"/>
      <c r="Z101" s="25"/>
      <c r="AC101" s="20" t="s">
        <v>76</v>
      </c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</row>
    <row r="102" ht="29.59398496240601" customHeight="1" spans="1:52" x14ac:dyDescent="0.25">
      <c r="A102" s="19" t="s">
        <v>230</v>
      </c>
      <c r="B102" s="20" t="s">
        <v>57</v>
      </c>
      <c r="C102" s="21"/>
      <c r="D102" s="22"/>
      <c r="E102" s="21" t="s">
        <v>361</v>
      </c>
      <c r="F102" s="29" t="s">
        <v>535</v>
      </c>
      <c r="G102" s="20" t="str">
        <f>SUBSTITUTE(SUBSTITUTE(SUBSTITUTE(O102,"/@","_"),"/cac:","_"),"/cbc:","_")</f>
        <v>Invoice_AccountingCustomerParty_Party_PartyLegalEntity</v>
      </c>
      <c r="H102" s="19" t="s">
        <v>536</v>
      </c>
      <c r="I102" s="19"/>
      <c r="J102" s="19" t="s">
        <v>364</v>
      </c>
      <c r="K102" s="20"/>
      <c r="L102" s="25" t="s">
        <v>220</v>
      </c>
      <c r="M102" s="27" t="s">
        <v>49</v>
      </c>
      <c r="N102" s="26" t="str">
        <f>IF(O102="","",LEN(O102)-LEN(SUBSTITUTE(O102,"/",""))+IF(ISNUMBER(SEARCH("@",O102)),0,1))</f>
        <v>4</v>
      </c>
      <c r="O102" s="26" t="s">
        <v>537</v>
      </c>
      <c r="P102" s="20"/>
      <c r="Q102" s="20"/>
      <c r="R102" s="20"/>
      <c r="S102" s="20"/>
      <c r="T102" s="20"/>
      <c r="U102" s="25" t="s">
        <v>67</v>
      </c>
      <c r="V102" s="20" t="s">
        <v>222</v>
      </c>
      <c r="W102" s="20" t="str">
        <f>IF(ISBLANK(O102),"是","否")</f>
        <v>否</v>
      </c>
      <c r="X102" s="20"/>
      <c r="Y102" s="25"/>
      <c r="Z102" s="25"/>
      <c r="AC102" s="20" t="s">
        <v>76</v>
      </c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</row>
    <row r="103" ht="39.879699248120296" customHeight="1" spans="1:52" x14ac:dyDescent="0.25">
      <c r="A103" s="19" t="s">
        <v>366</v>
      </c>
      <c r="B103" s="20" t="s">
        <v>57</v>
      </c>
      <c r="C103" s="21"/>
      <c r="D103" s="22"/>
      <c r="E103" s="21" t="s">
        <v>367</v>
      </c>
      <c r="F103" s="29" t="s">
        <v>538</v>
      </c>
      <c r="G103" s="20" t="str">
        <f>SUBSTITUTE(SUBSTITUTE(SUBSTITUTE(O103,"/@","_"),"/cac:","_"),"/cbc:","_")</f>
        <v>Invoice_AccountingCustomerParty_Party_PartyLegalEntity_RegistrationName</v>
      </c>
      <c r="H103" s="19" t="s">
        <v>270</v>
      </c>
      <c r="I103" s="19"/>
      <c r="J103" s="19" t="s">
        <v>369</v>
      </c>
      <c r="K103" s="20"/>
      <c r="L103" s="25" t="s">
        <v>228</v>
      </c>
      <c r="M103" s="27" t="s">
        <v>64</v>
      </c>
      <c r="N103" s="26" t="str">
        <f>IF(O103="","",LEN(O103)-LEN(SUBSTITUTE(O103,"/",""))+IF(ISNUMBER(SEARCH("@",O103)),0,1))</f>
        <v>5</v>
      </c>
      <c r="O103" s="26" t="s">
        <v>539</v>
      </c>
      <c r="P103" s="20"/>
      <c r="Q103" s="20"/>
      <c r="R103" s="20"/>
      <c r="S103" s="20" t="s">
        <v>371</v>
      </c>
      <c r="T103" s="20"/>
      <c r="U103" s="25" t="s">
        <v>67</v>
      </c>
      <c r="V103" s="20" t="s">
        <v>68</v>
      </c>
      <c r="W103" s="20" t="str">
        <f>IF(ISBLANK(O103),"是","否")</f>
        <v>否</v>
      </c>
      <c r="X103" s="20"/>
      <c r="Y103" s="25"/>
      <c r="Z103" s="25"/>
      <c r="AC103" s="20" t="s">
        <v>76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</row>
    <row r="104" ht="39.879699248120296" customHeight="1" spans="1:52" x14ac:dyDescent="0.25">
      <c r="A104" s="19" t="s">
        <v>366</v>
      </c>
      <c r="B104" s="20" t="s">
        <v>57</v>
      </c>
      <c r="C104" s="21"/>
      <c r="D104" s="22"/>
      <c r="E104" s="21" t="s">
        <v>531</v>
      </c>
      <c r="F104" s="29" t="s">
        <v>540</v>
      </c>
      <c r="G104" s="20" t="str">
        <f>SUBSTITUTE(SUBSTITUTE(SUBSTITUTE(O104,"/@","_"),"/cac:","_"),"/cbc:","_")</f>
        <v>Invoice_AccountingCustomerParty_Party_PartyLegalEntity_CompanyID</v>
      </c>
      <c r="H104" s="19" t="s">
        <v>262</v>
      </c>
      <c r="I104" s="19" t="s">
        <v>373</v>
      </c>
      <c r="J104" s="19" t="s">
        <v>374</v>
      </c>
      <c r="K104" s="20"/>
      <c r="L104" s="25" t="s">
        <v>228</v>
      </c>
      <c r="M104" s="27" t="s">
        <v>64</v>
      </c>
      <c r="N104" s="26" t="str">
        <f>IF(O104="","",LEN(O104)-LEN(SUBSTITUTE(O104,"/",""))+IF(ISNUMBER(SEARCH("@",O104)),0,1))</f>
        <v>5</v>
      </c>
      <c r="O104" s="26" t="s">
        <v>541</v>
      </c>
      <c r="P104" s="20"/>
      <c r="Q104" s="20"/>
      <c r="R104" s="20"/>
      <c r="S104" s="20" t="s">
        <v>360</v>
      </c>
      <c r="T104" s="20"/>
      <c r="U104" s="25" t="s">
        <v>67</v>
      </c>
      <c r="V104" s="20" t="s">
        <v>68</v>
      </c>
      <c r="W104" s="20" t="str">
        <f>IF(ISBLANK(O104),"是","否")</f>
        <v>否</v>
      </c>
      <c r="X104" s="20"/>
      <c r="Y104" s="25"/>
      <c r="Z104" s="25"/>
      <c r="AC104" s="20" t="s">
        <v>76</v>
      </c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ht="39.879699248120296" customHeight="1" spans="1:52" x14ac:dyDescent="0.25">
      <c r="A105" s="19" t="s">
        <v>366</v>
      </c>
      <c r="B105" s="20" t="s">
        <v>57</v>
      </c>
      <c r="C105" s="21"/>
      <c r="D105" s="22"/>
      <c r="E105" s="21" t="s">
        <v>542</v>
      </c>
      <c r="F105" s="29" t="s">
        <v>543</v>
      </c>
      <c r="G105" s="20" t="str">
        <f>SUBSTITUTE(SUBSTITUTE(SUBSTITUTE(O105,"/@","_"),"/cac:","_"),"/cbc:","_")</f>
        <v>Invoice_AccountingCustomerParty_Party_PartyLegalEntity_CompanyID_schemeID</v>
      </c>
      <c r="H105" s="19" t="s">
        <v>267</v>
      </c>
      <c r="I105" s="19" t="s">
        <v>373</v>
      </c>
      <c r="J105" s="19" t="s">
        <v>374</v>
      </c>
      <c r="K105" s="20"/>
      <c r="L105" s="25" t="s">
        <v>243</v>
      </c>
      <c r="M105" s="27" t="s">
        <v>64</v>
      </c>
      <c r="N105" s="26" t="str">
        <f>IF(O105="","",LEN(O105)-LEN(SUBSTITUTE(O105,"/",""))+IF(ISNUMBER(SEARCH("@",O105)),0,1))</f>
        <v>5</v>
      </c>
      <c r="O105" s="26" t="s">
        <v>544</v>
      </c>
      <c r="P105" s="20"/>
      <c r="Q105" s="20"/>
      <c r="R105" s="20"/>
      <c r="S105" s="20" t="s">
        <v>360</v>
      </c>
      <c r="T105" s="20"/>
      <c r="U105" s="25" t="s">
        <v>67</v>
      </c>
      <c r="V105" s="20" t="s">
        <v>68</v>
      </c>
      <c r="W105" s="20" t="str">
        <f>IF(ISBLANK(O105),"是","否")</f>
        <v>否</v>
      </c>
      <c r="X105" s="20"/>
      <c r="Y105" s="25"/>
      <c r="Z105" s="25"/>
      <c r="AC105" s="20" t="s">
        <v>76</v>
      </c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</row>
    <row r="106" ht="29.59398496240601" customHeight="1" spans="1:52" x14ac:dyDescent="0.25">
      <c r="A106" s="19" t="s">
        <v>230</v>
      </c>
      <c r="B106" s="20" t="s">
        <v>57</v>
      </c>
      <c r="C106" s="21"/>
      <c r="D106" s="22"/>
      <c r="E106" s="21" t="s">
        <v>384</v>
      </c>
      <c r="F106" s="29" t="s">
        <v>545</v>
      </c>
      <c r="G106" s="20" t="str">
        <f>SUBSTITUTE(SUBSTITUTE(SUBSTITUTE(O106,"/@","_"),"/cac:","_"),"/cbc:","_")</f>
        <v>Invoice_AccountingCustomerParty_Party_Contact</v>
      </c>
      <c r="H106" s="19" t="s">
        <v>386</v>
      </c>
      <c r="I106" s="19"/>
      <c r="J106" s="19" t="s">
        <v>387</v>
      </c>
      <c r="K106" s="20"/>
      <c r="L106" s="25" t="s">
        <v>220</v>
      </c>
      <c r="M106" s="27" t="s">
        <v>64</v>
      </c>
      <c r="N106" s="26" t="str">
        <f>IF(O106="","",LEN(O106)-LEN(SUBSTITUTE(O106,"/",""))+IF(ISNUMBER(SEARCH("@",O106)),0,1))</f>
        <v>4</v>
      </c>
      <c r="O106" s="26" t="s">
        <v>546</v>
      </c>
      <c r="P106" s="20"/>
      <c r="Q106" s="20"/>
      <c r="R106" s="20"/>
      <c r="S106" s="20"/>
      <c r="T106" s="20"/>
      <c r="U106" s="25" t="s">
        <v>67</v>
      </c>
      <c r="V106" s="20" t="s">
        <v>222</v>
      </c>
      <c r="W106" s="20" t="str">
        <f>IF(ISBLANK(O106),"是","否")</f>
        <v>否</v>
      </c>
      <c r="X106" s="20"/>
      <c r="Y106" s="25"/>
      <c r="Z106" s="25"/>
      <c r="AC106" s="20" t="s">
        <v>76</v>
      </c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</row>
    <row r="107" ht="39.879699248120296" customHeight="1" spans="1:52" x14ac:dyDescent="0.25">
      <c r="A107" s="19" t="s">
        <v>175</v>
      </c>
      <c r="B107" s="20" t="s">
        <v>57</v>
      </c>
      <c r="C107" s="21"/>
      <c r="D107" s="22"/>
      <c r="E107" s="21" t="s">
        <v>273</v>
      </c>
      <c r="F107" s="29" t="s">
        <v>547</v>
      </c>
      <c r="G107" s="20" t="str">
        <f>SUBSTITUTE(SUBSTITUTE(SUBSTITUTE(O107,"/@","_"),"/cac:","_"),"/cbc:","_")</f>
        <v>Invoice_AccountingCustomerParty_Party_Contact_Name</v>
      </c>
      <c r="H107" s="19" t="s">
        <v>390</v>
      </c>
      <c r="I107" s="19"/>
      <c r="J107" s="19" t="s">
        <v>178</v>
      </c>
      <c r="K107" s="20"/>
      <c r="L107" s="25" t="s">
        <v>228</v>
      </c>
      <c r="M107" s="27" t="s">
        <v>64</v>
      </c>
      <c r="N107" s="26" t="str">
        <f>IF(O107="","",LEN(O107)-LEN(SUBSTITUTE(O107,"/",""))+IF(ISNUMBER(SEARCH("@",O107)),0,1))</f>
        <v>5</v>
      </c>
      <c r="O107" s="26" t="s">
        <v>548</v>
      </c>
      <c r="P107" s="20"/>
      <c r="Q107" s="20"/>
      <c r="R107" s="20"/>
      <c r="S107" s="20" t="s">
        <v>181</v>
      </c>
      <c r="T107" s="20"/>
      <c r="U107" s="25" t="s">
        <v>67</v>
      </c>
      <c r="V107" s="20" t="s">
        <v>68</v>
      </c>
      <c r="W107" s="20" t="str">
        <f>IF(ISBLANK(O107),"是","否")</f>
        <v>否</v>
      </c>
      <c r="X107" s="20"/>
      <c r="Y107" s="25"/>
      <c r="Z107" s="25"/>
      <c r="AC107" s="20" t="s">
        <v>76</v>
      </c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</row>
    <row r="108" ht="29.59398496240601" customHeight="1" spans="1:52" x14ac:dyDescent="0.25">
      <c r="A108" s="19" t="s">
        <v>175</v>
      </c>
      <c r="B108" s="20" t="s">
        <v>57</v>
      </c>
      <c r="C108" s="21"/>
      <c r="D108" s="22"/>
      <c r="E108" s="21" t="s">
        <v>392</v>
      </c>
      <c r="F108" s="29" t="s">
        <v>549</v>
      </c>
      <c r="G108" s="20" t="str">
        <f>SUBSTITUTE(SUBSTITUTE(SUBSTITUTE(O108,"/@","_"),"/cac:","_"),"/cbc:","_")</f>
        <v>Invoice_AccountingCustomerParty_Party_Contact_Telephone</v>
      </c>
      <c r="H108" s="19" t="s">
        <v>394</v>
      </c>
      <c r="I108" s="19"/>
      <c r="J108" s="19" t="s">
        <v>395</v>
      </c>
      <c r="K108" s="20"/>
      <c r="L108" s="25" t="s">
        <v>228</v>
      </c>
      <c r="M108" s="27" t="s">
        <v>64</v>
      </c>
      <c r="N108" s="26" t="str">
        <f>IF(O108="","",LEN(O108)-LEN(SUBSTITUTE(O108,"/",""))+IF(ISNUMBER(SEARCH("@",O108)),0,1))</f>
        <v>5</v>
      </c>
      <c r="O108" s="26" t="s">
        <v>550</v>
      </c>
      <c r="P108" s="20"/>
      <c r="Q108" s="20"/>
      <c r="R108" s="20"/>
      <c r="S108" s="20"/>
      <c r="T108" s="20"/>
      <c r="U108" s="25" t="s">
        <v>67</v>
      </c>
      <c r="V108" s="20" t="s">
        <v>68</v>
      </c>
      <c r="W108" s="20" t="str">
        <f>IF(ISBLANK(O108),"是","否")</f>
        <v>否</v>
      </c>
      <c r="X108" s="20"/>
      <c r="Y108" s="25"/>
      <c r="Z108" s="25"/>
      <c r="AC108" s="20" t="s">
        <v>76</v>
      </c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</row>
    <row r="109" ht="29.59398496240601" customHeight="1" spans="1:52" x14ac:dyDescent="0.25">
      <c r="A109" s="19" t="s">
        <v>175</v>
      </c>
      <c r="B109" s="20" t="s">
        <v>57</v>
      </c>
      <c r="C109" s="21"/>
      <c r="D109" s="22"/>
      <c r="E109" s="21" t="s">
        <v>397</v>
      </c>
      <c r="F109" s="29" t="s">
        <v>551</v>
      </c>
      <c r="G109" s="20" t="str">
        <f>SUBSTITUTE(SUBSTITUTE(SUBSTITUTE(O109,"/@","_"),"/cac:","_"),"/cbc:","_")</f>
        <v>Invoice_AccountingCustomerParty_Party_Contact_ElectronicMail</v>
      </c>
      <c r="H109" s="19" t="s">
        <v>399</v>
      </c>
      <c r="I109" s="19"/>
      <c r="J109" s="19" t="s">
        <v>400</v>
      </c>
      <c r="K109" s="20"/>
      <c r="L109" s="25" t="s">
        <v>228</v>
      </c>
      <c r="M109" s="27" t="s">
        <v>64</v>
      </c>
      <c r="N109" s="26" t="str">
        <f>IF(O109="","",LEN(O109)-LEN(SUBSTITUTE(O109,"/",""))+IF(ISNUMBER(SEARCH("@",O109)),0,1))</f>
        <v>5</v>
      </c>
      <c r="O109" s="26" t="s">
        <v>552</v>
      </c>
      <c r="P109" s="20"/>
      <c r="Q109" s="20"/>
      <c r="R109" s="20"/>
      <c r="S109" s="20"/>
      <c r="T109" s="20"/>
      <c r="U109" s="25" t="s">
        <v>67</v>
      </c>
      <c r="V109" s="20" t="s">
        <v>68</v>
      </c>
      <c r="W109" s="20" t="str">
        <f>IF(ISBLANK(O109),"是","否")</f>
        <v>否</v>
      </c>
      <c r="X109" s="20"/>
      <c r="Y109" s="25"/>
      <c r="Z109" s="25"/>
      <c r="AC109" s="20" t="s">
        <v>76</v>
      </c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</row>
    <row r="110" ht="29.59398496240601" customHeight="1" spans="1:52" x14ac:dyDescent="0.25">
      <c r="A110" s="19" t="s">
        <v>230</v>
      </c>
      <c r="B110" s="20" t="s">
        <v>57</v>
      </c>
      <c r="C110" s="21"/>
      <c r="D110" s="22"/>
      <c r="E110" s="21" t="s">
        <v>553</v>
      </c>
      <c r="F110" s="29" t="s">
        <v>554</v>
      </c>
      <c r="G110" s="20" t="str">
        <f>SUBSTITUTE(SUBSTITUTE(SUBSTITUTE(O110,"/@","_"),"/cac:","_"),"/cbc:","_")</f>
        <v>Invoice_AccountingCustomerParty_Party_Person</v>
      </c>
      <c r="H110" s="19" t="s">
        <v>404</v>
      </c>
      <c r="I110" s="19"/>
      <c r="J110" s="19" t="s">
        <v>405</v>
      </c>
      <c r="K110" s="20"/>
      <c r="L110" s="25" t="s">
        <v>220</v>
      </c>
      <c r="M110" s="27" t="s">
        <v>49</v>
      </c>
      <c r="N110" s="26" t="str">
        <f>IF(O110="","",LEN(O110)-LEN(SUBSTITUTE(O110,"/",""))+IF(ISNUMBER(SEARCH("@",O110)),0,1))</f>
        <v>4</v>
      </c>
      <c r="O110" s="26" t="s">
        <v>555</v>
      </c>
      <c r="P110" s="20"/>
      <c r="Q110" s="20"/>
      <c r="R110" s="20"/>
      <c r="S110" s="20"/>
      <c r="T110" s="20"/>
      <c r="U110" s="25" t="s">
        <v>67</v>
      </c>
      <c r="V110" s="20" t="s">
        <v>222</v>
      </c>
      <c r="W110" s="20" t="str">
        <f>IF(ISBLANK(O110),"是","否")</f>
        <v>否</v>
      </c>
      <c r="X110" s="20"/>
      <c r="Y110" s="25"/>
      <c r="Z110" s="25"/>
      <c r="AC110" s="20" t="s">
        <v>76</v>
      </c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</row>
    <row r="111" ht="29.59398496240601" customHeight="1" spans="1:52" x14ac:dyDescent="0.25">
      <c r="A111" s="19" t="s">
        <v>402</v>
      </c>
      <c r="B111" s="20" t="s">
        <v>57</v>
      </c>
      <c r="C111" s="21"/>
      <c r="D111" s="22"/>
      <c r="E111" s="21" t="s">
        <v>407</v>
      </c>
      <c r="F111" s="29" t="s">
        <v>556</v>
      </c>
      <c r="G111" s="20" t="str">
        <f>SUBSTITUTE(SUBSTITUTE(SUBSTITUTE(O111,"/@","_"),"/cac:","_"),"/cbc:","_")</f>
        <v>Invoice_AccountingCustomerParty_Party_Person_FirstName</v>
      </c>
      <c r="H111" s="19" t="s">
        <v>409</v>
      </c>
      <c r="I111" s="19"/>
      <c r="J111" s="19" t="s">
        <v>410</v>
      </c>
      <c r="K111" s="20"/>
      <c r="L111" s="25" t="s">
        <v>228</v>
      </c>
      <c r="M111" s="27" t="s">
        <v>64</v>
      </c>
      <c r="N111" s="26" t="str">
        <f>IF(O111="","",LEN(O111)-LEN(SUBSTITUTE(O111,"/",""))+IF(ISNUMBER(SEARCH("@",O111)),0,1))</f>
        <v>5</v>
      </c>
      <c r="O111" s="26" t="s">
        <v>557</v>
      </c>
      <c r="P111" s="20"/>
      <c r="Q111" s="20"/>
      <c r="R111" s="20"/>
      <c r="S111" s="20"/>
      <c r="T111" s="20"/>
      <c r="U111" s="25" t="s">
        <v>67</v>
      </c>
      <c r="V111" s="20" t="s">
        <v>68</v>
      </c>
      <c r="W111" s="20" t="str">
        <f>IF(ISBLANK(O111),"是","否")</f>
        <v>否</v>
      </c>
      <c r="X111" s="20"/>
      <c r="Y111" s="25"/>
      <c r="Z111" s="25"/>
      <c r="AC111" s="20" t="s">
        <v>76</v>
      </c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</row>
    <row r="112" ht="29.59398496240601" customHeight="1" spans="1:52" x14ac:dyDescent="0.25">
      <c r="A112" s="19" t="s">
        <v>402</v>
      </c>
      <c r="B112" s="20" t="s">
        <v>57</v>
      </c>
      <c r="C112" s="21"/>
      <c r="D112" s="22"/>
      <c r="E112" s="21" t="s">
        <v>412</v>
      </c>
      <c r="F112" s="29" t="s">
        <v>558</v>
      </c>
      <c r="G112" s="20" t="str">
        <f>SUBSTITUTE(SUBSTITUTE(SUBSTITUTE(O112,"/@","_"),"/cac:","_"),"/cbc:","_")</f>
        <v>Invoice_AccountingCustomerParty_Party_Person_FamilyName</v>
      </c>
      <c r="H112" s="19" t="s">
        <v>414</v>
      </c>
      <c r="I112" s="19"/>
      <c r="J112" s="19" t="s">
        <v>415</v>
      </c>
      <c r="K112" s="20"/>
      <c r="L112" s="25" t="s">
        <v>228</v>
      </c>
      <c r="M112" s="27" t="s">
        <v>64</v>
      </c>
      <c r="N112" s="26" t="str">
        <f>IF(O112="","",LEN(O112)-LEN(SUBSTITUTE(O112,"/",""))+IF(ISNUMBER(SEARCH("@",O112)),0,1))</f>
        <v>5</v>
      </c>
      <c r="O112" s="26" t="s">
        <v>559</v>
      </c>
      <c r="P112" s="20"/>
      <c r="Q112" s="20"/>
      <c r="R112" s="20"/>
      <c r="S112" s="20"/>
      <c r="T112" s="20"/>
      <c r="U112" s="25" t="s">
        <v>67</v>
      </c>
      <c r="V112" s="20" t="s">
        <v>68</v>
      </c>
      <c r="W112" s="20" t="str">
        <f>IF(ISBLANK(O112),"是","否")</f>
        <v>否</v>
      </c>
      <c r="X112" s="20"/>
      <c r="Y112" s="25"/>
      <c r="Z112" s="25"/>
      <c r="AC112" s="20" t="s">
        <v>76</v>
      </c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</row>
    <row r="113" ht="29.59398496240601" customHeight="1" spans="1:52" x14ac:dyDescent="0.25">
      <c r="A113" s="19" t="s">
        <v>442</v>
      </c>
      <c r="B113" s="20" t="s">
        <v>57</v>
      </c>
      <c r="C113" s="21"/>
      <c r="D113" s="22"/>
      <c r="E113" s="21" t="s">
        <v>417</v>
      </c>
      <c r="F113" s="29" t="s">
        <v>560</v>
      </c>
      <c r="G113" s="20" t="str">
        <f>SUBSTITUTE(SUBSTITUTE(SUBSTITUTE(O113,"/@","_"),"/cac:","_"),"/cbc:","_")</f>
        <v>Invoice_AccountingCustomerParty_AccountingContact</v>
      </c>
      <c r="H113" s="19" t="s">
        <v>419</v>
      </c>
      <c r="I113" s="19"/>
      <c r="J113" s="19" t="s">
        <v>561</v>
      </c>
      <c r="K113" s="20"/>
      <c r="L113" s="25" t="s">
        <v>220</v>
      </c>
      <c r="M113" s="27" t="s">
        <v>64</v>
      </c>
      <c r="N113" s="26" t="str">
        <f>IF(O113="","",LEN(O113)-LEN(SUBSTITUTE(O113,"/",""))+IF(ISNUMBER(SEARCH("@",O113)),0,1))</f>
        <v>3</v>
      </c>
      <c r="O113" s="26" t="s">
        <v>562</v>
      </c>
      <c r="P113" s="20"/>
      <c r="Q113" s="20"/>
      <c r="R113" s="20"/>
      <c r="S113" s="20"/>
      <c r="T113" s="20"/>
      <c r="U113" s="25" t="s">
        <v>67</v>
      </c>
      <c r="V113" s="20" t="s">
        <v>222</v>
      </c>
      <c r="W113" s="20" t="str">
        <f>IF(ISBLANK(O113),"是","否")</f>
        <v>否</v>
      </c>
      <c r="X113" s="20"/>
      <c r="Y113" s="25"/>
      <c r="Z113" s="25"/>
      <c r="AC113" s="20" t="s">
        <v>76</v>
      </c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</row>
    <row r="114" ht="39.879699248120296" customHeight="1" spans="1:52" x14ac:dyDescent="0.25">
      <c r="A114" s="19" t="s">
        <v>175</v>
      </c>
      <c r="B114" s="20" t="s">
        <v>57</v>
      </c>
      <c r="C114" s="21"/>
      <c r="D114" s="22"/>
      <c r="E114" s="21" t="s">
        <v>273</v>
      </c>
      <c r="F114" s="29" t="s">
        <v>563</v>
      </c>
      <c r="G114" s="20" t="str">
        <f>SUBSTITUTE(SUBSTITUTE(SUBSTITUTE(O114,"/@","_"),"/cac:","_"),"/cbc:","_")</f>
        <v>Invoice_AccountingCustomerParty_AccountingContact_Name</v>
      </c>
      <c r="H114" s="19" t="s">
        <v>423</v>
      </c>
      <c r="I114" s="19"/>
      <c r="J114" s="19" t="s">
        <v>178</v>
      </c>
      <c r="K114" s="20"/>
      <c r="L114" s="25" t="s">
        <v>228</v>
      </c>
      <c r="M114" s="27" t="s">
        <v>64</v>
      </c>
      <c r="N114" s="26" t="str">
        <f>IF(O114="","",LEN(O114)-LEN(SUBSTITUTE(O114,"/",""))+IF(ISNUMBER(SEARCH("@",O114)),0,1))</f>
        <v>4</v>
      </c>
      <c r="O114" s="26" t="s">
        <v>564</v>
      </c>
      <c r="P114" s="20"/>
      <c r="Q114" s="20"/>
      <c r="R114" s="20"/>
      <c r="S114" s="20" t="s">
        <v>181</v>
      </c>
      <c r="T114" s="20"/>
      <c r="U114" s="25" t="s">
        <v>67</v>
      </c>
      <c r="V114" s="20" t="s">
        <v>68</v>
      </c>
      <c r="W114" s="20" t="str">
        <f>IF(ISBLANK(O114),"是","否")</f>
        <v>否</v>
      </c>
      <c r="X114" s="20"/>
      <c r="Y114" s="25"/>
      <c r="Z114" s="25"/>
      <c r="AC114" s="20" t="s">
        <v>76</v>
      </c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</row>
    <row r="115" ht="29.59398496240601" customHeight="1" spans="1:52" x14ac:dyDescent="0.25">
      <c r="A115" s="19" t="s">
        <v>175</v>
      </c>
      <c r="B115" s="20" t="s">
        <v>57</v>
      </c>
      <c r="C115" s="21"/>
      <c r="D115" s="22"/>
      <c r="E115" s="21" t="s">
        <v>392</v>
      </c>
      <c r="F115" s="29" t="s">
        <v>565</v>
      </c>
      <c r="G115" s="20" t="str">
        <f>SUBSTITUTE(SUBSTITUTE(SUBSTITUTE(O115,"/@","_"),"/cac:","_"),"/cbc:","_")</f>
        <v>Invoice_AccountingCustomerParty_AccountingContact_Telephone</v>
      </c>
      <c r="H115" s="19" t="s">
        <v>427</v>
      </c>
      <c r="I115" s="19"/>
      <c r="J115" s="19" t="s">
        <v>395</v>
      </c>
      <c r="K115" s="20"/>
      <c r="L115" s="25" t="s">
        <v>228</v>
      </c>
      <c r="M115" s="27" t="s">
        <v>64</v>
      </c>
      <c r="N115" s="26" t="str">
        <f>IF(O115="","",LEN(O115)-LEN(SUBSTITUTE(O115,"/",""))+IF(ISNUMBER(SEARCH("@",O115)),0,1))</f>
        <v>4</v>
      </c>
      <c r="O115" s="26" t="s">
        <v>566</v>
      </c>
      <c r="P115" s="20"/>
      <c r="Q115" s="20"/>
      <c r="R115" s="20"/>
      <c r="S115" s="20"/>
      <c r="T115" s="20"/>
      <c r="U115" s="25" t="s">
        <v>67</v>
      </c>
      <c r="V115" s="20" t="s">
        <v>68</v>
      </c>
      <c r="W115" s="20" t="str">
        <f>IF(ISBLANK(O115),"是","否")</f>
        <v>否</v>
      </c>
      <c r="X115" s="20"/>
      <c r="Y115" s="25"/>
      <c r="Z115" s="25"/>
      <c r="AC115" s="20" t="s">
        <v>76</v>
      </c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</row>
    <row r="116" ht="29.59398496240601" customHeight="1" spans="1:52" x14ac:dyDescent="0.25">
      <c r="A116" s="19" t="s">
        <v>175</v>
      </c>
      <c r="B116" s="20" t="s">
        <v>57</v>
      </c>
      <c r="C116" s="21"/>
      <c r="D116" s="22"/>
      <c r="E116" s="21" t="s">
        <v>429</v>
      </c>
      <c r="F116" s="29" t="s">
        <v>567</v>
      </c>
      <c r="G116" s="20" t="str">
        <f>SUBSTITUTE(SUBSTITUTE(SUBSTITUTE(O116,"/@","_"),"/cac:","_"),"/cbc:","_")</f>
        <v>Invoice_AccountingCustomerParty_AccountingContact_Telefax</v>
      </c>
      <c r="H116" s="19" t="s">
        <v>431</v>
      </c>
      <c r="I116" s="19"/>
      <c r="J116" s="19" t="s">
        <v>432</v>
      </c>
      <c r="K116" s="20"/>
      <c r="L116" s="25" t="s">
        <v>228</v>
      </c>
      <c r="M116" s="27" t="s">
        <v>64</v>
      </c>
      <c r="N116" s="26" t="str">
        <f>IF(O116="","",LEN(O116)-LEN(SUBSTITUTE(O116,"/",""))+IF(ISNUMBER(SEARCH("@",O116)),0,1))</f>
        <v>4</v>
      </c>
      <c r="O116" s="26" t="s">
        <v>568</v>
      </c>
      <c r="P116" s="20"/>
      <c r="Q116" s="20"/>
      <c r="R116" s="20"/>
      <c r="S116" s="20"/>
      <c r="T116" s="20"/>
      <c r="U116" s="25" t="s">
        <v>67</v>
      </c>
      <c r="V116" s="20" t="s">
        <v>68</v>
      </c>
      <c r="W116" s="20" t="str">
        <f>IF(ISBLANK(O116),"是","否")</f>
        <v>否</v>
      </c>
      <c r="X116" s="20"/>
      <c r="Y116" s="25"/>
      <c r="Z116" s="25"/>
      <c r="AC116" s="20" t="s">
        <v>76</v>
      </c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</row>
    <row r="117" ht="39.879699248120296" customHeight="1" spans="1:52" x14ac:dyDescent="0.25">
      <c r="A117" s="19" t="s">
        <v>175</v>
      </c>
      <c r="B117" s="20" t="s">
        <v>57</v>
      </c>
      <c r="C117" s="21"/>
      <c r="D117" s="22"/>
      <c r="E117" s="21" t="s">
        <v>397</v>
      </c>
      <c r="F117" s="29" t="s">
        <v>569</v>
      </c>
      <c r="G117" s="20" t="str">
        <f>SUBSTITUTE(SUBSTITUTE(SUBSTITUTE(O117,"/@","_"),"/cac:","_"),"/cbc:","_")</f>
        <v>Invoice_AccountingCustomerParty_AccountingContact_ElectronicMail</v>
      </c>
      <c r="H117" s="19" t="s">
        <v>435</v>
      </c>
      <c r="I117" s="19"/>
      <c r="J117" s="19" t="s">
        <v>400</v>
      </c>
      <c r="K117" s="20"/>
      <c r="L117" s="25" t="s">
        <v>228</v>
      </c>
      <c r="M117" s="27" t="s">
        <v>64</v>
      </c>
      <c r="N117" s="26" t="str">
        <f>IF(O117="","",LEN(O117)-LEN(SUBSTITUTE(O117,"/",""))+IF(ISNUMBER(SEARCH("@",O117)),0,1))</f>
        <v>4</v>
      </c>
      <c r="O117" s="26" t="s">
        <v>570</v>
      </c>
      <c r="P117" s="20"/>
      <c r="Q117" s="20"/>
      <c r="R117" s="20"/>
      <c r="S117" s="20"/>
      <c r="T117" s="20"/>
      <c r="U117" s="25" t="s">
        <v>67</v>
      </c>
      <c r="V117" s="20" t="s">
        <v>68</v>
      </c>
      <c r="W117" s="20" t="str">
        <f>IF(ISBLANK(O117),"是","否")</f>
        <v>否</v>
      </c>
      <c r="X117" s="20"/>
      <c r="Y117" s="25"/>
      <c r="Z117" s="25"/>
      <c r="AC117" s="20" t="s">
        <v>76</v>
      </c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</row>
    <row r="118" ht="19.308270676691727" customHeight="1" spans="1:52" x14ac:dyDescent="0.25">
      <c r="A118" s="19" t="s">
        <v>41</v>
      </c>
      <c r="B118" s="20" t="s">
        <v>57</v>
      </c>
      <c r="C118" s="21"/>
      <c r="D118" s="22"/>
      <c r="E118" s="21" t="s">
        <v>571</v>
      </c>
      <c r="F118" s="29" t="s">
        <v>572</v>
      </c>
      <c r="G118" s="20" t="str">
        <f>SUBSTITUTE(SUBSTITUTE(SUBSTITUTE(O118,"/@","_"),"/cac:","_"),"/cbc:","_")</f>
        <v>Invoice_PayeeParty</v>
      </c>
      <c r="H118" s="19" t="s">
        <v>439</v>
      </c>
      <c r="I118" s="19"/>
      <c r="J118" s="19" t="s">
        <v>573</v>
      </c>
      <c r="K118" s="25"/>
      <c r="L118" s="25" t="s">
        <v>220</v>
      </c>
      <c r="M118" s="27" t="s">
        <v>64</v>
      </c>
      <c r="N118" s="26" t="str">
        <f>IF(O118="","",LEN(O118)-LEN(SUBSTITUTE(O118,"/",""))+IF(ISNUMBER(SEARCH("@",O118)),0,1))</f>
        <v>2</v>
      </c>
      <c r="O118" s="26" t="s">
        <v>574</v>
      </c>
      <c r="P118" s="20"/>
      <c r="Q118" s="20"/>
      <c r="R118" s="25"/>
      <c r="S118" s="20"/>
      <c r="T118" s="20"/>
      <c r="U118" s="25" t="s">
        <v>67</v>
      </c>
      <c r="V118" s="20" t="s">
        <v>222</v>
      </c>
      <c r="W118" s="20" t="str">
        <f>IF(ISBLANK(O118),"是","否")</f>
        <v>否</v>
      </c>
      <c r="X118" s="20"/>
      <c r="Y118" s="25"/>
      <c r="Z118" s="25"/>
      <c r="AC118" s="20" t="s">
        <v>76</v>
      </c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</row>
    <row r="119" ht="29.59398496240601" customHeight="1" spans="1:52" x14ac:dyDescent="0.25">
      <c r="A119" s="19" t="s">
        <v>230</v>
      </c>
      <c r="B119" s="20" t="s">
        <v>57</v>
      </c>
      <c r="C119" s="21"/>
      <c r="D119" s="22"/>
      <c r="E119" s="21" t="s">
        <v>235</v>
      </c>
      <c r="F119" s="29" t="s">
        <v>575</v>
      </c>
      <c r="G119" s="20" t="str">
        <f>SUBSTITUTE(SUBSTITUTE(SUBSTITUTE(O119,"/@","_"),"/cac:","_"),"/cbc:","_")</f>
        <v>Invoice_PayeeParty_EndpointID</v>
      </c>
      <c r="H119" s="19" t="s">
        <v>453</v>
      </c>
      <c r="I119" s="19"/>
      <c r="J119" s="19" t="s">
        <v>238</v>
      </c>
      <c r="K119" s="25"/>
      <c r="L119" s="25" t="s">
        <v>228</v>
      </c>
      <c r="M119" s="27" t="s">
        <v>64</v>
      </c>
      <c r="N119" s="26" t="str">
        <f>IF(O119="","",LEN(O119)-LEN(SUBSTITUTE(O119,"/",""))+IF(ISNUMBER(SEARCH("@",O119)),0,1))</f>
        <v>3</v>
      </c>
      <c r="O119" s="26" t="s">
        <v>576</v>
      </c>
      <c r="P119" s="20"/>
      <c r="Q119" s="20"/>
      <c r="R119" s="25"/>
      <c r="S119" s="20" t="s">
        <v>240</v>
      </c>
      <c r="T119" s="20"/>
      <c r="U119" s="25" t="s">
        <v>67</v>
      </c>
      <c r="V119" s="20" t="s">
        <v>68</v>
      </c>
      <c r="W119" s="20" t="str">
        <f>IF(ISBLANK(O119),"是","否")</f>
        <v>否</v>
      </c>
      <c r="X119" s="20"/>
      <c r="Y119" s="25"/>
      <c r="Z119" s="25"/>
      <c r="AC119" s="20" t="s">
        <v>76</v>
      </c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ht="29.59398496240601" customHeight="1" spans="1:52" x14ac:dyDescent="0.25">
      <c r="A120" s="19" t="s">
        <v>230</v>
      </c>
      <c r="B120" s="20" t="s">
        <v>57</v>
      </c>
      <c r="C120" s="21"/>
      <c r="D120" s="22"/>
      <c r="E120" s="21" t="s">
        <v>241</v>
      </c>
      <c r="F120" s="29" t="s">
        <v>577</v>
      </c>
      <c r="G120" s="20" t="str">
        <f>SUBSTITUTE(SUBSTITUTE(SUBSTITUTE(O120,"/@","_"),"/cac:","_"),"/cbc:","_")</f>
        <v>Invoice_PayeeParty_EndpointID_schemeID</v>
      </c>
      <c r="H120" s="19" t="s">
        <v>453</v>
      </c>
      <c r="I120" s="19"/>
      <c r="J120" s="19" t="s">
        <v>238</v>
      </c>
      <c r="K120" s="25"/>
      <c r="L120" s="25" t="s">
        <v>243</v>
      </c>
      <c r="M120" s="27" t="s">
        <v>64</v>
      </c>
      <c r="N120" s="26" t="str">
        <f>IF(O120="","",LEN(O120)-LEN(SUBSTITUTE(O120,"/",""))+IF(ISNUMBER(SEARCH("@",O120)),0,1))</f>
        <v>3</v>
      </c>
      <c r="O120" s="26" t="s">
        <v>578</v>
      </c>
      <c r="P120" s="20"/>
      <c r="Q120" s="20"/>
      <c r="R120" s="25"/>
      <c r="S120" s="20" t="s">
        <v>240</v>
      </c>
      <c r="T120" s="20"/>
      <c r="U120" s="25" t="s">
        <v>67</v>
      </c>
      <c r="V120" s="20" t="s">
        <v>68</v>
      </c>
      <c r="W120" s="20" t="str">
        <f>IF(ISBLANK(O120),"是","否")</f>
        <v>否</v>
      </c>
      <c r="X120" s="20"/>
      <c r="Y120" s="25"/>
      <c r="Z120" s="25"/>
      <c r="AC120" s="20" t="s">
        <v>76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ht="29.59398496240601" customHeight="1" spans="1:52" x14ac:dyDescent="0.25">
      <c r="A121" s="19" t="s">
        <v>230</v>
      </c>
      <c r="B121" s="20" t="s">
        <v>57</v>
      </c>
      <c r="C121" s="21"/>
      <c r="D121" s="22"/>
      <c r="E121" s="21" t="s">
        <v>255</v>
      </c>
      <c r="F121" s="29" t="s">
        <v>579</v>
      </c>
      <c r="G121" s="20" t="str">
        <f>SUBSTITUTE(SUBSTITUTE(SUBSTITUTE(O121,"/@","_"),"/cac:","_"),"/cbc:","_")</f>
        <v>Invoice_PayeeParty_PartyIdentification</v>
      </c>
      <c r="H121" s="19" t="s">
        <v>580</v>
      </c>
      <c r="I121" s="19"/>
      <c r="J121" s="19" t="s">
        <v>257</v>
      </c>
      <c r="K121" s="25"/>
      <c r="L121" s="25" t="s">
        <v>220</v>
      </c>
      <c r="M121" s="27" t="s">
        <v>49</v>
      </c>
      <c r="N121" s="26" t="str">
        <f>IF(O121="","",LEN(O121)-LEN(SUBSTITUTE(O121,"/",""))+IF(ISNUMBER(SEARCH("@",O121)),0,1))</f>
        <v>3</v>
      </c>
      <c r="O121" s="26" t="s">
        <v>581</v>
      </c>
      <c r="P121" s="20"/>
      <c r="Q121" s="20"/>
      <c r="R121" s="25"/>
      <c r="S121" s="20"/>
      <c r="T121" s="20"/>
      <c r="U121" s="25" t="s">
        <v>67</v>
      </c>
      <c r="V121" s="20" t="s">
        <v>222</v>
      </c>
      <c r="W121" s="20" t="str">
        <f>IF(ISBLANK(O121),"是","否")</f>
        <v>否</v>
      </c>
      <c r="X121" s="20"/>
      <c r="Y121" s="25"/>
      <c r="Z121" s="25"/>
      <c r="AC121" s="20" t="s">
        <v>76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</row>
    <row r="122" ht="29.59398496240601" customHeight="1" spans="1:52" x14ac:dyDescent="0.25">
      <c r="A122" s="19" t="s">
        <v>255</v>
      </c>
      <c r="B122" s="20" t="s">
        <v>57</v>
      </c>
      <c r="C122" s="21"/>
      <c r="D122" s="22"/>
      <c r="E122" s="21" t="s">
        <v>260</v>
      </c>
      <c r="F122" s="29" t="s">
        <v>582</v>
      </c>
      <c r="G122" s="20" t="str">
        <f>SUBSTITUTE(SUBSTITUTE(SUBSTITUTE(O122,"/@","_"),"/cac:","_"),"/cbc:","_")</f>
        <v>Invoice_PayeeParty_PartyIdentification_ID</v>
      </c>
      <c r="H122" s="19" t="s">
        <v>262</v>
      </c>
      <c r="I122" s="19"/>
      <c r="J122" s="19" t="s">
        <v>263</v>
      </c>
      <c r="K122" s="25"/>
      <c r="L122" s="25" t="s">
        <v>228</v>
      </c>
      <c r="M122" s="27" t="s">
        <v>165</v>
      </c>
      <c r="N122" s="26" t="str">
        <f>IF(O122="","",LEN(O122)-LEN(SUBSTITUTE(O122,"/",""))+IF(ISNUMBER(SEARCH("@",O122)),0,1))</f>
        <v>4</v>
      </c>
      <c r="O122" s="26" t="s">
        <v>583</v>
      </c>
      <c r="P122" s="20"/>
      <c r="Q122" s="20"/>
      <c r="R122" s="25"/>
      <c r="S122" s="20"/>
      <c r="T122" s="20"/>
      <c r="U122" s="25" t="s">
        <v>67</v>
      </c>
      <c r="V122" s="20" t="s">
        <v>68</v>
      </c>
      <c r="W122" s="20" t="str">
        <f>IF(ISBLANK(O122),"是","否")</f>
        <v>否</v>
      </c>
      <c r="X122" s="20"/>
      <c r="Y122" s="25"/>
      <c r="Z122" s="25"/>
      <c r="AC122" s="20" t="s">
        <v>76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</row>
    <row r="123" ht="29.59398496240601" customHeight="1" spans="1:52" x14ac:dyDescent="0.25">
      <c r="A123" s="19" t="s">
        <v>255</v>
      </c>
      <c r="B123" s="20" t="s">
        <v>57</v>
      </c>
      <c r="C123" s="21"/>
      <c r="D123" s="22"/>
      <c r="E123" s="21" t="s">
        <v>265</v>
      </c>
      <c r="F123" s="29" t="s">
        <v>584</v>
      </c>
      <c r="G123" s="20" t="str">
        <f>SUBSTITUTE(SUBSTITUTE(SUBSTITUTE(O123,"/@","_"),"/cac:","_"),"/cbc:","_")</f>
        <v>Invoice_PayeeParty_PartyIdentification_ID_schemeID</v>
      </c>
      <c r="H123" s="19" t="s">
        <v>267</v>
      </c>
      <c r="I123" s="19"/>
      <c r="J123" s="19" t="s">
        <v>263</v>
      </c>
      <c r="K123" s="25"/>
      <c r="L123" s="25" t="s">
        <v>243</v>
      </c>
      <c r="M123" s="27" t="s">
        <v>165</v>
      </c>
      <c r="N123" s="26" t="str">
        <f>IF(O123="","",LEN(O123)-LEN(SUBSTITUTE(O123,"/",""))+IF(ISNUMBER(SEARCH("@",O123)),0,1))</f>
        <v>4</v>
      </c>
      <c r="O123" s="26" t="s">
        <v>585</v>
      </c>
      <c r="P123" s="20"/>
      <c r="Q123" s="20"/>
      <c r="R123" s="25"/>
      <c r="S123" s="20"/>
      <c r="T123" s="20"/>
      <c r="U123" s="25" t="s">
        <v>67</v>
      </c>
      <c r="V123" s="20" t="s">
        <v>68</v>
      </c>
      <c r="W123" s="20" t="str">
        <f>IF(ISBLANK(O123),"是","否")</f>
        <v>否</v>
      </c>
      <c r="X123" s="20"/>
      <c r="Y123" s="25"/>
      <c r="Z123" s="25"/>
      <c r="AC123" s="20" t="s">
        <v>76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</row>
    <row r="124" ht="19.308270676691727" customHeight="1" spans="1:52" x14ac:dyDescent="0.25">
      <c r="A124" s="19" t="s">
        <v>230</v>
      </c>
      <c r="B124" s="20" t="s">
        <v>57</v>
      </c>
      <c r="C124" s="21"/>
      <c r="D124" s="22"/>
      <c r="E124" s="21" t="s">
        <v>188</v>
      </c>
      <c r="F124" s="29" t="s">
        <v>586</v>
      </c>
      <c r="G124" s="20" t="str">
        <f>SUBSTITUTE(SUBSTITUTE(SUBSTITUTE(O124,"/@","_"),"/cac:","_"),"/cbc:","_")</f>
        <v>Invoice_PayeeParty_PartyName</v>
      </c>
      <c r="H124" s="19" t="s">
        <v>270</v>
      </c>
      <c r="I124" s="19"/>
      <c r="J124" s="19" t="s">
        <v>271</v>
      </c>
      <c r="K124" s="25"/>
      <c r="L124" s="25" t="s">
        <v>220</v>
      </c>
      <c r="M124" s="27" t="s">
        <v>49</v>
      </c>
      <c r="N124" s="26" t="str">
        <f>IF(O124="","",LEN(O124)-LEN(SUBSTITUTE(O124,"/",""))+IF(ISNUMBER(SEARCH("@",O124)),0,1))</f>
        <v>3</v>
      </c>
      <c r="O124" s="26" t="s">
        <v>587</v>
      </c>
      <c r="P124" s="20"/>
      <c r="Q124" s="20"/>
      <c r="R124" s="25"/>
      <c r="S124" s="20"/>
      <c r="T124" s="20"/>
      <c r="U124" s="25" t="s">
        <v>67</v>
      </c>
      <c r="V124" s="20" t="s">
        <v>222</v>
      </c>
      <c r="W124" s="20" t="str">
        <f>IF(ISBLANK(O124),"是","否")</f>
        <v>否</v>
      </c>
      <c r="X124" s="20"/>
      <c r="Y124" s="25"/>
      <c r="Z124" s="25"/>
      <c r="AC124" s="20" t="s">
        <v>76</v>
      </c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</row>
    <row r="125" ht="29.59398496240601" customHeight="1" spans="1:52" x14ac:dyDescent="0.25">
      <c r="A125" s="19" t="s">
        <v>188</v>
      </c>
      <c r="B125" s="20" t="s">
        <v>57</v>
      </c>
      <c r="C125" s="21"/>
      <c r="D125" s="22"/>
      <c r="E125" s="21" t="s">
        <v>273</v>
      </c>
      <c r="F125" s="29" t="s">
        <v>588</v>
      </c>
      <c r="G125" s="20" t="str">
        <f>SUBSTITUTE(SUBSTITUTE(SUBSTITUTE(O125,"/@","_"),"/cac:","_"),"/cbc:","_")</f>
        <v>Invoice_PayeeParty_PartyName_Name</v>
      </c>
      <c r="H125" s="19" t="s">
        <v>275</v>
      </c>
      <c r="I125" s="19"/>
      <c r="J125" s="19" t="s">
        <v>191</v>
      </c>
      <c r="K125" s="25"/>
      <c r="L125" s="25" t="s">
        <v>228</v>
      </c>
      <c r="M125" s="27" t="s">
        <v>165</v>
      </c>
      <c r="N125" s="26" t="str">
        <f>IF(O125="","",LEN(O125)-LEN(SUBSTITUTE(O125,"/",""))+IF(ISNUMBER(SEARCH("@",O125)),0,1))</f>
        <v>4</v>
      </c>
      <c r="O125" s="26" t="s">
        <v>192</v>
      </c>
      <c r="P125" s="20"/>
      <c r="Q125" s="20"/>
      <c r="R125" s="25"/>
      <c r="S125" s="20" t="s">
        <v>194</v>
      </c>
      <c r="T125" s="20"/>
      <c r="U125" s="25" t="s">
        <v>67</v>
      </c>
      <c r="V125" s="20" t="s">
        <v>68</v>
      </c>
      <c r="W125" s="20" t="str">
        <f>IF(ISBLANK(O125),"是","否")</f>
        <v>否</v>
      </c>
      <c r="X125" s="20"/>
      <c r="Y125" s="25"/>
      <c r="Z125" s="25"/>
      <c r="AC125" s="20" t="s">
        <v>76</v>
      </c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</row>
    <row r="126" ht="29.59398496240601" customHeight="1" spans="1:52" x14ac:dyDescent="0.25">
      <c r="A126" s="19" t="s">
        <v>230</v>
      </c>
      <c r="B126" s="20" t="s">
        <v>57</v>
      </c>
      <c r="C126" s="21"/>
      <c r="D126" s="22"/>
      <c r="E126" s="21" t="s">
        <v>466</v>
      </c>
      <c r="F126" s="29" t="s">
        <v>589</v>
      </c>
      <c r="G126" s="20" t="str">
        <f>SUBSTITUTE(SUBSTITUTE(SUBSTITUTE(O126,"/@","_"),"/cac:","_"),"/cbc:","_")</f>
        <v>Invoice_PayeeParty_PostalAddress</v>
      </c>
      <c r="H126" s="19" t="s">
        <v>279</v>
      </c>
      <c r="I126" s="19"/>
      <c r="J126" s="19" t="s">
        <v>280</v>
      </c>
      <c r="K126" s="25"/>
      <c r="L126" s="25" t="s">
        <v>220</v>
      </c>
      <c r="M126" s="27" t="s">
        <v>64</v>
      </c>
      <c r="N126" s="26" t="str">
        <f>IF(O126="","",LEN(O126)-LEN(SUBSTITUTE(O126,"/",""))+IF(ISNUMBER(SEARCH("@",O126)),0,1))</f>
        <v>3</v>
      </c>
      <c r="O126" s="26" t="s">
        <v>590</v>
      </c>
      <c r="P126" s="20"/>
      <c r="Q126" s="20"/>
      <c r="R126" s="25"/>
      <c r="S126" s="20"/>
      <c r="T126" s="20"/>
      <c r="U126" s="25" t="s">
        <v>67</v>
      </c>
      <c r="V126" s="20" t="s">
        <v>222</v>
      </c>
      <c r="W126" s="20" t="str">
        <f>IF(ISBLANK(O126),"是","否")</f>
        <v>否</v>
      </c>
      <c r="X126" s="20"/>
      <c r="Y126" s="25"/>
      <c r="Z126" s="25"/>
      <c r="AC126" s="20" t="s">
        <v>76</v>
      </c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</row>
    <row r="127" ht="29.59398496240601" customHeight="1" spans="1:52" x14ac:dyDescent="0.25">
      <c r="A127" s="19" t="s">
        <v>282</v>
      </c>
      <c r="B127" s="20" t="s">
        <v>57</v>
      </c>
      <c r="C127" s="21"/>
      <c r="D127" s="22"/>
      <c r="E127" s="21" t="s">
        <v>469</v>
      </c>
      <c r="F127" s="29" t="s">
        <v>591</v>
      </c>
      <c r="G127" s="20" t="str">
        <f>SUBSTITUTE(SUBSTITUTE(SUBSTITUTE(O127,"/@","_"),"/cac:","_"),"/cbc:","_")</f>
        <v>Invoice_PayeeParty_PostalAddress_Postbox</v>
      </c>
      <c r="H127" s="19" t="s">
        <v>471</v>
      </c>
      <c r="I127" s="19" t="s">
        <v>472</v>
      </c>
      <c r="J127" s="19" t="s">
        <v>473</v>
      </c>
      <c r="K127" s="25"/>
      <c r="L127" s="25" t="s">
        <v>228</v>
      </c>
      <c r="M127" s="27" t="s">
        <v>64</v>
      </c>
      <c r="N127" s="26" t="str">
        <f>IF(O127="","",LEN(O127)-LEN(SUBSTITUTE(O127,"/",""))+IF(ISNUMBER(SEARCH("@",O127)),0,1))</f>
        <v>4</v>
      </c>
      <c r="O127" s="26" t="s">
        <v>592</v>
      </c>
      <c r="P127" s="20"/>
      <c r="Q127" s="20"/>
      <c r="R127" s="25"/>
      <c r="S127" s="20" t="s">
        <v>475</v>
      </c>
      <c r="T127" s="20"/>
      <c r="U127" s="25" t="s">
        <v>67</v>
      </c>
      <c r="V127" s="20" t="s">
        <v>68</v>
      </c>
      <c r="W127" s="20" t="str">
        <f>IF(ISBLANK(O127),"是","否")</f>
        <v>否</v>
      </c>
      <c r="X127" s="20"/>
      <c r="Y127" s="25"/>
      <c r="Z127" s="25"/>
      <c r="AC127" s="20" t="s">
        <v>76</v>
      </c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</row>
    <row r="128" ht="29.59398496240601" customHeight="1" spans="1:52" x14ac:dyDescent="0.25">
      <c r="A128" s="19" t="s">
        <v>282</v>
      </c>
      <c r="B128" s="20" t="s">
        <v>57</v>
      </c>
      <c r="C128" s="21"/>
      <c r="D128" s="22"/>
      <c r="E128" s="21" t="s">
        <v>283</v>
      </c>
      <c r="F128" s="29" t="s">
        <v>593</v>
      </c>
      <c r="G128" s="20" t="str">
        <f>SUBSTITUTE(SUBSTITUTE(SUBSTITUTE(O128,"/@","_"),"/cac:","_"),"/cbc:","_")</f>
        <v>Invoice_PayeeParty_PostalAddress_StreetName</v>
      </c>
      <c r="H128" s="19" t="s">
        <v>285</v>
      </c>
      <c r="I128" s="19" t="s">
        <v>286</v>
      </c>
      <c r="J128" s="19" t="s">
        <v>287</v>
      </c>
      <c r="K128" s="25"/>
      <c r="L128" s="25" t="s">
        <v>228</v>
      </c>
      <c r="M128" s="27" t="s">
        <v>64</v>
      </c>
      <c r="N128" s="26" t="str">
        <f>IF(O128="","",LEN(O128)-LEN(SUBSTITUTE(O128,"/",""))+IF(ISNUMBER(SEARCH("@",O128)),0,1))</f>
        <v>4</v>
      </c>
      <c r="O128" s="26" t="s">
        <v>594</v>
      </c>
      <c r="P128" s="20"/>
      <c r="Q128" s="20"/>
      <c r="R128" s="25"/>
      <c r="S128" s="20" t="s">
        <v>289</v>
      </c>
      <c r="T128" s="20"/>
      <c r="U128" s="25" t="s">
        <v>67</v>
      </c>
      <c r="V128" s="20" t="s">
        <v>68</v>
      </c>
      <c r="W128" s="20" t="str">
        <f>IF(ISBLANK(O128),"是","否")</f>
        <v>否</v>
      </c>
      <c r="X128" s="20"/>
      <c r="Y128" s="25"/>
      <c r="Z128" s="25"/>
      <c r="AC128" s="20" t="s">
        <v>76</v>
      </c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</row>
    <row r="129" ht="29.59398496240601" customHeight="1" spans="1:52" x14ac:dyDescent="0.25">
      <c r="A129" s="19" t="s">
        <v>282</v>
      </c>
      <c r="B129" s="20" t="s">
        <v>57</v>
      </c>
      <c r="C129" s="21"/>
      <c r="D129" s="22"/>
      <c r="E129" s="21" t="s">
        <v>478</v>
      </c>
      <c r="F129" s="29" t="s">
        <v>595</v>
      </c>
      <c r="G129" s="20" t="str">
        <f>SUBSTITUTE(SUBSTITUTE(SUBSTITUTE(O129,"/@","_"),"/cac:","_"),"/cbc:","_")</f>
        <v>Invoice_PayeeParty_PostalAddress_AdditionalStreetName</v>
      </c>
      <c r="H129" s="19" t="s">
        <v>480</v>
      </c>
      <c r="I129" s="19" t="s">
        <v>286</v>
      </c>
      <c r="J129" s="19" t="s">
        <v>481</v>
      </c>
      <c r="K129" s="25"/>
      <c r="L129" s="25" t="s">
        <v>228</v>
      </c>
      <c r="M129" s="27" t="s">
        <v>64</v>
      </c>
      <c r="N129" s="26" t="str">
        <f>IF(O129="","",LEN(O129)-LEN(SUBSTITUTE(O129,"/",""))+IF(ISNUMBER(SEARCH("@",O129)),0,1))</f>
        <v>4</v>
      </c>
      <c r="O129" s="26" t="s">
        <v>596</v>
      </c>
      <c r="P129" s="20"/>
      <c r="Q129" s="20"/>
      <c r="R129" s="25"/>
      <c r="S129" s="20" t="s">
        <v>483</v>
      </c>
      <c r="T129" s="20"/>
      <c r="U129" s="25" t="s">
        <v>67</v>
      </c>
      <c r="V129" s="20" t="s">
        <v>68</v>
      </c>
      <c r="W129" s="20" t="str">
        <f>IF(ISBLANK(O129),"是","否")</f>
        <v>否</v>
      </c>
      <c r="X129" s="20"/>
      <c r="Y129" s="25"/>
      <c r="Z129" s="25"/>
      <c r="AC129" s="20" t="s">
        <v>76</v>
      </c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</row>
    <row r="130" ht="29.59398496240601" customHeight="1" spans="1:52" x14ac:dyDescent="0.25">
      <c r="A130" s="19" t="s">
        <v>282</v>
      </c>
      <c r="B130" s="20" t="s">
        <v>57</v>
      </c>
      <c r="C130" s="21"/>
      <c r="D130" s="22"/>
      <c r="E130" s="21" t="s">
        <v>484</v>
      </c>
      <c r="F130" s="29" t="s">
        <v>597</v>
      </c>
      <c r="G130" s="20" t="str">
        <f>SUBSTITUTE(SUBSTITUTE(SUBSTITUTE(O130,"/@","_"),"/cac:","_"),"/cbc:","_")</f>
        <v>Invoice_PayeeParty_PostalAddress_BuildingNumber</v>
      </c>
      <c r="H130" s="19" t="s">
        <v>486</v>
      </c>
      <c r="I130" s="19" t="s">
        <v>487</v>
      </c>
      <c r="J130" s="19" t="s">
        <v>488</v>
      </c>
      <c r="K130" s="25"/>
      <c r="L130" s="25" t="s">
        <v>228</v>
      </c>
      <c r="M130" s="27" t="s">
        <v>64</v>
      </c>
      <c r="N130" s="26" t="str">
        <f>IF(O130="","",LEN(O130)-LEN(SUBSTITUTE(O130,"/",""))+IF(ISNUMBER(SEARCH("@",O130)),0,1))</f>
        <v>4</v>
      </c>
      <c r="O130" s="26" t="s">
        <v>598</v>
      </c>
      <c r="P130" s="20"/>
      <c r="Q130" s="20"/>
      <c r="R130" s="25"/>
      <c r="S130" s="20" t="s">
        <v>490</v>
      </c>
      <c r="T130" s="20"/>
      <c r="U130" s="25" t="s">
        <v>67</v>
      </c>
      <c r="V130" s="20" t="s">
        <v>68</v>
      </c>
      <c r="W130" s="20" t="str">
        <f>IF(ISBLANK(O130),"是","否")</f>
        <v>否</v>
      </c>
      <c r="X130" s="20"/>
      <c r="Y130" s="25"/>
      <c r="Z130" s="25"/>
      <c r="AC130" s="20" t="s">
        <v>76</v>
      </c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</row>
    <row r="131" ht="29.59398496240601" customHeight="1" spans="1:52" x14ac:dyDescent="0.25">
      <c r="A131" s="19" t="s">
        <v>282</v>
      </c>
      <c r="B131" s="20" t="s">
        <v>57</v>
      </c>
      <c r="C131" s="21"/>
      <c r="D131" s="22"/>
      <c r="E131" s="21" t="s">
        <v>491</v>
      </c>
      <c r="F131" s="29" t="s">
        <v>599</v>
      </c>
      <c r="G131" s="20" t="str">
        <f>SUBSTITUTE(SUBSTITUTE(SUBSTITUTE(O131,"/@","_"),"/cac:","_"),"/cbc:","_")</f>
        <v>Invoice_PayeeParty_PostalAddress_Department</v>
      </c>
      <c r="H131" s="19" t="s">
        <v>493</v>
      </c>
      <c r="I131" s="19" t="s">
        <v>491</v>
      </c>
      <c r="J131" s="19" t="s">
        <v>494</v>
      </c>
      <c r="K131" s="25"/>
      <c r="L131" s="25" t="s">
        <v>228</v>
      </c>
      <c r="M131" s="27" t="s">
        <v>64</v>
      </c>
      <c r="N131" s="26" t="str">
        <f>IF(O131="","",LEN(O131)-LEN(SUBSTITUTE(O131,"/",""))+IF(ISNUMBER(SEARCH("@",O131)),0,1))</f>
        <v>4</v>
      </c>
      <c r="O131" s="26" t="s">
        <v>600</v>
      </c>
      <c r="P131" s="20"/>
      <c r="Q131" s="20"/>
      <c r="R131" s="25"/>
      <c r="S131" s="20" t="s">
        <v>496</v>
      </c>
      <c r="T131" s="20"/>
      <c r="U131" s="25" t="s">
        <v>67</v>
      </c>
      <c r="V131" s="20" t="s">
        <v>68</v>
      </c>
      <c r="W131" s="20" t="str">
        <f>IF(ISBLANK(O131),"是","否")</f>
        <v>否</v>
      </c>
      <c r="X131" s="20"/>
      <c r="Y131" s="25"/>
      <c r="Z131" s="25"/>
      <c r="AC131" s="20" t="s">
        <v>76</v>
      </c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</row>
    <row r="132" ht="39.879699248120296" customHeight="1" spans="1:52" x14ac:dyDescent="0.25">
      <c r="A132" s="19" t="s">
        <v>282</v>
      </c>
      <c r="B132" s="20" t="s">
        <v>57</v>
      </c>
      <c r="C132" s="21"/>
      <c r="D132" s="22"/>
      <c r="E132" s="21" t="s">
        <v>497</v>
      </c>
      <c r="F132" s="29" t="s">
        <v>601</v>
      </c>
      <c r="G132" s="20" t="str">
        <f>SUBSTITUTE(SUBSTITUTE(SUBSTITUTE(O132,"/@","_"),"/cac:","_"),"/cbc:","_")</f>
        <v>Invoice_PayeeParty_PostalAddress_PlotIdentification</v>
      </c>
      <c r="H132" s="19" t="s">
        <v>499</v>
      </c>
      <c r="I132" s="19"/>
      <c r="J132" s="19" t="s">
        <v>500</v>
      </c>
      <c r="K132" s="25"/>
      <c r="L132" s="25" t="s">
        <v>228</v>
      </c>
      <c r="M132" s="27" t="s">
        <v>64</v>
      </c>
      <c r="N132" s="26" t="str">
        <f>IF(O132="","",LEN(O132)-LEN(SUBSTITUTE(O132,"/",""))+IF(ISNUMBER(SEARCH("@",O132)),0,1))</f>
        <v>4</v>
      </c>
      <c r="O132" s="26" t="s">
        <v>602</v>
      </c>
      <c r="P132" s="20"/>
      <c r="Q132" s="20"/>
      <c r="R132" s="25"/>
      <c r="S132" s="20"/>
      <c r="T132" s="20"/>
      <c r="U132" s="25" t="s">
        <v>67</v>
      </c>
      <c r="V132" s="20" t="s">
        <v>68</v>
      </c>
      <c r="W132" s="20" t="str">
        <f>IF(ISBLANK(O132),"是","否")</f>
        <v>否</v>
      </c>
      <c r="X132" s="20"/>
      <c r="Y132" s="25"/>
      <c r="Z132" s="25"/>
      <c r="AC132" s="20" t="s">
        <v>76</v>
      </c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</row>
    <row r="133" ht="39.879699248120296" customHeight="1" spans="1:52" x14ac:dyDescent="0.25">
      <c r="A133" s="19" t="s">
        <v>282</v>
      </c>
      <c r="B133" s="20" t="s">
        <v>57</v>
      </c>
      <c r="C133" s="21"/>
      <c r="D133" s="22"/>
      <c r="E133" s="21" t="s">
        <v>502</v>
      </c>
      <c r="F133" s="29" t="s">
        <v>603</v>
      </c>
      <c r="G133" s="20" t="str">
        <f>SUBSTITUTE(SUBSTITUTE(SUBSTITUTE(O133,"/@","_"),"/cac:","_"),"/cbc:","_")</f>
        <v>Invoice_PayeeParty_PostalAddress_CitySubdivisionName</v>
      </c>
      <c r="H133" s="19" t="s">
        <v>504</v>
      </c>
      <c r="I133" s="19"/>
      <c r="J133" s="19" t="s">
        <v>505</v>
      </c>
      <c r="K133" s="25"/>
      <c r="L133" s="25" t="s">
        <v>228</v>
      </c>
      <c r="M133" s="27" t="s">
        <v>64</v>
      </c>
      <c r="N133" s="26" t="str">
        <f>IF(O133="","",LEN(O133)-LEN(SUBSTITUTE(O133,"/",""))+IF(ISNUMBER(SEARCH("@",O133)),0,1))</f>
        <v>4</v>
      </c>
      <c r="O133" s="26" t="s">
        <v>604</v>
      </c>
      <c r="P133" s="20"/>
      <c r="Q133" s="20"/>
      <c r="R133" s="25"/>
      <c r="S133" s="20"/>
      <c r="T133" s="20"/>
      <c r="U133" s="25" t="s">
        <v>67</v>
      </c>
      <c r="V133" s="20" t="s">
        <v>68</v>
      </c>
      <c r="W133" s="20" t="str">
        <f>IF(ISBLANK(O133),"是","否")</f>
        <v>否</v>
      </c>
      <c r="X133" s="20"/>
      <c r="Y133" s="25"/>
      <c r="Z133" s="25"/>
      <c r="AC133" s="20" t="s">
        <v>76</v>
      </c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</row>
    <row r="134" ht="29.59398496240601" customHeight="1" spans="1:52" x14ac:dyDescent="0.25">
      <c r="A134" s="19" t="s">
        <v>282</v>
      </c>
      <c r="B134" s="20" t="s">
        <v>57</v>
      </c>
      <c r="C134" s="21"/>
      <c r="D134" s="22"/>
      <c r="E134" s="21" t="s">
        <v>290</v>
      </c>
      <c r="F134" s="29" t="s">
        <v>605</v>
      </c>
      <c r="G134" s="20" t="str">
        <f>SUBSTITUTE(SUBSTITUTE(SUBSTITUTE(O134,"/@","_"),"/cac:","_"),"/cbc:","_")</f>
        <v>Invoice_PayeeParty_PostalAddress_CityName</v>
      </c>
      <c r="H134" s="19" t="s">
        <v>292</v>
      </c>
      <c r="I134" s="19" t="s">
        <v>293</v>
      </c>
      <c r="J134" s="19" t="s">
        <v>294</v>
      </c>
      <c r="K134" s="25"/>
      <c r="L134" s="25" t="s">
        <v>228</v>
      </c>
      <c r="M134" s="27" t="s">
        <v>64</v>
      </c>
      <c r="N134" s="26" t="str">
        <f>IF(O134="","",LEN(O134)-LEN(SUBSTITUTE(O134,"/",""))+IF(ISNUMBER(SEARCH("@",O134)),0,1))</f>
        <v>4</v>
      </c>
      <c r="O134" s="26" t="s">
        <v>606</v>
      </c>
      <c r="P134" s="20"/>
      <c r="Q134" s="20"/>
      <c r="R134" s="25"/>
      <c r="S134" s="20" t="s">
        <v>296</v>
      </c>
      <c r="T134" s="20"/>
      <c r="U134" s="25" t="s">
        <v>67</v>
      </c>
      <c r="V134" s="20" t="s">
        <v>68</v>
      </c>
      <c r="W134" s="20" t="str">
        <f>IF(ISBLANK(O134),"是","否")</f>
        <v>否</v>
      </c>
      <c r="X134" s="20"/>
      <c r="Y134" s="25"/>
      <c r="Z134" s="25"/>
      <c r="AC134" s="20" t="s">
        <v>76</v>
      </c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</row>
    <row r="135" ht="39.879699248120296" customHeight="1" spans="1:52" x14ac:dyDescent="0.25">
      <c r="A135" s="19" t="s">
        <v>282</v>
      </c>
      <c r="B135" s="20" t="s">
        <v>57</v>
      </c>
      <c r="C135" s="21"/>
      <c r="D135" s="22"/>
      <c r="E135" s="21" t="s">
        <v>309</v>
      </c>
      <c r="F135" s="29" t="s">
        <v>607</v>
      </c>
      <c r="G135" s="20" t="str">
        <f>SUBSTITUTE(SUBSTITUTE(SUBSTITUTE(O135,"/@","_"),"/cac:","_"),"/cbc:","_")</f>
        <v>Invoice_PayeeParty_PostalAddress_PostalZone</v>
      </c>
      <c r="H135" s="19" t="s">
        <v>311</v>
      </c>
      <c r="I135" s="19" t="s">
        <v>312</v>
      </c>
      <c r="J135" s="19" t="s">
        <v>313</v>
      </c>
      <c r="K135" s="25"/>
      <c r="L135" s="25" t="s">
        <v>228</v>
      </c>
      <c r="M135" s="27" t="s">
        <v>64</v>
      </c>
      <c r="N135" s="26" t="str">
        <f>IF(O135="","",LEN(O135)-LEN(SUBSTITUTE(O135,"/",""))+IF(ISNUMBER(SEARCH("@",O135)),0,1))</f>
        <v>4</v>
      </c>
      <c r="O135" s="26" t="s">
        <v>608</v>
      </c>
      <c r="P135" s="20"/>
      <c r="Q135" s="20"/>
      <c r="R135" s="25"/>
      <c r="S135" s="20" t="s">
        <v>315</v>
      </c>
      <c r="T135" s="20"/>
      <c r="U135" s="25" t="s">
        <v>67</v>
      </c>
      <c r="V135" s="20" t="s">
        <v>68</v>
      </c>
      <c r="W135" s="20" t="str">
        <f>IF(ISBLANK(O135),"是","否")</f>
        <v>否</v>
      </c>
      <c r="X135" s="20"/>
      <c r="Y135" s="25"/>
      <c r="Z135" s="25"/>
      <c r="AC135" s="20" t="s">
        <v>76</v>
      </c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</row>
    <row r="136" ht="39.879699248120296" customHeight="1" spans="1:52" x14ac:dyDescent="0.25">
      <c r="A136" s="19" t="s">
        <v>282</v>
      </c>
      <c r="B136" s="20" t="s">
        <v>57</v>
      </c>
      <c r="C136" s="21"/>
      <c r="D136" s="22"/>
      <c r="E136" s="21" t="s">
        <v>297</v>
      </c>
      <c r="F136" s="29" t="s">
        <v>609</v>
      </c>
      <c r="G136" s="20" t="str">
        <f>SUBSTITUTE(SUBSTITUTE(SUBSTITUTE(O136,"/@","_"),"/cac:","_"),"/cbc:","_")</f>
        <v>Invoice_PayeeParty_PostalAddress_CountrySubentity</v>
      </c>
      <c r="H136" s="19" t="s">
        <v>299</v>
      </c>
      <c r="I136" s="19" t="s">
        <v>300</v>
      </c>
      <c r="J136" s="19" t="s">
        <v>301</v>
      </c>
      <c r="K136" s="25"/>
      <c r="L136" s="25" t="s">
        <v>243</v>
      </c>
      <c r="M136" s="27" t="s">
        <v>64</v>
      </c>
      <c r="N136" s="26" t="str">
        <f>IF(O136="","",LEN(O136)-LEN(SUBSTITUTE(O136,"/",""))+IF(ISNUMBER(SEARCH("@",O136)),0,1))</f>
        <v>4</v>
      </c>
      <c r="O136" s="26" t="s">
        <v>610</v>
      </c>
      <c r="P136" s="20"/>
      <c r="Q136" s="20"/>
      <c r="R136" s="25"/>
      <c r="S136" s="20" t="s">
        <v>303</v>
      </c>
      <c r="T136" s="20"/>
      <c r="U136" s="25" t="s">
        <v>67</v>
      </c>
      <c r="V136" s="20" t="s">
        <v>68</v>
      </c>
      <c r="W136" s="20" t="str">
        <f>IF(ISBLANK(O136),"是","否")</f>
        <v>否</v>
      </c>
      <c r="X136" s="20"/>
      <c r="Y136" s="25"/>
      <c r="Z136" s="25"/>
      <c r="AC136" s="20" t="s">
        <v>76</v>
      </c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</row>
    <row r="137" ht="29.59398496240601" customHeight="1" spans="1:52" x14ac:dyDescent="0.25">
      <c r="A137" s="19" t="s">
        <v>282</v>
      </c>
      <c r="B137" s="20" t="s">
        <v>57</v>
      </c>
      <c r="C137" s="21"/>
      <c r="D137" s="22"/>
      <c r="E137" s="21" t="s">
        <v>316</v>
      </c>
      <c r="F137" s="29" t="s">
        <v>611</v>
      </c>
      <c r="G137" s="20" t="str">
        <f>SUBSTITUTE(SUBSTITUTE(SUBSTITUTE(O137,"/@","_"),"/cac:","_"),"/cbc:","_")</f>
        <v>Invoice_PayeeParty_PostalAddress_AddressLine</v>
      </c>
      <c r="H137" s="19" t="s">
        <v>318</v>
      </c>
      <c r="I137" s="19"/>
      <c r="J137" s="19" t="s">
        <v>319</v>
      </c>
      <c r="K137" s="25"/>
      <c r="L137" s="25" t="s">
        <v>220</v>
      </c>
      <c r="M137" s="27" t="s">
        <v>49</v>
      </c>
      <c r="N137" s="26" t="str">
        <f>IF(O137="","",LEN(O137)-LEN(SUBSTITUTE(O137,"/",""))+IF(ISNUMBER(SEARCH("@",O137)),0,1))</f>
        <v>4</v>
      </c>
      <c r="O137" s="26" t="s">
        <v>612</v>
      </c>
      <c r="P137" s="20"/>
      <c r="Q137" s="20"/>
      <c r="R137" s="25"/>
      <c r="S137" s="20"/>
      <c r="T137" s="20"/>
      <c r="U137" s="25" t="s">
        <v>67</v>
      </c>
      <c r="V137" s="20" t="s">
        <v>222</v>
      </c>
      <c r="W137" s="20" t="str">
        <f>IF(ISBLANK(O137),"是","否")</f>
        <v>否</v>
      </c>
      <c r="X137" s="20"/>
      <c r="Y137" s="25"/>
      <c r="Z137" s="25"/>
      <c r="AC137" s="20" t="s">
        <v>76</v>
      </c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</row>
    <row r="138" ht="29.59398496240601" customHeight="1" spans="1:52" x14ac:dyDescent="0.25">
      <c r="A138" s="19" t="s">
        <v>316</v>
      </c>
      <c r="B138" s="20" t="s">
        <v>57</v>
      </c>
      <c r="C138" s="21"/>
      <c r="D138" s="22"/>
      <c r="E138" s="21" t="s">
        <v>321</v>
      </c>
      <c r="F138" s="29" t="s">
        <v>613</v>
      </c>
      <c r="G138" s="20" t="str">
        <f>SUBSTITUTE(SUBSTITUTE(SUBSTITUTE(O138,"/@","_"),"/cac:","_"),"/cbc:","_")</f>
        <v>Invoice_PayeeParty_PostalAddress_AddressLine_Line</v>
      </c>
      <c r="H138" s="19" t="s">
        <v>323</v>
      </c>
      <c r="I138" s="19"/>
      <c r="J138" s="19" t="s">
        <v>324</v>
      </c>
      <c r="K138" s="25"/>
      <c r="L138" s="25" t="s">
        <v>325</v>
      </c>
      <c r="M138" s="27" t="s">
        <v>165</v>
      </c>
      <c r="N138" s="26" t="str">
        <f>IF(O138="","",LEN(O138)-LEN(SUBSTITUTE(O138,"/",""))+IF(ISNUMBER(SEARCH("@",O138)),0,1))</f>
        <v>5</v>
      </c>
      <c r="O138" s="26" t="s">
        <v>614</v>
      </c>
      <c r="P138" s="20"/>
      <c r="Q138" s="20"/>
      <c r="R138" s="25"/>
      <c r="S138" s="20" t="s">
        <v>327</v>
      </c>
      <c r="T138" s="20"/>
      <c r="U138" s="25" t="s">
        <v>67</v>
      </c>
      <c r="V138" s="20" t="s">
        <v>68</v>
      </c>
      <c r="W138" s="20" t="str">
        <f>IF(ISBLANK(O138),"是","否")</f>
        <v>否</v>
      </c>
      <c r="X138" s="20"/>
      <c r="Y138" s="25"/>
      <c r="Z138" s="25"/>
      <c r="AC138" s="20" t="s">
        <v>76</v>
      </c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</row>
    <row r="139" ht="29.59398496240601" customHeight="1" spans="1:52" x14ac:dyDescent="0.25">
      <c r="A139" s="19" t="s">
        <v>328</v>
      </c>
      <c r="B139" s="20" t="s">
        <v>57</v>
      </c>
      <c r="C139" s="21"/>
      <c r="D139" s="22"/>
      <c r="E139" s="21" t="s">
        <v>519</v>
      </c>
      <c r="F139" s="29" t="s">
        <v>615</v>
      </c>
      <c r="G139" s="20" t="str">
        <f>SUBSTITUTE(SUBSTITUTE(SUBSTITUTE(O139,"/@","_"),"/cac:","_"),"/cbc:","_")</f>
        <v>Invoice_PayeeParty_PostalAddress_Country_IdentificationCode</v>
      </c>
      <c r="H139" s="19" t="s">
        <v>335</v>
      </c>
      <c r="I139" s="19"/>
      <c r="J139" s="19" t="s">
        <v>336</v>
      </c>
      <c r="K139" s="25"/>
      <c r="L139" s="25" t="s">
        <v>243</v>
      </c>
      <c r="M139" s="27" t="s">
        <v>64</v>
      </c>
      <c r="N139" s="26" t="str">
        <f>IF(O139="","",LEN(O139)-LEN(SUBSTITUTE(O139,"/",""))+IF(ISNUMBER(SEARCH("@",O139)),0,1))</f>
        <v>5</v>
      </c>
      <c r="O139" s="26" t="s">
        <v>616</v>
      </c>
      <c r="P139" s="20"/>
      <c r="Q139" s="20"/>
      <c r="R139" s="25"/>
      <c r="S139" s="20"/>
      <c r="T139" s="20"/>
      <c r="U139" s="25" t="s">
        <v>67</v>
      </c>
      <c r="V139" s="20" t="s">
        <v>68</v>
      </c>
      <c r="W139" s="20" t="str">
        <f>IF(ISBLANK(O139),"是","否")</f>
        <v>否</v>
      </c>
      <c r="X139" s="20"/>
      <c r="Y139" s="25"/>
      <c r="Z139" s="25"/>
      <c r="AC139" s="20" t="s">
        <v>76</v>
      </c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</row>
    <row r="140" ht="29.59398496240601" customHeight="1" spans="1:52" x14ac:dyDescent="0.25">
      <c r="A140" s="19" t="s">
        <v>328</v>
      </c>
      <c r="B140" s="20" t="s">
        <v>57</v>
      </c>
      <c r="C140" s="21"/>
      <c r="D140" s="22"/>
      <c r="E140" s="21" t="s">
        <v>522</v>
      </c>
      <c r="F140" s="29" t="s">
        <v>617</v>
      </c>
      <c r="G140" s="20" t="str">
        <f>SUBSTITUTE(SUBSTITUTE(SUBSTITUTE(O140,"/@","_"),"/cac:","_"),"/cbc:","_")</f>
        <v>Invoice_PayeeParty_PostalAddress_Country_Name</v>
      </c>
      <c r="H140" s="19" t="s">
        <v>340</v>
      </c>
      <c r="I140" s="19"/>
      <c r="J140" s="19" t="s">
        <v>341</v>
      </c>
      <c r="K140" s="25"/>
      <c r="L140" s="25" t="s">
        <v>243</v>
      </c>
      <c r="M140" s="27" t="s">
        <v>64</v>
      </c>
      <c r="N140" s="26" t="str">
        <f>IF(O140="","",LEN(O140)-LEN(SUBSTITUTE(O140,"/",""))+IF(ISNUMBER(SEARCH("@",O140)),0,1))</f>
        <v>5</v>
      </c>
      <c r="O140" s="26" t="s">
        <v>618</v>
      </c>
      <c r="P140" s="20"/>
      <c r="Q140" s="20"/>
      <c r="R140" s="25"/>
      <c r="S140" s="20" t="s">
        <v>343</v>
      </c>
      <c r="T140" s="20"/>
      <c r="U140" s="25" t="s">
        <v>67</v>
      </c>
      <c r="V140" s="20" t="s">
        <v>68</v>
      </c>
      <c r="W140" s="20" t="str">
        <f>IF(ISBLANK(O140),"是","否")</f>
        <v>否</v>
      </c>
      <c r="X140" s="20"/>
      <c r="Y140" s="25"/>
      <c r="Z140" s="25"/>
      <c r="AC140" s="20" t="s">
        <v>76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</row>
    <row r="141" ht="29.59398496240601" customHeight="1" spans="1:52" x14ac:dyDescent="0.25">
      <c r="A141" s="19" t="s">
        <v>230</v>
      </c>
      <c r="B141" s="20" t="s">
        <v>57</v>
      </c>
      <c r="C141" s="21"/>
      <c r="D141" s="22"/>
      <c r="E141" s="21" t="s">
        <v>344</v>
      </c>
      <c r="F141" s="29" t="s">
        <v>619</v>
      </c>
      <c r="G141" s="20" t="str">
        <f>SUBSTITUTE(SUBSTITUTE(SUBSTITUTE(O141,"/@","_"),"/cac:","_"),"/cbc:","_")</f>
        <v>Invoice_PayeeParty_PartyTaxScheme</v>
      </c>
      <c r="H141" s="19" t="s">
        <v>346</v>
      </c>
      <c r="I141" s="19"/>
      <c r="J141" s="19" t="s">
        <v>347</v>
      </c>
      <c r="K141" s="25"/>
      <c r="L141" s="25" t="s">
        <v>220</v>
      </c>
      <c r="M141" s="27" t="s">
        <v>49</v>
      </c>
      <c r="N141" s="26" t="str">
        <f>IF(O141="","",LEN(O141)-LEN(SUBSTITUTE(O141,"/",""))+IF(ISNUMBER(SEARCH("@",O141)),0,1))</f>
        <v>3</v>
      </c>
      <c r="O141" s="26" t="s">
        <v>620</v>
      </c>
      <c r="P141" s="20"/>
      <c r="Q141" s="20"/>
      <c r="R141" s="25"/>
      <c r="S141" s="20"/>
      <c r="T141" s="20"/>
      <c r="U141" s="25" t="s">
        <v>67</v>
      </c>
      <c r="V141" s="20" t="s">
        <v>222</v>
      </c>
      <c r="W141" s="20" t="str">
        <f>IF(ISBLANK(O141),"是","否")</f>
        <v>否</v>
      </c>
      <c r="X141" s="20"/>
      <c r="Y141" s="25"/>
      <c r="Z141" s="25"/>
      <c r="AC141" s="20" t="s">
        <v>76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</row>
    <row r="142" ht="60.45112781954887" customHeight="1" spans="1:52" x14ac:dyDescent="0.25">
      <c r="A142" s="19" t="s">
        <v>349</v>
      </c>
      <c r="B142" s="20" t="s">
        <v>57</v>
      </c>
      <c r="C142" s="21"/>
      <c r="D142" s="22"/>
      <c r="E142" s="21" t="s">
        <v>527</v>
      </c>
      <c r="F142" s="29" t="s">
        <v>621</v>
      </c>
      <c r="G142" s="20" t="str">
        <f>SUBSTITUTE(SUBSTITUTE(SUBSTITUTE(O142,"/@","_"),"/cac:","_"),"/cbc:","_")</f>
        <v>Invoice_PayeeParty_PartyTaxScheme_TaxScheme_ID</v>
      </c>
      <c r="H142" s="19" t="s">
        <v>267</v>
      </c>
      <c r="I142" s="19"/>
      <c r="J142" s="19" t="s">
        <v>351</v>
      </c>
      <c r="K142" s="25"/>
      <c r="L142" s="25" t="s">
        <v>243</v>
      </c>
      <c r="M142" s="27" t="s">
        <v>64</v>
      </c>
      <c r="N142" s="26" t="str">
        <f>IF(O142="","",LEN(O142)-LEN(SUBSTITUTE(O142,"/",""))+IF(ISNUMBER(SEARCH("@",O142)),0,1))</f>
        <v>5</v>
      </c>
      <c r="O142" s="26" t="s">
        <v>622</v>
      </c>
      <c r="P142" s="20"/>
      <c r="Q142" s="20"/>
      <c r="R142" s="25"/>
      <c r="S142" s="20" t="s">
        <v>353</v>
      </c>
      <c r="T142" s="20"/>
      <c r="U142" s="25" t="s">
        <v>67</v>
      </c>
      <c r="V142" s="20" t="s">
        <v>68</v>
      </c>
      <c r="W142" s="20" t="str">
        <f>IF(ISBLANK(O142),"是","否")</f>
        <v>否</v>
      </c>
      <c r="X142" s="20"/>
      <c r="Y142" s="25"/>
      <c r="Z142" s="25"/>
      <c r="AC142" s="20" t="s">
        <v>76</v>
      </c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</row>
    <row r="143" ht="29.59398496240601" customHeight="1" spans="1:52" x14ac:dyDescent="0.25">
      <c r="A143" s="19" t="s">
        <v>344</v>
      </c>
      <c r="B143" s="20" t="s">
        <v>57</v>
      </c>
      <c r="C143" s="21"/>
      <c r="D143" s="22"/>
      <c r="E143" s="21" t="s">
        <v>531</v>
      </c>
      <c r="F143" s="29" t="s">
        <v>623</v>
      </c>
      <c r="G143" s="20" t="str">
        <f>SUBSTITUTE(SUBSTITUTE(SUBSTITUTE(O143,"/@","_"),"/cac:","_"),"/cbc:","_")</f>
        <v>Invoice_PayeeParty_PartyTaxScheme_CompanyID</v>
      </c>
      <c r="H143" s="19" t="s">
        <v>624</v>
      </c>
      <c r="I143" s="19" t="s">
        <v>357</v>
      </c>
      <c r="J143" s="19" t="s">
        <v>358</v>
      </c>
      <c r="K143" s="25"/>
      <c r="L143" s="25" t="s">
        <v>228</v>
      </c>
      <c r="M143" s="27" t="s">
        <v>64</v>
      </c>
      <c r="N143" s="26" t="str">
        <f>IF(O143="","",LEN(O143)-LEN(SUBSTITUTE(O143,"/",""))+IF(ISNUMBER(SEARCH("@",O143)),0,1))</f>
        <v>4</v>
      </c>
      <c r="O143" s="26" t="s">
        <v>625</v>
      </c>
      <c r="P143" s="20"/>
      <c r="Q143" s="20"/>
      <c r="R143" s="25"/>
      <c r="S143" s="20" t="s">
        <v>360</v>
      </c>
      <c r="T143" s="20"/>
      <c r="U143" s="25" t="s">
        <v>67</v>
      </c>
      <c r="V143" s="20" t="s">
        <v>68</v>
      </c>
      <c r="W143" s="20" t="str">
        <f>IF(ISBLANK(O143),"是","否")</f>
        <v>否</v>
      </c>
      <c r="X143" s="20"/>
      <c r="Y143" s="25"/>
      <c r="Z143" s="25"/>
      <c r="AC143" s="20" t="s">
        <v>76</v>
      </c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</row>
    <row r="144" ht="29.59398496240601" customHeight="1" spans="1:52" x14ac:dyDescent="0.25">
      <c r="A144" s="19" t="s">
        <v>230</v>
      </c>
      <c r="B144" s="20" t="s">
        <v>57</v>
      </c>
      <c r="C144" s="21"/>
      <c r="D144" s="22"/>
      <c r="E144" s="21" t="s">
        <v>361</v>
      </c>
      <c r="F144" s="29" t="s">
        <v>626</v>
      </c>
      <c r="G144" s="20" t="str">
        <f>SUBSTITUTE(SUBSTITUTE(SUBSTITUTE(O144,"/@","_"),"/cac:","_"),"/cbc:","_")</f>
        <v>Invoice_PayeeParty_PartyLegalEntity</v>
      </c>
      <c r="H144" s="19" t="s">
        <v>536</v>
      </c>
      <c r="I144" s="19"/>
      <c r="J144" s="19" t="s">
        <v>364</v>
      </c>
      <c r="K144" s="25"/>
      <c r="L144" s="25" t="s">
        <v>220</v>
      </c>
      <c r="M144" s="27" t="s">
        <v>49</v>
      </c>
      <c r="N144" s="26" t="str">
        <f>IF(O144="","",LEN(O144)-LEN(SUBSTITUTE(O144,"/",""))+IF(ISNUMBER(SEARCH("@",O144)),0,1))</f>
        <v>3</v>
      </c>
      <c r="O144" s="26" t="s">
        <v>627</v>
      </c>
      <c r="P144" s="20"/>
      <c r="Q144" s="20"/>
      <c r="R144" s="25"/>
      <c r="S144" s="20"/>
      <c r="T144" s="20"/>
      <c r="U144" s="25" t="s">
        <v>67</v>
      </c>
      <c r="V144" s="20" t="s">
        <v>222</v>
      </c>
      <c r="W144" s="20" t="str">
        <f>IF(ISBLANK(O144),"是","否")</f>
        <v>否</v>
      </c>
      <c r="X144" s="20"/>
      <c r="Y144" s="25"/>
      <c r="Z144" s="25"/>
      <c r="AC144" s="20" t="s">
        <v>76</v>
      </c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</row>
    <row r="145" ht="29.59398496240601" customHeight="1" spans="1:52" x14ac:dyDescent="0.25">
      <c r="A145" s="19" t="s">
        <v>366</v>
      </c>
      <c r="B145" s="20" t="s">
        <v>57</v>
      </c>
      <c r="C145" s="21"/>
      <c r="D145" s="22"/>
      <c r="E145" s="21" t="s">
        <v>367</v>
      </c>
      <c r="F145" s="29" t="s">
        <v>628</v>
      </c>
      <c r="G145" s="20" t="str">
        <f>SUBSTITUTE(SUBSTITUTE(SUBSTITUTE(O145,"/@","_"),"/cac:","_"),"/cbc:","_")</f>
        <v>Invoice_PayeeParty_PartyLegalEntity_RegistrationName</v>
      </c>
      <c r="H145" s="19" t="s">
        <v>270</v>
      </c>
      <c r="I145" s="19"/>
      <c r="J145" s="19" t="s">
        <v>369</v>
      </c>
      <c r="K145" s="25"/>
      <c r="L145" s="25" t="s">
        <v>228</v>
      </c>
      <c r="M145" s="27" t="s">
        <v>64</v>
      </c>
      <c r="N145" s="26" t="str">
        <f>IF(O145="","",LEN(O145)-LEN(SUBSTITUTE(O145,"/",""))+IF(ISNUMBER(SEARCH("@",O145)),0,1))</f>
        <v>4</v>
      </c>
      <c r="O145" s="26" t="s">
        <v>629</v>
      </c>
      <c r="P145" s="20"/>
      <c r="Q145" s="20"/>
      <c r="R145" s="25"/>
      <c r="S145" s="20" t="s">
        <v>371</v>
      </c>
      <c r="T145" s="20"/>
      <c r="U145" s="25" t="s">
        <v>67</v>
      </c>
      <c r="V145" s="20" t="s">
        <v>68</v>
      </c>
      <c r="W145" s="20" t="str">
        <f>IF(ISBLANK(O145),"是","否")</f>
        <v>否</v>
      </c>
      <c r="X145" s="20"/>
      <c r="Y145" s="25"/>
      <c r="Z145" s="25"/>
      <c r="AC145" s="20" t="s">
        <v>76</v>
      </c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</row>
    <row r="146" ht="29.59398496240601" customHeight="1" spans="1:52" x14ac:dyDescent="0.25">
      <c r="A146" s="19" t="s">
        <v>366</v>
      </c>
      <c r="B146" s="20" t="s">
        <v>57</v>
      </c>
      <c r="C146" s="21"/>
      <c r="D146" s="22"/>
      <c r="E146" s="21" t="s">
        <v>531</v>
      </c>
      <c r="F146" s="29" t="s">
        <v>630</v>
      </c>
      <c r="G146" s="20" t="str">
        <f>SUBSTITUTE(SUBSTITUTE(SUBSTITUTE(O146,"/@","_"),"/cac:","_"),"/cbc:","_")</f>
        <v>Invoice_PayeeParty_PartyLegalEntity_CompanyID</v>
      </c>
      <c r="H146" s="19" t="s">
        <v>262</v>
      </c>
      <c r="I146" s="19" t="s">
        <v>373</v>
      </c>
      <c r="J146" s="19" t="s">
        <v>374</v>
      </c>
      <c r="K146" s="25"/>
      <c r="L146" s="25" t="s">
        <v>228</v>
      </c>
      <c r="M146" s="27" t="s">
        <v>64</v>
      </c>
      <c r="N146" s="26" t="str">
        <f>IF(O146="","",LEN(O146)-LEN(SUBSTITUTE(O146,"/",""))+IF(ISNUMBER(SEARCH("@",O146)),0,1))</f>
        <v>4</v>
      </c>
      <c r="O146" s="26" t="s">
        <v>631</v>
      </c>
      <c r="P146" s="20"/>
      <c r="Q146" s="20"/>
      <c r="R146" s="25"/>
      <c r="S146" s="20" t="s">
        <v>360</v>
      </c>
      <c r="T146" s="20"/>
      <c r="U146" s="25" t="s">
        <v>67</v>
      </c>
      <c r="V146" s="20" t="s">
        <v>68</v>
      </c>
      <c r="W146" s="20" t="str">
        <f>IF(ISBLANK(O146),"是","否")</f>
        <v>否</v>
      </c>
      <c r="X146" s="20"/>
      <c r="Y146" s="25"/>
      <c r="Z146" s="25"/>
      <c r="AC146" s="20" t="s">
        <v>76</v>
      </c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</row>
    <row r="147" ht="29.59398496240601" customHeight="1" spans="1:52" x14ac:dyDescent="0.25">
      <c r="A147" s="19" t="s">
        <v>366</v>
      </c>
      <c r="B147" s="20" t="s">
        <v>57</v>
      </c>
      <c r="C147" s="21"/>
      <c r="D147" s="22"/>
      <c r="E147" s="21" t="s">
        <v>542</v>
      </c>
      <c r="F147" s="29" t="s">
        <v>632</v>
      </c>
      <c r="G147" s="20" t="str">
        <f>SUBSTITUTE(SUBSTITUTE(SUBSTITUTE(O147,"/@","_"),"/cac:","_"),"/cbc:","_")</f>
        <v>Invoice_PayeeParty_PartyLegalEntity_CompanyID_schemeID</v>
      </c>
      <c r="H147" s="19" t="s">
        <v>267</v>
      </c>
      <c r="I147" s="19" t="s">
        <v>373</v>
      </c>
      <c r="J147" s="19" t="s">
        <v>374</v>
      </c>
      <c r="K147" s="25"/>
      <c r="L147" s="25" t="s">
        <v>243</v>
      </c>
      <c r="M147" s="27" t="s">
        <v>64</v>
      </c>
      <c r="N147" s="26" t="str">
        <f>IF(O147="","",LEN(O147)-LEN(SUBSTITUTE(O147,"/",""))+IF(ISNUMBER(SEARCH("@",O147)),0,1))</f>
        <v>4</v>
      </c>
      <c r="O147" s="26" t="s">
        <v>633</v>
      </c>
      <c r="P147" s="20"/>
      <c r="Q147" s="20"/>
      <c r="R147" s="25"/>
      <c r="S147" s="20" t="s">
        <v>360</v>
      </c>
      <c r="T147" s="20"/>
      <c r="U147" s="25" t="s">
        <v>67</v>
      </c>
      <c r="V147" s="20" t="s">
        <v>68</v>
      </c>
      <c r="W147" s="20" t="str">
        <f>IF(ISBLANK(O147),"是","否")</f>
        <v>否</v>
      </c>
      <c r="X147" s="20"/>
      <c r="Y147" s="25"/>
      <c r="Z147" s="25"/>
      <c r="AC147" s="20" t="s">
        <v>76</v>
      </c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</row>
    <row r="148" ht="19.308270676691727" customHeight="1" spans="1:52" x14ac:dyDescent="0.25">
      <c r="A148" s="19" t="s">
        <v>230</v>
      </c>
      <c r="B148" s="20" t="s">
        <v>57</v>
      </c>
      <c r="C148" s="21"/>
      <c r="D148" s="22"/>
      <c r="E148" s="21" t="s">
        <v>384</v>
      </c>
      <c r="F148" s="29" t="s">
        <v>634</v>
      </c>
      <c r="G148" s="20" t="str">
        <f>SUBSTITUTE(SUBSTITUTE(SUBSTITUTE(O148,"/@","_"),"/cac:","_"),"/cbc:","_")</f>
        <v>Invoice_PayeeParty_Contact</v>
      </c>
      <c r="H148" s="19" t="s">
        <v>386</v>
      </c>
      <c r="I148" s="19"/>
      <c r="J148" s="19" t="s">
        <v>387</v>
      </c>
      <c r="K148" s="25"/>
      <c r="L148" s="25" t="s">
        <v>220</v>
      </c>
      <c r="M148" s="27" t="s">
        <v>64</v>
      </c>
      <c r="N148" s="26" t="str">
        <f>IF(O148="","",LEN(O148)-LEN(SUBSTITUTE(O148,"/",""))+IF(ISNUMBER(SEARCH("@",O148)),0,1))</f>
        <v>3</v>
      </c>
      <c r="O148" s="26" t="s">
        <v>635</v>
      </c>
      <c r="P148" s="20"/>
      <c r="Q148" s="20"/>
      <c r="R148" s="25"/>
      <c r="S148" s="20"/>
      <c r="T148" s="20"/>
      <c r="U148" s="25" t="s">
        <v>67</v>
      </c>
      <c r="V148" s="20" t="s">
        <v>222</v>
      </c>
      <c r="W148" s="20" t="str">
        <f>IF(ISBLANK(O148),"是","否")</f>
        <v>否</v>
      </c>
      <c r="X148" s="20"/>
      <c r="Y148" s="25"/>
      <c r="Z148" s="25"/>
      <c r="AC148" s="20" t="s">
        <v>76</v>
      </c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</row>
    <row r="149" ht="39.879699248120296" customHeight="1" spans="1:52" x14ac:dyDescent="0.25">
      <c r="A149" s="19" t="s">
        <v>175</v>
      </c>
      <c r="B149" s="20" t="s">
        <v>57</v>
      </c>
      <c r="C149" s="21"/>
      <c r="D149" s="22"/>
      <c r="E149" s="21" t="s">
        <v>273</v>
      </c>
      <c r="F149" s="29" t="s">
        <v>636</v>
      </c>
      <c r="G149" s="20" t="str">
        <f>SUBSTITUTE(SUBSTITUTE(SUBSTITUTE(O149,"/@","_"),"/cac:","_"),"/cbc:","_")</f>
        <v>Invoice_PayeeParty_Contact_Name</v>
      </c>
      <c r="H149" s="19" t="s">
        <v>423</v>
      </c>
      <c r="I149" s="19"/>
      <c r="J149" s="19" t="s">
        <v>178</v>
      </c>
      <c r="K149" s="25"/>
      <c r="L149" s="25" t="s">
        <v>228</v>
      </c>
      <c r="M149" s="27" t="s">
        <v>64</v>
      </c>
      <c r="N149" s="26" t="str">
        <f>IF(O149="","",LEN(O149)-LEN(SUBSTITUTE(O149,"/",""))+IF(ISNUMBER(SEARCH("@",O149)),0,1))</f>
        <v>4</v>
      </c>
      <c r="O149" s="26" t="s">
        <v>637</v>
      </c>
      <c r="P149" s="20"/>
      <c r="Q149" s="20"/>
      <c r="R149" s="25"/>
      <c r="S149" s="20" t="s">
        <v>181</v>
      </c>
      <c r="T149" s="20"/>
      <c r="U149" s="25" t="s">
        <v>67</v>
      </c>
      <c r="V149" s="20" t="s">
        <v>68</v>
      </c>
      <c r="W149" s="20" t="str">
        <f>IF(ISBLANK(O149),"是","否")</f>
        <v>否</v>
      </c>
      <c r="X149" s="20"/>
      <c r="Y149" s="25"/>
      <c r="Z149" s="25"/>
      <c r="AC149" s="20" t="s">
        <v>76</v>
      </c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</row>
    <row r="150" ht="29.59398496240601" customHeight="1" spans="1:52" x14ac:dyDescent="0.25">
      <c r="A150" s="19" t="s">
        <v>175</v>
      </c>
      <c r="B150" s="20" t="s">
        <v>57</v>
      </c>
      <c r="C150" s="21"/>
      <c r="D150" s="22"/>
      <c r="E150" s="21" t="s">
        <v>392</v>
      </c>
      <c r="F150" s="29" t="s">
        <v>638</v>
      </c>
      <c r="G150" s="20" t="str">
        <f>SUBSTITUTE(SUBSTITUTE(SUBSTITUTE(O150,"/@","_"),"/cac:","_"),"/cbc:","_")</f>
        <v>Invoice_PayeeParty_Contact_Telephone</v>
      </c>
      <c r="H150" s="19" t="s">
        <v>427</v>
      </c>
      <c r="I150" s="19"/>
      <c r="J150" s="19" t="s">
        <v>395</v>
      </c>
      <c r="K150" s="25"/>
      <c r="L150" s="25" t="s">
        <v>228</v>
      </c>
      <c r="M150" s="27" t="s">
        <v>64</v>
      </c>
      <c r="N150" s="26" t="str">
        <f>IF(O150="","",LEN(O150)-LEN(SUBSTITUTE(O150,"/",""))+IF(ISNUMBER(SEARCH("@",O150)),0,1))</f>
        <v>4</v>
      </c>
      <c r="O150" s="26" t="s">
        <v>639</v>
      </c>
      <c r="P150" s="20"/>
      <c r="Q150" s="20"/>
      <c r="R150" s="25"/>
      <c r="S150" s="20"/>
      <c r="T150" s="20"/>
      <c r="U150" s="25" t="s">
        <v>67</v>
      </c>
      <c r="V150" s="20" t="s">
        <v>68</v>
      </c>
      <c r="W150" s="20" t="str">
        <f>IF(ISBLANK(O150),"是","否")</f>
        <v>否</v>
      </c>
      <c r="X150" s="20"/>
      <c r="Y150" s="25"/>
      <c r="Z150" s="25"/>
      <c r="AC150" s="20" t="s">
        <v>76</v>
      </c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</row>
    <row r="151" ht="29.59398496240601" customHeight="1" spans="1:52" x14ac:dyDescent="0.25">
      <c r="A151" s="19" t="s">
        <v>175</v>
      </c>
      <c r="B151" s="20" t="s">
        <v>57</v>
      </c>
      <c r="C151" s="21"/>
      <c r="D151" s="22"/>
      <c r="E151" s="21" t="s">
        <v>397</v>
      </c>
      <c r="F151" s="29" t="s">
        <v>640</v>
      </c>
      <c r="G151" s="20" t="str">
        <f>SUBSTITUTE(SUBSTITUTE(SUBSTITUTE(O151,"/@","_"),"/cac:","_"),"/cbc:","_")</f>
        <v>Invoice_PayeeParty_Contact_ElectronicMail</v>
      </c>
      <c r="H151" s="19" t="s">
        <v>641</v>
      </c>
      <c r="I151" s="19"/>
      <c r="J151" s="19" t="s">
        <v>400</v>
      </c>
      <c r="K151" s="25"/>
      <c r="L151" s="25" t="s">
        <v>228</v>
      </c>
      <c r="M151" s="27" t="s">
        <v>64</v>
      </c>
      <c r="N151" s="26" t="str">
        <f>IF(O151="","",LEN(O151)-LEN(SUBSTITUTE(O151,"/",""))+IF(ISNUMBER(SEARCH("@",O151)),0,1))</f>
        <v>4</v>
      </c>
      <c r="O151" s="26" t="s">
        <v>642</v>
      </c>
      <c r="P151" s="20"/>
      <c r="Q151" s="20"/>
      <c r="R151" s="25"/>
      <c r="S151" s="20"/>
      <c r="T151" s="20"/>
      <c r="U151" s="25" t="s">
        <v>67</v>
      </c>
      <c r="V151" s="20" t="s">
        <v>68</v>
      </c>
      <c r="W151" s="20" t="str">
        <f>IF(ISBLANK(O151),"是","否")</f>
        <v>否</v>
      </c>
      <c r="X151" s="20"/>
      <c r="Y151" s="25"/>
      <c r="Z151" s="25"/>
      <c r="AC151" s="20" t="s">
        <v>76</v>
      </c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</row>
    <row r="152" ht="19.308270676691727" customHeight="1" spans="1:52" x14ac:dyDescent="0.25">
      <c r="A152" s="19" t="s">
        <v>230</v>
      </c>
      <c r="B152" s="20" t="s">
        <v>57</v>
      </c>
      <c r="C152" s="21"/>
      <c r="D152" s="22"/>
      <c r="E152" s="21" t="s">
        <v>553</v>
      </c>
      <c r="F152" s="29" t="s">
        <v>643</v>
      </c>
      <c r="G152" s="20" t="str">
        <f>SUBSTITUTE(SUBSTITUTE(SUBSTITUTE(O152,"/@","_"),"/cac:","_"),"/cbc:","_")</f>
        <v>Invoice_PayeeParty_Person</v>
      </c>
      <c r="H152" s="19" t="s">
        <v>644</v>
      </c>
      <c r="I152" s="19"/>
      <c r="J152" s="19" t="s">
        <v>405</v>
      </c>
      <c r="K152" s="25"/>
      <c r="L152" s="25" t="s">
        <v>220</v>
      </c>
      <c r="M152" s="27" t="s">
        <v>49</v>
      </c>
      <c r="N152" s="26" t="str">
        <f>IF(O152="","",LEN(O152)-LEN(SUBSTITUTE(O152,"/",""))+IF(ISNUMBER(SEARCH("@",O152)),0,1))</f>
        <v>3</v>
      </c>
      <c r="O152" s="26" t="s">
        <v>645</v>
      </c>
      <c r="P152" s="20"/>
      <c r="Q152" s="20"/>
      <c r="R152" s="25"/>
      <c r="S152" s="20"/>
      <c r="T152" s="20"/>
      <c r="U152" s="25" t="s">
        <v>67</v>
      </c>
      <c r="V152" s="20" t="s">
        <v>222</v>
      </c>
      <c r="W152" s="20" t="str">
        <f>IF(ISBLANK(O152),"是","否")</f>
        <v>否</v>
      </c>
      <c r="X152" s="20"/>
      <c r="Y152" s="25"/>
      <c r="Z152" s="25"/>
      <c r="AC152" s="20" t="s">
        <v>76</v>
      </c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</row>
    <row r="153" ht="29.59398496240601" customHeight="1" spans="1:52" x14ac:dyDescent="0.25">
      <c r="A153" s="19" t="s">
        <v>402</v>
      </c>
      <c r="B153" s="20" t="s">
        <v>57</v>
      </c>
      <c r="C153" s="21"/>
      <c r="D153" s="22"/>
      <c r="E153" s="21" t="s">
        <v>407</v>
      </c>
      <c r="F153" s="29" t="s">
        <v>646</v>
      </c>
      <c r="G153" s="20" t="str">
        <f>SUBSTITUTE(SUBSTITUTE(SUBSTITUTE(O153,"/@","_"),"/cac:","_"),"/cbc:","_")</f>
        <v>Invoice_PayeeParty_Person_FirstName</v>
      </c>
      <c r="H153" s="19" t="s">
        <v>409</v>
      </c>
      <c r="I153" s="19"/>
      <c r="J153" s="19" t="s">
        <v>410</v>
      </c>
      <c r="K153" s="25"/>
      <c r="L153" s="25" t="s">
        <v>228</v>
      </c>
      <c r="M153" s="27" t="s">
        <v>64</v>
      </c>
      <c r="N153" s="26" t="str">
        <f>IF(O153="","",LEN(O153)-LEN(SUBSTITUTE(O153,"/",""))+IF(ISNUMBER(SEARCH("@",O153)),0,1))</f>
        <v>4</v>
      </c>
      <c r="O153" s="26" t="s">
        <v>647</v>
      </c>
      <c r="P153" s="20"/>
      <c r="Q153" s="20"/>
      <c r="R153" s="25"/>
      <c r="S153" s="20"/>
      <c r="T153" s="20"/>
      <c r="U153" s="25" t="s">
        <v>67</v>
      </c>
      <c r="V153" s="20" t="s">
        <v>68</v>
      </c>
      <c r="W153" s="20" t="str">
        <f>IF(ISBLANK(O153),"是","否")</f>
        <v>否</v>
      </c>
      <c r="X153" s="20"/>
      <c r="Y153" s="25"/>
      <c r="Z153" s="25"/>
      <c r="AC153" s="20" t="s">
        <v>76</v>
      </c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</row>
    <row r="154" ht="29.59398496240601" customHeight="1" spans="1:52" x14ac:dyDescent="0.25">
      <c r="A154" s="19" t="s">
        <v>402</v>
      </c>
      <c r="B154" s="20" t="s">
        <v>57</v>
      </c>
      <c r="C154" s="21"/>
      <c r="D154" s="22"/>
      <c r="E154" s="21" t="s">
        <v>412</v>
      </c>
      <c r="F154" s="29" t="s">
        <v>648</v>
      </c>
      <c r="G154" s="20" t="str">
        <f>SUBSTITUTE(SUBSTITUTE(SUBSTITUTE(O154,"/@","_"),"/cac:","_"),"/cbc:","_")</f>
        <v>Invoice_PayeeParty_Person_FamilyName</v>
      </c>
      <c r="H154" s="19" t="s">
        <v>414</v>
      </c>
      <c r="I154" s="19"/>
      <c r="J154" s="19" t="s">
        <v>415</v>
      </c>
      <c r="K154" s="25"/>
      <c r="L154" s="25" t="s">
        <v>228</v>
      </c>
      <c r="M154" s="27" t="s">
        <v>64</v>
      </c>
      <c r="N154" s="26" t="str">
        <f>IF(O154="","",LEN(O154)-LEN(SUBSTITUTE(O154,"/",""))+IF(ISNUMBER(SEARCH("@",O154)),0,1))</f>
        <v>4</v>
      </c>
      <c r="O154" s="26" t="s">
        <v>649</v>
      </c>
      <c r="P154" s="20"/>
      <c r="Q154" s="20"/>
      <c r="R154" s="25"/>
      <c r="S154" s="20"/>
      <c r="T154" s="20"/>
      <c r="U154" s="25" t="s">
        <v>67</v>
      </c>
      <c r="V154" s="20" t="s">
        <v>68</v>
      </c>
      <c r="W154" s="20" t="str">
        <f>IF(ISBLANK(O154),"是","否")</f>
        <v>否</v>
      </c>
      <c r="X154" s="20"/>
      <c r="Y154" s="25"/>
      <c r="Z154" s="25"/>
      <c r="AC154" s="20" t="s">
        <v>76</v>
      </c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</row>
    <row r="155" ht="39.879699248120296" customHeight="1" spans="1:52" x14ac:dyDescent="0.25">
      <c r="A155" s="19" t="s">
        <v>223</v>
      </c>
      <c r="B155" s="20" t="s">
        <v>57</v>
      </c>
      <c r="C155" s="21"/>
      <c r="D155" s="22"/>
      <c r="E155" s="31" t="s">
        <v>417</v>
      </c>
      <c r="F155" s="32" t="s">
        <v>650</v>
      </c>
      <c r="G155" s="20" t="str">
        <f>SUBSTITUTE(SUBSTITUTE(SUBSTITUTE(O155,"/@","_"),"/cac:","_"),"/cbc:","_")</f>
        <v>Invoice_AccountingSupplierParty_AccountingContact</v>
      </c>
      <c r="H155" s="19" t="s">
        <v>651</v>
      </c>
      <c r="I155" s="19"/>
      <c r="J155" s="19" t="s">
        <v>420</v>
      </c>
      <c r="K155" s="25"/>
      <c r="L155" s="25" t="s">
        <v>220</v>
      </c>
      <c r="M155" s="27" t="s">
        <v>64</v>
      </c>
      <c r="N155" s="26" t="str">
        <f>IF(O155="","",LEN(O155)-LEN(SUBSTITUTE(O155,"/",""))+IF(ISNUMBER(SEARCH("@",O155)),0,1))</f>
        <v>3</v>
      </c>
      <c r="O155" s="19" t="s">
        <v>421</v>
      </c>
      <c r="P155" s="19" t="s">
        <v>652</v>
      </c>
      <c r="Q155" s="20"/>
      <c r="R155" s="25"/>
      <c r="S155" s="20"/>
      <c r="T155" s="20"/>
      <c r="U155" s="25" t="s">
        <v>67</v>
      </c>
      <c r="V155" s="20" t="s">
        <v>222</v>
      </c>
      <c r="W155" s="20" t="str">
        <f>IF(ISBLANK(O155),"是","否")</f>
        <v>否</v>
      </c>
      <c r="X155" s="20"/>
      <c r="Y155" s="25"/>
      <c r="Z155" s="25"/>
      <c r="AC155" s="20" t="s">
        <v>653</v>
      </c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</row>
    <row r="156" ht="39.879699248120296" customHeight="1" spans="1:52" x14ac:dyDescent="0.25">
      <c r="A156" s="19" t="s">
        <v>175</v>
      </c>
      <c r="B156" s="20" t="s">
        <v>57</v>
      </c>
      <c r="C156" s="21"/>
      <c r="D156" s="22"/>
      <c r="E156" s="31" t="s">
        <v>273</v>
      </c>
      <c r="F156" s="32" t="s">
        <v>654</v>
      </c>
      <c r="G156" s="20" t="str">
        <f>SUBSTITUTE(SUBSTITUTE(SUBSTITUTE(O156,"/@","_"),"/cac:","_"),"/cbc:","_")</f>
        <v>Invoice_AccountingSupplierParty_AccountingContact_Name</v>
      </c>
      <c r="H156" s="19" t="s">
        <v>423</v>
      </c>
      <c r="I156" s="19"/>
      <c r="J156" s="19" t="s">
        <v>178</v>
      </c>
      <c r="K156" s="25"/>
      <c r="L156" s="25" t="s">
        <v>228</v>
      </c>
      <c r="M156" s="27" t="s">
        <v>64</v>
      </c>
      <c r="N156" s="26" t="str">
        <f>IF(O156="","",LEN(O156)-LEN(SUBSTITUTE(O156,"/",""))+IF(ISNUMBER(SEARCH("@",O156)),0,1))</f>
        <v>4</v>
      </c>
      <c r="O156" s="19" t="s">
        <v>425</v>
      </c>
      <c r="P156" s="19" t="s">
        <v>655</v>
      </c>
      <c r="Q156" s="20"/>
      <c r="R156" s="25"/>
      <c r="S156" s="20" t="s">
        <v>181</v>
      </c>
      <c r="T156" s="20"/>
      <c r="U156" s="25" t="s">
        <v>67</v>
      </c>
      <c r="V156" s="20" t="s">
        <v>68</v>
      </c>
      <c r="W156" s="20" t="str">
        <f>IF(ISBLANK(O156),"是","否")</f>
        <v>否</v>
      </c>
      <c r="X156" s="20"/>
      <c r="Y156" s="25"/>
      <c r="Z156" s="25"/>
      <c r="AC156" s="20" t="s">
        <v>653</v>
      </c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</row>
    <row r="157" ht="29.59398496240601" customHeight="1" spans="1:52" x14ac:dyDescent="0.25">
      <c r="A157" s="19" t="s">
        <v>175</v>
      </c>
      <c r="B157" s="20" t="s">
        <v>57</v>
      </c>
      <c r="C157" s="21"/>
      <c r="D157" s="22"/>
      <c r="E157" s="31" t="s">
        <v>392</v>
      </c>
      <c r="F157" s="32" t="s">
        <v>656</v>
      </c>
      <c r="G157" s="20" t="str">
        <f>SUBSTITUTE(SUBSTITUTE(SUBSTITUTE(O157,"/@","_"),"/cac:","_"),"/cbc:","_")</f>
        <v>Invoice_AccountingSupplierParty_AccountingContact_Telephone</v>
      </c>
      <c r="H157" s="19" t="s">
        <v>427</v>
      </c>
      <c r="I157" s="19"/>
      <c r="J157" s="19" t="s">
        <v>395</v>
      </c>
      <c r="K157" s="25"/>
      <c r="L157" s="25" t="s">
        <v>228</v>
      </c>
      <c r="M157" s="27" t="s">
        <v>64</v>
      </c>
      <c r="N157" s="26" t="str">
        <f>IF(O157="","",LEN(O157)-LEN(SUBSTITUTE(O157,"/",""))+IF(ISNUMBER(SEARCH("@",O157)),0,1))</f>
        <v>4</v>
      </c>
      <c r="O157" s="19" t="s">
        <v>428</v>
      </c>
      <c r="P157" s="19" t="s">
        <v>657</v>
      </c>
      <c r="Q157" s="20"/>
      <c r="R157" s="25"/>
      <c r="S157" s="20"/>
      <c r="T157" s="20"/>
      <c r="U157" s="25" t="s">
        <v>67</v>
      </c>
      <c r="V157" s="20" t="s">
        <v>68</v>
      </c>
      <c r="W157" s="20" t="str">
        <f>IF(ISBLANK(O157),"是","否")</f>
        <v>否</v>
      </c>
      <c r="X157" s="20"/>
      <c r="Y157" s="25"/>
      <c r="Z157" s="25"/>
      <c r="AC157" s="20" t="s">
        <v>653</v>
      </c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</row>
    <row r="158" ht="29.59398496240601" customHeight="1" spans="1:52" x14ac:dyDescent="0.25">
      <c r="A158" s="19" t="s">
        <v>175</v>
      </c>
      <c r="B158" s="20" t="s">
        <v>57</v>
      </c>
      <c r="C158" s="21"/>
      <c r="D158" s="22"/>
      <c r="E158" s="31" t="s">
        <v>429</v>
      </c>
      <c r="F158" s="32" t="s">
        <v>658</v>
      </c>
      <c r="G158" s="20" t="str">
        <f>SUBSTITUTE(SUBSTITUTE(SUBSTITUTE(O158,"/@","_"),"/cac:","_"),"/cbc:","_")</f>
        <v>Invoice_AccountingSupplierParty_AccountingContact_Telefax</v>
      </c>
      <c r="H158" s="19" t="s">
        <v>431</v>
      </c>
      <c r="I158" s="19"/>
      <c r="J158" s="19" t="s">
        <v>432</v>
      </c>
      <c r="K158" s="25"/>
      <c r="L158" s="25" t="s">
        <v>228</v>
      </c>
      <c r="M158" s="27" t="s">
        <v>64</v>
      </c>
      <c r="N158" s="26" t="str">
        <f>IF(O158="","",LEN(O158)-LEN(SUBSTITUTE(O158,"/",""))+IF(ISNUMBER(SEARCH("@",O158)),0,1))</f>
        <v>4</v>
      </c>
      <c r="O158" s="19" t="s">
        <v>433</v>
      </c>
      <c r="P158" s="19" t="s">
        <v>659</v>
      </c>
      <c r="Q158" s="20"/>
      <c r="R158" s="25"/>
      <c r="S158" s="20"/>
      <c r="T158" s="20"/>
      <c r="U158" s="25" t="s">
        <v>67</v>
      </c>
      <c r="V158" s="20" t="s">
        <v>68</v>
      </c>
      <c r="W158" s="20" t="str">
        <f>IF(ISBLANK(O158),"是","否")</f>
        <v>否</v>
      </c>
      <c r="X158" s="20"/>
      <c r="Y158" s="25"/>
      <c r="Z158" s="25"/>
      <c r="AC158" s="20" t="s">
        <v>653</v>
      </c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</row>
    <row r="159" ht="29.59398496240601" customHeight="1" spans="1:52" x14ac:dyDescent="0.25">
      <c r="A159" s="19" t="s">
        <v>175</v>
      </c>
      <c r="B159" s="20" t="s">
        <v>57</v>
      </c>
      <c r="C159" s="21"/>
      <c r="D159" s="22"/>
      <c r="E159" s="31" t="s">
        <v>397</v>
      </c>
      <c r="F159" s="32" t="s">
        <v>660</v>
      </c>
      <c r="G159" s="20" t="str">
        <f>SUBSTITUTE(SUBSTITUTE(SUBSTITUTE(O159,"/@","_"),"/cac:","_"),"/cbc:","_")</f>
        <v>Invoice_AccountingSupplierParty_AccountingContact_ElectronicMail</v>
      </c>
      <c r="H159" s="19" t="s">
        <v>641</v>
      </c>
      <c r="I159" s="19"/>
      <c r="J159" s="19" t="s">
        <v>400</v>
      </c>
      <c r="K159" s="25"/>
      <c r="L159" s="25" t="s">
        <v>228</v>
      </c>
      <c r="M159" s="27" t="s">
        <v>64</v>
      </c>
      <c r="N159" s="26" t="str">
        <f>IF(O159="","",LEN(O159)-LEN(SUBSTITUTE(O159,"/",""))+IF(ISNUMBER(SEARCH("@",O159)),0,1))</f>
        <v>4</v>
      </c>
      <c r="O159" s="19" t="s">
        <v>436</v>
      </c>
      <c r="P159" s="19" t="s">
        <v>661</v>
      </c>
      <c r="Q159" s="20"/>
      <c r="R159" s="25"/>
      <c r="S159" s="20"/>
      <c r="T159" s="20"/>
      <c r="U159" s="25" t="s">
        <v>67</v>
      </c>
      <c r="V159" s="20" t="s">
        <v>68</v>
      </c>
      <c r="W159" s="20" t="str">
        <f>IF(ISBLANK(O159),"是","否")</f>
        <v>否</v>
      </c>
      <c r="X159" s="20"/>
      <c r="Y159" s="25"/>
      <c r="Z159" s="25"/>
      <c r="AC159" s="20" t="s">
        <v>653</v>
      </c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</row>
    <row r="160" ht="29.59398496240601" customHeight="1" spans="1:52" x14ac:dyDescent="0.25">
      <c r="A160" s="19" t="s">
        <v>41</v>
      </c>
      <c r="B160" s="20" t="s">
        <v>57</v>
      </c>
      <c r="C160" s="21"/>
      <c r="D160" s="22"/>
      <c r="E160" s="21" t="s">
        <v>662</v>
      </c>
      <c r="F160" s="29" t="s">
        <v>663</v>
      </c>
      <c r="G160" s="20" t="str">
        <f>SUBSTITUTE(SUBSTITUTE(SUBSTITUTE(O160,"/@","_"),"/cac:","_"),"/cbc:","_")</f>
        <v>Invoice_BuyerCustomerParty</v>
      </c>
      <c r="H160" s="19" t="s">
        <v>439</v>
      </c>
      <c r="I160" s="19"/>
      <c r="J160" s="19" t="s">
        <v>664</v>
      </c>
      <c r="K160" s="25"/>
      <c r="L160" s="25" t="s">
        <v>220</v>
      </c>
      <c r="M160" s="27" t="s">
        <v>64</v>
      </c>
      <c r="N160" s="26" t="str">
        <f>IF(O160="","",LEN(O160)-LEN(SUBSTITUTE(O160,"/",""))+IF(ISNUMBER(SEARCH("@",O160)),0,1))</f>
        <v>2</v>
      </c>
      <c r="O160" s="26" t="s">
        <v>665</v>
      </c>
      <c r="P160" s="20"/>
      <c r="Q160" s="20"/>
      <c r="R160" s="25"/>
      <c r="S160" s="20"/>
      <c r="T160" s="20"/>
      <c r="U160" s="25" t="s">
        <v>67</v>
      </c>
      <c r="V160" s="20" t="s">
        <v>222</v>
      </c>
      <c r="W160" s="20" t="str">
        <f>IF(ISBLANK(O160),"是","否")</f>
        <v>否</v>
      </c>
      <c r="X160" s="20"/>
      <c r="Y160" s="25"/>
      <c r="Z160" s="25"/>
      <c r="AC160" s="20" t="s">
        <v>76</v>
      </c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</row>
    <row r="161" ht="29.59398496240601" customHeight="1" spans="1:52" x14ac:dyDescent="0.25">
      <c r="A161" s="19" t="s">
        <v>442</v>
      </c>
      <c r="B161" s="20" t="s">
        <v>57</v>
      </c>
      <c r="C161" s="21"/>
      <c r="D161" s="22"/>
      <c r="E161" s="21" t="s">
        <v>443</v>
      </c>
      <c r="F161" s="29" t="s">
        <v>666</v>
      </c>
      <c r="G161" s="20" t="str">
        <f>SUBSTITUTE(SUBSTITUTE(SUBSTITUTE(O161,"/@","_"),"/cac:","_"),"/cbc:","_")</f>
        <v>Invoice_BuyerCustomerParty_SupplierAssignedAccountID</v>
      </c>
      <c r="H161" s="19" t="s">
        <v>667</v>
      </c>
      <c r="I161" s="19"/>
      <c r="J161" s="19" t="s">
        <v>446</v>
      </c>
      <c r="K161" s="25"/>
      <c r="L161" s="25" t="s">
        <v>228</v>
      </c>
      <c r="M161" s="27" t="s">
        <v>64</v>
      </c>
      <c r="N161" s="26" t="str">
        <f>IF(O161="","",LEN(O161)-LEN(SUBSTITUTE(O161,"/",""))+IF(ISNUMBER(SEARCH("@",O161)),0,1))</f>
        <v>3</v>
      </c>
      <c r="O161" s="26" t="s">
        <v>668</v>
      </c>
      <c r="P161" s="20"/>
      <c r="Q161" s="20"/>
      <c r="R161" s="25"/>
      <c r="S161" s="20"/>
      <c r="T161" s="20"/>
      <c r="U161" s="25" t="s">
        <v>67</v>
      </c>
      <c r="V161" s="20" t="s">
        <v>68</v>
      </c>
      <c r="W161" s="20" t="str">
        <f>IF(ISBLANK(O161),"是","否")</f>
        <v>否</v>
      </c>
      <c r="X161" s="20"/>
      <c r="Y161" s="25"/>
      <c r="Z161" s="25"/>
      <c r="AC161" s="20" t="s">
        <v>76</v>
      </c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</row>
    <row r="162" ht="29.59398496240601" customHeight="1" spans="1:52" x14ac:dyDescent="0.25">
      <c r="A162" s="19" t="s">
        <v>442</v>
      </c>
      <c r="B162" s="20" t="s">
        <v>57</v>
      </c>
      <c r="C162" s="21"/>
      <c r="D162" s="22"/>
      <c r="E162" s="21" t="s">
        <v>230</v>
      </c>
      <c r="F162" s="29" t="s">
        <v>669</v>
      </c>
      <c r="G162" s="20" t="str">
        <f>SUBSTITUTE(SUBSTITUTE(SUBSTITUTE(O162,"/@","_"),"/cac:","_"),"/cbc:","_")</f>
        <v>Invoice_BuyerCustomerParty_Party</v>
      </c>
      <c r="H162" s="19" t="s">
        <v>670</v>
      </c>
      <c r="I162" s="19"/>
      <c r="J162" s="19" t="s">
        <v>450</v>
      </c>
      <c r="K162" s="25"/>
      <c r="L162" s="25" t="s">
        <v>220</v>
      </c>
      <c r="M162" s="27" t="s">
        <v>64</v>
      </c>
      <c r="N162" s="26" t="str">
        <f>IF(O162="","",LEN(O162)-LEN(SUBSTITUTE(O162,"/",""))+IF(ISNUMBER(SEARCH("@",O162)),0,1))</f>
        <v>3</v>
      </c>
      <c r="O162" s="26" t="s">
        <v>671</v>
      </c>
      <c r="P162" s="20"/>
      <c r="Q162" s="20"/>
      <c r="R162" s="25"/>
      <c r="S162" s="20"/>
      <c r="T162" s="20"/>
      <c r="U162" s="25" t="s">
        <v>67</v>
      </c>
      <c r="V162" s="20" t="s">
        <v>222</v>
      </c>
      <c r="W162" s="20" t="str">
        <f>IF(ISBLANK(O162),"是","否")</f>
        <v>否</v>
      </c>
      <c r="X162" s="20"/>
      <c r="Y162" s="25"/>
      <c r="Z162" s="25"/>
      <c r="AC162" s="20" t="s">
        <v>76</v>
      </c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</row>
    <row r="163" ht="29.59398496240601" customHeight="1" spans="1:52" x14ac:dyDescent="0.25">
      <c r="A163" s="19" t="s">
        <v>230</v>
      </c>
      <c r="B163" s="20" t="s">
        <v>57</v>
      </c>
      <c r="C163" s="21"/>
      <c r="D163" s="22"/>
      <c r="E163" s="21" t="s">
        <v>235</v>
      </c>
      <c r="F163" s="29" t="s">
        <v>672</v>
      </c>
      <c r="G163" s="20" t="str">
        <f>SUBSTITUTE(SUBSTITUTE(SUBSTITUTE(O163,"/@","_"),"/cac:","_"),"/cbc:","_")</f>
        <v>Invoice_BuyerCustomerParty_Party_EndpointID</v>
      </c>
      <c r="H163" s="19" t="s">
        <v>453</v>
      </c>
      <c r="I163" s="19"/>
      <c r="J163" s="19" t="s">
        <v>238</v>
      </c>
      <c r="K163" s="25"/>
      <c r="L163" s="25" t="s">
        <v>228</v>
      </c>
      <c r="M163" s="27" t="s">
        <v>64</v>
      </c>
      <c r="N163" s="26" t="str">
        <f>IF(O163="","",LEN(O163)-LEN(SUBSTITUTE(O163,"/",""))+IF(ISNUMBER(SEARCH("@",O163)),0,1))</f>
        <v>4</v>
      </c>
      <c r="O163" s="26" t="s">
        <v>673</v>
      </c>
      <c r="P163" s="20"/>
      <c r="Q163" s="20"/>
      <c r="R163" s="25"/>
      <c r="S163" s="20" t="s">
        <v>240</v>
      </c>
      <c r="T163" s="20"/>
      <c r="U163" s="25" t="s">
        <v>67</v>
      </c>
      <c r="V163" s="20" t="s">
        <v>68</v>
      </c>
      <c r="W163" s="20" t="str">
        <f>IF(ISBLANK(O163),"是","否")</f>
        <v>否</v>
      </c>
      <c r="X163" s="20"/>
      <c r="Y163" s="25"/>
      <c r="Z163" s="25"/>
      <c r="AC163" s="20" t="s">
        <v>76</v>
      </c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</row>
    <row r="164" ht="29.59398496240601" customHeight="1" spans="1:52" x14ac:dyDescent="0.25">
      <c r="A164" s="19" t="s">
        <v>230</v>
      </c>
      <c r="B164" s="20" t="s">
        <v>57</v>
      </c>
      <c r="C164" s="21"/>
      <c r="D164" s="22"/>
      <c r="E164" s="21" t="s">
        <v>241</v>
      </c>
      <c r="F164" s="29" t="s">
        <v>674</v>
      </c>
      <c r="G164" s="20" t="str">
        <f>SUBSTITUTE(SUBSTITUTE(SUBSTITUTE(O164,"/@","_"),"/cac:","_"),"/cbc:","_")</f>
        <v>Invoice_BuyerCustomerParty_Party_EndpointID_schemeID</v>
      </c>
      <c r="H164" s="19" t="s">
        <v>453</v>
      </c>
      <c r="I164" s="19"/>
      <c r="J164" s="19" t="s">
        <v>238</v>
      </c>
      <c r="K164" s="25"/>
      <c r="L164" s="25" t="s">
        <v>243</v>
      </c>
      <c r="M164" s="27" t="s">
        <v>64</v>
      </c>
      <c r="N164" s="26" t="str">
        <f>IF(O164="","",LEN(O164)-LEN(SUBSTITUTE(O164,"/",""))+IF(ISNUMBER(SEARCH("@",O164)),0,1))</f>
        <v>4</v>
      </c>
      <c r="O164" s="26" t="s">
        <v>675</v>
      </c>
      <c r="P164" s="20"/>
      <c r="Q164" s="20"/>
      <c r="R164" s="25"/>
      <c r="S164" s="20" t="s">
        <v>240</v>
      </c>
      <c r="T164" s="20"/>
      <c r="U164" s="25" t="s">
        <v>67</v>
      </c>
      <c r="V164" s="20" t="s">
        <v>68</v>
      </c>
      <c r="W164" s="20" t="str">
        <f>IF(ISBLANK(O164),"是","否")</f>
        <v>否</v>
      </c>
      <c r="X164" s="20"/>
      <c r="Y164" s="25"/>
      <c r="Z164" s="25"/>
      <c r="AC164" s="20" t="s">
        <v>76</v>
      </c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</row>
    <row r="165" ht="29.59398496240601" customHeight="1" spans="1:52" x14ac:dyDescent="0.25">
      <c r="A165" s="19" t="s">
        <v>230</v>
      </c>
      <c r="B165" s="20" t="s">
        <v>57</v>
      </c>
      <c r="C165" s="21"/>
      <c r="D165" s="22"/>
      <c r="E165" s="21" t="s">
        <v>255</v>
      </c>
      <c r="F165" s="29" t="s">
        <v>676</v>
      </c>
      <c r="G165" s="20" t="str">
        <f>SUBSTITUTE(SUBSTITUTE(SUBSTITUTE(O165,"/@","_"),"/cac:","_"),"/cbc:","_")</f>
        <v>Invoice_BuyerCustomerParty_Party_PartyIdentification</v>
      </c>
      <c r="H165" s="19" t="s">
        <v>670</v>
      </c>
      <c r="I165" s="25" t="s">
        <v>677</v>
      </c>
      <c r="J165" s="25" t="s">
        <v>678</v>
      </c>
      <c r="K165" s="25" t="s">
        <v>679</v>
      </c>
      <c r="L165" s="25" t="s">
        <v>220</v>
      </c>
      <c r="M165" s="25" t="s">
        <v>64</v>
      </c>
      <c r="N165" s="26" t="str">
        <f>IF(O165="","",LEN(O165)-LEN(SUBSTITUTE(O165,"/",""))+IF(ISNUMBER(SEARCH("@",O165)),0,1))</f>
        <v>4</v>
      </c>
      <c r="O165" s="25" t="s">
        <v>680</v>
      </c>
      <c r="P165" s="20"/>
      <c r="Q165" s="20"/>
      <c r="R165" s="25"/>
      <c r="S165" s="25" t="s">
        <v>681</v>
      </c>
      <c r="T165" s="20"/>
      <c r="U165" s="20" t="s">
        <v>682</v>
      </c>
      <c r="V165" s="25" t="s">
        <v>222</v>
      </c>
      <c r="W165" s="20" t="str">
        <f>IF(ISBLANK(O165),"是","否")</f>
        <v>否</v>
      </c>
      <c r="X165" s="20"/>
      <c r="Y165" s="25"/>
      <c r="Z165" s="25"/>
      <c r="AC165" s="20" t="s">
        <v>76</v>
      </c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</row>
    <row r="166" ht="39.879699248120296" customHeight="1" spans="1:52" x14ac:dyDescent="0.25">
      <c r="A166" s="19" t="s">
        <v>255</v>
      </c>
      <c r="B166" s="20" t="s">
        <v>57</v>
      </c>
      <c r="C166" s="21"/>
      <c r="D166" s="22"/>
      <c r="E166" s="21" t="s">
        <v>260</v>
      </c>
      <c r="F166" s="29" t="s">
        <v>683</v>
      </c>
      <c r="G166" s="20" t="str">
        <f>SUBSTITUTE(SUBSTITUTE(SUBSTITUTE(O166,"/@","_"),"/cac:","_"),"/cbc:","_")</f>
        <v>Invoice_BuyerCustomerParty_Party_PartyIdentification_ID</v>
      </c>
      <c r="H166" s="19" t="s">
        <v>262</v>
      </c>
      <c r="I166" s="25" t="s">
        <v>684</v>
      </c>
      <c r="J166" s="25" t="s">
        <v>685</v>
      </c>
      <c r="K166" s="25" t="s">
        <v>686</v>
      </c>
      <c r="L166" s="25" t="s">
        <v>228</v>
      </c>
      <c r="M166" s="25" t="s">
        <v>64</v>
      </c>
      <c r="N166" s="26" t="str">
        <f>IF(O166="","",LEN(O166)-LEN(SUBSTITUTE(O166,"/",""))+IF(ISNUMBER(SEARCH("@",O166)),0,1))</f>
        <v>5</v>
      </c>
      <c r="O166" s="25" t="s">
        <v>687</v>
      </c>
      <c r="P166" s="20"/>
      <c r="Q166" s="20"/>
      <c r="R166" s="25"/>
      <c r="S166" s="25" t="s">
        <v>54</v>
      </c>
      <c r="T166" s="20"/>
      <c r="U166" s="20" t="s">
        <v>682</v>
      </c>
      <c r="V166" s="25" t="s">
        <v>68</v>
      </c>
      <c r="W166" s="20" t="str">
        <f>IF(ISBLANK(O166),"是","否")</f>
        <v>否</v>
      </c>
      <c r="X166" s="20"/>
      <c r="Y166" s="25"/>
      <c r="Z166" s="25"/>
      <c r="AC166" s="20" t="s">
        <v>76</v>
      </c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</row>
    <row r="167" ht="50.16541353383458" customHeight="1" spans="1:52" x14ac:dyDescent="0.25">
      <c r="A167" s="19" t="s">
        <v>255</v>
      </c>
      <c r="B167" s="20" t="s">
        <v>57</v>
      </c>
      <c r="C167" s="21"/>
      <c r="D167" s="22"/>
      <c r="E167" s="21" t="s">
        <v>265</v>
      </c>
      <c r="F167" s="29" t="s">
        <v>688</v>
      </c>
      <c r="G167" s="20" t="str">
        <f>SUBSTITUTE(SUBSTITUTE(SUBSTITUTE(O167,"/@","_"),"/cac:","_"),"/cbc:","_")</f>
        <v>Invoice_BuyerCustomerParty_Party_PartyIdentification_ID_schemeID</v>
      </c>
      <c r="H167" s="19" t="s">
        <v>267</v>
      </c>
      <c r="I167" s="25" t="s">
        <v>689</v>
      </c>
      <c r="J167" s="25" t="s">
        <v>690</v>
      </c>
      <c r="K167" s="25" t="s">
        <v>691</v>
      </c>
      <c r="L167" s="25" t="s">
        <v>243</v>
      </c>
      <c r="M167" s="25" t="s">
        <v>64</v>
      </c>
      <c r="N167" s="26" t="str">
        <f>IF(O167="","",LEN(O167)-LEN(SUBSTITUTE(O167,"/",""))+IF(ISNUMBER(SEARCH("@",O167)),0,1))</f>
        <v>5</v>
      </c>
      <c r="O167" s="25" t="s">
        <v>692</v>
      </c>
      <c r="P167" s="20"/>
      <c r="Q167" s="20"/>
      <c r="R167" s="25"/>
      <c r="S167" s="25">
        <v>88</v>
      </c>
      <c r="T167" s="20"/>
      <c r="U167" s="20" t="s">
        <v>682</v>
      </c>
      <c r="V167" s="25" t="s">
        <v>68</v>
      </c>
      <c r="W167" s="20" t="str">
        <f>IF(ISBLANK(O167),"是","否")</f>
        <v>否</v>
      </c>
      <c r="X167" s="20"/>
      <c r="Y167" s="25"/>
      <c r="Z167" s="25"/>
      <c r="AC167" s="20" t="s">
        <v>76</v>
      </c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</row>
    <row r="168" ht="39.879699248120296" customHeight="1" spans="1:52" x14ac:dyDescent="0.25">
      <c r="A168" s="19" t="s">
        <v>230</v>
      </c>
      <c r="B168" s="20" t="s">
        <v>57</v>
      </c>
      <c r="C168" s="21"/>
      <c r="D168" s="22"/>
      <c r="E168" s="21" t="s">
        <v>466</v>
      </c>
      <c r="F168" s="29" t="s">
        <v>693</v>
      </c>
      <c r="G168" s="20" t="str">
        <f>SUBSTITUTE(SUBSTITUTE(SUBSTITUTE(O168,"/@","_"),"/cac:","_"),"/cbc:","_")</f>
        <v>Invoice_BuyerCustomerParty_Party_PostalAddress</v>
      </c>
      <c r="H168" s="19" t="s">
        <v>279</v>
      </c>
      <c r="I168" s="25" t="s">
        <v>694</v>
      </c>
      <c r="J168" s="25" t="s">
        <v>695</v>
      </c>
      <c r="K168" s="25" t="s">
        <v>696</v>
      </c>
      <c r="L168" s="25" t="s">
        <v>220</v>
      </c>
      <c r="M168" s="25" t="s">
        <v>64</v>
      </c>
      <c r="N168" s="26" t="str">
        <f>IF(O168="","",LEN(O168)-LEN(SUBSTITUTE(O168,"/",""))+IF(ISNUMBER(SEARCH("@",O168)),0,1))</f>
        <v>4</v>
      </c>
      <c r="O168" s="25" t="s">
        <v>697</v>
      </c>
      <c r="P168" s="20"/>
      <c r="Q168" s="20"/>
      <c r="R168" s="25"/>
      <c r="S168" s="25" t="s">
        <v>681</v>
      </c>
      <c r="T168" s="20"/>
      <c r="U168" s="20" t="s">
        <v>682</v>
      </c>
      <c r="V168" s="25" t="s">
        <v>222</v>
      </c>
      <c r="W168" s="20" t="str">
        <f>IF(ISBLANK(O168),"是","否")</f>
        <v>否</v>
      </c>
      <c r="X168" s="20"/>
      <c r="Y168" s="25"/>
      <c r="Z168" s="25"/>
      <c r="AC168" s="20" t="s">
        <v>76</v>
      </c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</row>
    <row r="169" ht="39.879699248120296" customHeight="1" spans="1:52" x14ac:dyDescent="0.25">
      <c r="A169" s="19" t="s">
        <v>282</v>
      </c>
      <c r="B169" s="20" t="s">
        <v>57</v>
      </c>
      <c r="C169" s="21"/>
      <c r="D169" s="22"/>
      <c r="E169" s="21" t="s">
        <v>469</v>
      </c>
      <c r="F169" s="29" t="s">
        <v>698</v>
      </c>
      <c r="G169" s="20" t="str">
        <f>SUBSTITUTE(SUBSTITUTE(SUBSTITUTE(O169,"/@","_"),"/cac:","_"),"/cbc:","_")</f>
        <v>Invoice_BuyerCustomerParty_Party_PostalAddress_Postbox</v>
      </c>
      <c r="H169" s="19" t="s">
        <v>699</v>
      </c>
      <c r="I169" s="25" t="s">
        <v>700</v>
      </c>
      <c r="J169" s="25" t="s">
        <v>701</v>
      </c>
      <c r="K169" s="25" t="s">
        <v>702</v>
      </c>
      <c r="L169" s="25" t="s">
        <v>228</v>
      </c>
      <c r="M169" s="25" t="s">
        <v>64</v>
      </c>
      <c r="N169" s="26" t="str">
        <f>IF(O169="","",LEN(O169)-LEN(SUBSTITUTE(O169,"/",""))+IF(ISNUMBER(SEARCH("@",O169)),0,1))</f>
        <v>5</v>
      </c>
      <c r="O169" s="25" t="s">
        <v>703</v>
      </c>
      <c r="P169" s="20"/>
      <c r="Q169" s="20"/>
      <c r="R169" s="25"/>
      <c r="S169" s="25">
        <v>12345</v>
      </c>
      <c r="T169" s="20"/>
      <c r="U169" s="20" t="s">
        <v>682</v>
      </c>
      <c r="V169" s="25" t="s">
        <v>68</v>
      </c>
      <c r="W169" s="20" t="str">
        <f>IF(ISBLANK(O169),"是","否")</f>
        <v>否</v>
      </c>
      <c r="X169" s="20"/>
      <c r="Y169" s="25"/>
      <c r="Z169" s="25"/>
      <c r="AC169" s="20" t="s">
        <v>76</v>
      </c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</row>
    <row r="170" ht="50.16541353383458" customHeight="1" spans="1:52" x14ac:dyDescent="0.25">
      <c r="A170" s="19" t="s">
        <v>282</v>
      </c>
      <c r="B170" s="20" t="s">
        <v>57</v>
      </c>
      <c r="C170" s="21"/>
      <c r="D170" s="22"/>
      <c r="E170" s="21" t="s">
        <v>283</v>
      </c>
      <c r="F170" s="29" t="s">
        <v>704</v>
      </c>
      <c r="G170" s="20" t="str">
        <f>SUBSTITUTE(SUBSTITUTE(SUBSTITUTE(O170,"/@","_"),"/cac:","_"),"/cbc:","_")</f>
        <v>Invoice_BuyerCustomerParty_Party_PostalAddress_StreetName</v>
      </c>
      <c r="H170" s="19" t="s">
        <v>285</v>
      </c>
      <c r="I170" s="25" t="s">
        <v>705</v>
      </c>
      <c r="J170" s="25" t="s">
        <v>706</v>
      </c>
      <c r="K170" s="25" t="s">
        <v>707</v>
      </c>
      <c r="L170" s="25" t="s">
        <v>228</v>
      </c>
      <c r="M170" s="25" t="s">
        <v>64</v>
      </c>
      <c r="N170" s="26" t="str">
        <f>IF(O170="","",LEN(O170)-LEN(SUBSTITUTE(O170,"/",""))+IF(ISNUMBER(SEARCH("@",O170)),0,1))</f>
        <v>5</v>
      </c>
      <c r="O170" s="25" t="s">
        <v>708</v>
      </c>
      <c r="P170" s="20"/>
      <c r="Q170" s="20"/>
      <c r="R170" s="25"/>
      <c r="S170" s="25" t="s">
        <v>709</v>
      </c>
      <c r="T170" s="20"/>
      <c r="U170" s="20" t="s">
        <v>682</v>
      </c>
      <c r="V170" s="25" t="s">
        <v>68</v>
      </c>
      <c r="W170" s="20" t="str">
        <f>IF(ISBLANK(O170),"是","否")</f>
        <v>否</v>
      </c>
      <c r="X170" s="20"/>
      <c r="Y170" s="25"/>
      <c r="Z170" s="25"/>
      <c r="AC170" s="20" t="s">
        <v>76</v>
      </c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</row>
    <row r="171" ht="39.879699248120296" customHeight="1" spans="1:52" x14ac:dyDescent="0.25">
      <c r="A171" s="19" t="s">
        <v>282</v>
      </c>
      <c r="B171" s="20" t="s">
        <v>57</v>
      </c>
      <c r="C171" s="21"/>
      <c r="D171" s="22"/>
      <c r="E171" s="21" t="s">
        <v>478</v>
      </c>
      <c r="F171" s="29" t="s">
        <v>710</v>
      </c>
      <c r="G171" s="20" t="str">
        <f>SUBSTITUTE(SUBSTITUTE(SUBSTITUTE(O171,"/@","_"),"/cac:","_"),"/cbc:","_")</f>
        <v>Invoice_BuyerCustomerParty_Party_PostalAddress_AdditionalStreetName</v>
      </c>
      <c r="H171" s="19" t="s">
        <v>480</v>
      </c>
      <c r="I171" s="25" t="s">
        <v>711</v>
      </c>
      <c r="J171" s="25" t="s">
        <v>712</v>
      </c>
      <c r="K171" s="25" t="s">
        <v>713</v>
      </c>
      <c r="L171" s="25" t="s">
        <v>228</v>
      </c>
      <c r="M171" s="25" t="s">
        <v>64</v>
      </c>
      <c r="N171" s="26" t="str">
        <f>IF(O171="","",LEN(O171)-LEN(SUBSTITUTE(O171,"/",""))+IF(ISNUMBER(SEARCH("@",O171)),0,1))</f>
        <v>5</v>
      </c>
      <c r="O171" s="25" t="s">
        <v>714</v>
      </c>
      <c r="P171" s="20"/>
      <c r="Q171" s="20"/>
      <c r="R171" s="25"/>
      <c r="S171" s="25" t="s">
        <v>715</v>
      </c>
      <c r="T171" s="20"/>
      <c r="U171" s="20" t="s">
        <v>682</v>
      </c>
      <c r="V171" s="25" t="s">
        <v>68</v>
      </c>
      <c r="W171" s="20" t="str">
        <f>IF(ISBLANK(O171),"是","否")</f>
        <v>否</v>
      </c>
      <c r="X171" s="20"/>
      <c r="Y171" s="25"/>
      <c r="Z171" s="25"/>
      <c r="AC171" s="20" t="s">
        <v>76</v>
      </c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</row>
    <row r="172" ht="29.59398496240601" customHeight="1" spans="1:52" x14ac:dyDescent="0.25">
      <c r="A172" s="19" t="s">
        <v>282</v>
      </c>
      <c r="B172" s="20" t="s">
        <v>57</v>
      </c>
      <c r="C172" s="21"/>
      <c r="D172" s="22"/>
      <c r="E172" s="21" t="s">
        <v>484</v>
      </c>
      <c r="F172" s="29" t="s">
        <v>716</v>
      </c>
      <c r="G172" s="20" t="str">
        <f>SUBSTITUTE(SUBSTITUTE(SUBSTITUTE(O172,"/@","_"),"/cac:","_"),"/cbc:","_")</f>
        <v>Invoice_BuyerCustomerParty_Party_PostalAddress_BuildingNumber</v>
      </c>
      <c r="H172" s="19" t="s">
        <v>486</v>
      </c>
      <c r="I172" s="25" t="s">
        <v>717</v>
      </c>
      <c r="J172" s="25" t="s">
        <v>718</v>
      </c>
      <c r="K172" s="25" t="s">
        <v>719</v>
      </c>
      <c r="L172" s="25" t="s">
        <v>228</v>
      </c>
      <c r="M172" s="25" t="s">
        <v>64</v>
      </c>
      <c r="N172" s="26" t="str">
        <f>IF(O172="","",LEN(O172)-LEN(SUBSTITUTE(O172,"/",""))+IF(ISNUMBER(SEARCH("@",O172)),0,1))</f>
        <v>5</v>
      </c>
      <c r="O172" s="25" t="s">
        <v>720</v>
      </c>
      <c r="P172" s="20"/>
      <c r="Q172" s="20"/>
      <c r="R172" s="25"/>
      <c r="S172" s="25" t="s">
        <v>721</v>
      </c>
      <c r="T172" s="20"/>
      <c r="U172" s="20" t="s">
        <v>682</v>
      </c>
      <c r="V172" s="25" t="s">
        <v>68</v>
      </c>
      <c r="W172" s="20" t="str">
        <f>IF(ISBLANK(O172),"是","否")</f>
        <v>否</v>
      </c>
      <c r="X172" s="20"/>
      <c r="Y172" s="25"/>
      <c r="Z172" s="25"/>
      <c r="AC172" s="20" t="s">
        <v>76</v>
      </c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</row>
    <row r="173" ht="29.59398496240601" customHeight="1" spans="1:52" x14ac:dyDescent="0.25">
      <c r="A173" s="19" t="s">
        <v>282</v>
      </c>
      <c r="B173" s="20" t="s">
        <v>57</v>
      </c>
      <c r="C173" s="21"/>
      <c r="D173" s="22"/>
      <c r="E173" s="21" t="s">
        <v>491</v>
      </c>
      <c r="F173" s="29" t="s">
        <v>722</v>
      </c>
      <c r="G173" s="20" t="str">
        <f>SUBSTITUTE(SUBSTITUTE(SUBSTITUTE(O173,"/@","_"),"/cac:","_"),"/cbc:","_")</f>
        <v>Invoice_BuyerCustomerParty_Party_PostalAddress_Department</v>
      </c>
      <c r="H173" s="19" t="s">
        <v>493</v>
      </c>
      <c r="I173" s="25" t="s">
        <v>723</v>
      </c>
      <c r="J173" s="25" t="s">
        <v>724</v>
      </c>
      <c r="K173" s="25" t="s">
        <v>725</v>
      </c>
      <c r="L173" s="25" t="s">
        <v>228</v>
      </c>
      <c r="M173" s="25" t="s">
        <v>64</v>
      </c>
      <c r="N173" s="26" t="str">
        <f>IF(O173="","",LEN(O173)-LEN(SUBSTITUTE(O173,"/",""))+IF(ISNUMBER(SEARCH("@",O173)),0,1))</f>
        <v>5</v>
      </c>
      <c r="O173" s="25" t="s">
        <v>726</v>
      </c>
      <c r="P173" s="20"/>
      <c r="Q173" s="20"/>
      <c r="R173" s="25"/>
      <c r="S173" s="25" t="s">
        <v>727</v>
      </c>
      <c r="T173" s="20"/>
      <c r="U173" s="20" t="s">
        <v>682</v>
      </c>
      <c r="V173" s="25" t="s">
        <v>68</v>
      </c>
      <c r="W173" s="20" t="str">
        <f>IF(ISBLANK(O173),"是","否")</f>
        <v>否</v>
      </c>
      <c r="X173" s="20"/>
      <c r="Y173" s="25"/>
      <c r="Z173" s="25"/>
      <c r="AC173" s="20" t="s">
        <v>76</v>
      </c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</row>
    <row r="174" ht="39.879699248120296" customHeight="1" spans="1:52" x14ac:dyDescent="0.25">
      <c r="A174" s="19" t="s">
        <v>282</v>
      </c>
      <c r="B174" s="20" t="s">
        <v>57</v>
      </c>
      <c r="C174" s="21"/>
      <c r="D174" s="22"/>
      <c r="E174" s="21" t="s">
        <v>497</v>
      </c>
      <c r="F174" s="29" t="s">
        <v>728</v>
      </c>
      <c r="G174" s="20" t="str">
        <f>SUBSTITUTE(SUBSTITUTE(SUBSTITUTE(O174,"/@","_"),"/cac:","_"),"/cbc:","_")</f>
        <v>Invoice_BuyerCustomerParty_Party_PostalAddress_PlotIdentification</v>
      </c>
      <c r="H174" s="19" t="s">
        <v>499</v>
      </c>
      <c r="I174" s="25" t="s">
        <v>729</v>
      </c>
      <c r="J174" s="25" t="s">
        <v>730</v>
      </c>
      <c r="K174" s="25" t="s">
        <v>731</v>
      </c>
      <c r="L174" s="25" t="s">
        <v>228</v>
      </c>
      <c r="M174" s="25" t="s">
        <v>64</v>
      </c>
      <c r="N174" s="26" t="str">
        <f>IF(O174="","",LEN(O174)-LEN(SUBSTITUTE(O174,"/",""))+IF(ISNUMBER(SEARCH("@",O174)),0,1))</f>
        <v>5</v>
      </c>
      <c r="O174" s="25" t="s">
        <v>732</v>
      </c>
      <c r="P174" s="20"/>
      <c r="Q174" s="20"/>
      <c r="R174" s="25"/>
      <c r="S174" s="25" t="s">
        <v>733</v>
      </c>
      <c r="T174" s="20"/>
      <c r="U174" s="20" t="s">
        <v>682</v>
      </c>
      <c r="V174" s="25" t="s">
        <v>68</v>
      </c>
      <c r="W174" s="20" t="str">
        <f>IF(ISBLANK(O174),"是","否")</f>
        <v>否</v>
      </c>
      <c r="X174" s="20"/>
      <c r="Y174" s="25"/>
      <c r="Z174" s="25"/>
      <c r="AC174" s="20" t="s">
        <v>76</v>
      </c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</row>
    <row r="175" ht="39.879699248120296" customHeight="1" spans="1:52" x14ac:dyDescent="0.25">
      <c r="A175" s="19" t="s">
        <v>282</v>
      </c>
      <c r="B175" s="20" t="s">
        <v>57</v>
      </c>
      <c r="C175" s="21"/>
      <c r="D175" s="22"/>
      <c r="E175" s="21" t="s">
        <v>502</v>
      </c>
      <c r="F175" s="29" t="s">
        <v>734</v>
      </c>
      <c r="G175" s="20" t="str">
        <f>SUBSTITUTE(SUBSTITUTE(SUBSTITUTE(O175,"/@","_"),"/cac:","_"),"/cbc:","_")</f>
        <v>Invoice_BuyerCustomerParty_Party_PostalAddress_CitySubdivisionName</v>
      </c>
      <c r="H175" s="19" t="s">
        <v>504</v>
      </c>
      <c r="I175" s="25" t="s">
        <v>735</v>
      </c>
      <c r="J175" s="25" t="s">
        <v>736</v>
      </c>
      <c r="K175" s="25" t="s">
        <v>737</v>
      </c>
      <c r="L175" s="25" t="s">
        <v>228</v>
      </c>
      <c r="M175" s="25" t="s">
        <v>64</v>
      </c>
      <c r="N175" s="26" t="str">
        <f>IF(O175="","",LEN(O175)-LEN(SUBSTITUTE(O175,"/",""))+IF(ISNUMBER(SEARCH("@",O175)),0,1))</f>
        <v>5</v>
      </c>
      <c r="O175" s="25" t="s">
        <v>738</v>
      </c>
      <c r="P175" s="20"/>
      <c r="Q175" s="20"/>
      <c r="R175" s="25"/>
      <c r="S175" s="25" t="s">
        <v>739</v>
      </c>
      <c r="T175" s="20"/>
      <c r="U175" s="20" t="s">
        <v>682</v>
      </c>
      <c r="V175" s="25" t="s">
        <v>68</v>
      </c>
      <c r="W175" s="20" t="str">
        <f>IF(ISBLANK(O175),"是","否")</f>
        <v>否</v>
      </c>
      <c r="X175" s="20"/>
      <c r="Y175" s="25"/>
      <c r="Z175" s="25"/>
      <c r="AC175" s="20" t="s">
        <v>76</v>
      </c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</row>
    <row r="176" ht="29.59398496240601" customHeight="1" spans="1:52" x14ac:dyDescent="0.25">
      <c r="A176" s="19" t="s">
        <v>282</v>
      </c>
      <c r="B176" s="20" t="s">
        <v>57</v>
      </c>
      <c r="C176" s="21"/>
      <c r="D176" s="22"/>
      <c r="E176" s="21" t="s">
        <v>290</v>
      </c>
      <c r="F176" s="29" t="s">
        <v>740</v>
      </c>
      <c r="G176" s="20" t="str">
        <f>SUBSTITUTE(SUBSTITUTE(SUBSTITUTE(O176,"/@","_"),"/cac:","_"),"/cbc:","_")</f>
        <v>Invoice_BuyerCustomerParty_Party_PostalAddress_CityName</v>
      </c>
      <c r="H176" s="19" t="s">
        <v>292</v>
      </c>
      <c r="I176" s="25" t="s">
        <v>741</v>
      </c>
      <c r="J176" s="25" t="s">
        <v>742</v>
      </c>
      <c r="K176" s="25" t="s">
        <v>743</v>
      </c>
      <c r="L176" s="25" t="s">
        <v>228</v>
      </c>
      <c r="M176" s="25" t="s">
        <v>64</v>
      </c>
      <c r="N176" s="26" t="str">
        <f>IF(O176="","",LEN(O176)-LEN(SUBSTITUTE(O176,"/",""))+IF(ISNUMBER(SEARCH("@",O176)),0,1))</f>
        <v>5</v>
      </c>
      <c r="O176" s="25" t="s">
        <v>744</v>
      </c>
      <c r="P176" s="20"/>
      <c r="Q176" s="20"/>
      <c r="R176" s="25"/>
      <c r="S176" s="25" t="s">
        <v>745</v>
      </c>
      <c r="T176" s="20"/>
      <c r="U176" s="20" t="s">
        <v>682</v>
      </c>
      <c r="V176" s="25" t="s">
        <v>68</v>
      </c>
      <c r="W176" s="20" t="str">
        <f>IF(ISBLANK(O176),"是","否")</f>
        <v>否</v>
      </c>
      <c r="X176" s="20"/>
      <c r="Y176" s="25"/>
      <c r="Z176" s="25"/>
      <c r="AC176" s="20" t="s">
        <v>76</v>
      </c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</row>
    <row r="177" ht="39.879699248120296" customHeight="1" spans="1:52" x14ac:dyDescent="0.25">
      <c r="A177" s="19" t="s">
        <v>282</v>
      </c>
      <c r="B177" s="20" t="s">
        <v>57</v>
      </c>
      <c r="C177" s="21"/>
      <c r="D177" s="22"/>
      <c r="E177" s="21" t="s">
        <v>309</v>
      </c>
      <c r="F177" s="29" t="s">
        <v>746</v>
      </c>
      <c r="G177" s="20" t="str">
        <f>SUBSTITUTE(SUBSTITUTE(SUBSTITUTE(O177,"/@","_"),"/cac:","_"),"/cbc:","_")</f>
        <v>Invoice_BuyerCustomerParty_Party_PostalAddress_PostalZone</v>
      </c>
      <c r="H177" s="19" t="s">
        <v>311</v>
      </c>
      <c r="I177" s="25" t="s">
        <v>747</v>
      </c>
      <c r="J177" s="25" t="s">
        <v>748</v>
      </c>
      <c r="K177" s="25" t="s">
        <v>749</v>
      </c>
      <c r="L177" s="25" t="s">
        <v>228</v>
      </c>
      <c r="M177" s="25" t="s">
        <v>64</v>
      </c>
      <c r="N177" s="26" t="str">
        <f>IF(O177="","",LEN(O177)-LEN(SUBSTITUTE(O177,"/",""))+IF(ISNUMBER(SEARCH("@",O177)),0,1))</f>
        <v>5</v>
      </c>
      <c r="O177" s="25" t="s">
        <v>750</v>
      </c>
      <c r="P177" s="20"/>
      <c r="Q177" s="20"/>
      <c r="R177" s="25"/>
      <c r="S177" s="25">
        <v>201203</v>
      </c>
      <c r="T177" s="20"/>
      <c r="U177" s="20" t="s">
        <v>682</v>
      </c>
      <c r="V177" s="25" t="s">
        <v>68</v>
      </c>
      <c r="W177" s="20" t="str">
        <f>IF(ISBLANK(O177),"是","否")</f>
        <v>否</v>
      </c>
      <c r="X177" s="20"/>
      <c r="Y177" s="25"/>
      <c r="Z177" s="25"/>
      <c r="AC177" s="20" t="s">
        <v>76</v>
      </c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</row>
    <row r="178" ht="39.879699248120296" customHeight="1" spans="1:52" x14ac:dyDescent="0.25">
      <c r="A178" s="19" t="s">
        <v>282</v>
      </c>
      <c r="B178" s="20" t="s">
        <v>57</v>
      </c>
      <c r="C178" s="21"/>
      <c r="D178" s="22"/>
      <c r="E178" s="21" t="s">
        <v>297</v>
      </c>
      <c r="F178" s="29" t="s">
        <v>751</v>
      </c>
      <c r="G178" s="20" t="str">
        <f>SUBSTITUTE(SUBSTITUTE(SUBSTITUTE(O178,"/@","_"),"/cac:","_"),"/cbc:","_")</f>
        <v>Invoice_BuyerCustomerParty_Party_PostalAddress_CountrySubentity</v>
      </c>
      <c r="H178" s="19" t="s">
        <v>299</v>
      </c>
      <c r="I178" s="25" t="s">
        <v>752</v>
      </c>
      <c r="J178" s="25" t="s">
        <v>753</v>
      </c>
      <c r="K178" s="25" t="s">
        <v>754</v>
      </c>
      <c r="L178" s="25" t="s">
        <v>228</v>
      </c>
      <c r="M178" s="25" t="s">
        <v>64</v>
      </c>
      <c r="N178" s="26" t="str">
        <f>IF(O178="","",LEN(O178)-LEN(SUBSTITUTE(O178,"/",""))+IF(ISNUMBER(SEARCH("@",O178)),0,1))</f>
        <v>5</v>
      </c>
      <c r="O178" s="25" t="s">
        <v>755</v>
      </c>
      <c r="P178" s="20"/>
      <c r="Q178" s="20"/>
      <c r="R178" s="25"/>
      <c r="S178" s="25" t="s">
        <v>745</v>
      </c>
      <c r="T178" s="20"/>
      <c r="U178" s="20" t="s">
        <v>682</v>
      </c>
      <c r="V178" s="25" t="s">
        <v>68</v>
      </c>
      <c r="W178" s="20" t="str">
        <f>IF(ISBLANK(O178),"是","否")</f>
        <v>否</v>
      </c>
      <c r="X178" s="20"/>
      <c r="Y178" s="25"/>
      <c r="Z178" s="25"/>
      <c r="AC178" s="20" t="s">
        <v>76</v>
      </c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</row>
    <row r="179" ht="29.59398496240601" customHeight="1" spans="1:52" x14ac:dyDescent="0.25">
      <c r="A179" s="19" t="s">
        <v>282</v>
      </c>
      <c r="B179" s="20" t="s">
        <v>57</v>
      </c>
      <c r="C179" s="21"/>
      <c r="D179" s="22"/>
      <c r="E179" s="21" t="s">
        <v>316</v>
      </c>
      <c r="F179" s="29" t="s">
        <v>756</v>
      </c>
      <c r="G179" s="20" t="str">
        <f>SUBSTITUTE(SUBSTITUTE(SUBSTITUTE(O179,"/@","_"),"/cac:","_"),"/cbc:","_")</f>
        <v>Invoice_BuyerCustomerParty_Party_PostalAddress_AddressLine</v>
      </c>
      <c r="H179" s="19" t="s">
        <v>318</v>
      </c>
      <c r="I179" s="25" t="s">
        <v>757</v>
      </c>
      <c r="J179" s="25" t="s">
        <v>758</v>
      </c>
      <c r="K179" s="25" t="s">
        <v>759</v>
      </c>
      <c r="L179" s="25" t="s">
        <v>220</v>
      </c>
      <c r="M179" s="25" t="s">
        <v>64</v>
      </c>
      <c r="N179" s="26" t="str">
        <f>IF(O179="","",LEN(O179)-LEN(SUBSTITUTE(O179,"/",""))+IF(ISNUMBER(SEARCH("@",O179)),0,1))</f>
        <v>5</v>
      </c>
      <c r="O179" s="25" t="s">
        <v>760</v>
      </c>
      <c r="P179" s="20"/>
      <c r="Q179" s="20"/>
      <c r="R179" s="25"/>
      <c r="S179" s="25" t="s">
        <v>681</v>
      </c>
      <c r="T179" s="20"/>
      <c r="U179" s="20" t="s">
        <v>682</v>
      </c>
      <c r="V179" s="25" t="s">
        <v>222</v>
      </c>
      <c r="W179" s="20" t="str">
        <f>IF(ISBLANK(O179),"是","否")</f>
        <v>否</v>
      </c>
      <c r="X179" s="20"/>
      <c r="Y179" s="25"/>
      <c r="Z179" s="25"/>
      <c r="AC179" s="20" t="s">
        <v>76</v>
      </c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</row>
    <row r="180" ht="39.879699248120296" customHeight="1" spans="1:52" x14ac:dyDescent="0.25">
      <c r="A180" s="19" t="s">
        <v>316</v>
      </c>
      <c r="B180" s="20" t="s">
        <v>57</v>
      </c>
      <c r="C180" s="21"/>
      <c r="D180" s="22"/>
      <c r="E180" s="21" t="s">
        <v>321</v>
      </c>
      <c r="F180" s="29" t="s">
        <v>761</v>
      </c>
      <c r="G180" s="20" t="str">
        <f>SUBSTITUTE(SUBSTITUTE(SUBSTITUTE(O180,"/@","_"),"/cac:","_"),"/cbc:","_")</f>
        <v>Invoice_BuyerCustomerParty_Party_PostalAddress_AddressLine_Line</v>
      </c>
      <c r="H180" s="19" t="s">
        <v>323</v>
      </c>
      <c r="I180" s="25" t="s">
        <v>762</v>
      </c>
      <c r="J180" s="25" t="s">
        <v>763</v>
      </c>
      <c r="K180" s="25" t="s">
        <v>764</v>
      </c>
      <c r="L180" s="25" t="s">
        <v>228</v>
      </c>
      <c r="M180" s="25">
        <v>1</v>
      </c>
      <c r="N180" s="26" t="str">
        <f>IF(O180="","",LEN(O180)-LEN(SUBSTITUTE(O180,"/",""))+IF(ISNUMBER(SEARCH("@",O180)),0,1))</f>
        <v>6</v>
      </c>
      <c r="O180" s="25" t="s">
        <v>765</v>
      </c>
      <c r="P180" s="20"/>
      <c r="Q180" s="20"/>
      <c r="R180" s="25"/>
      <c r="S180" s="25" t="s">
        <v>766</v>
      </c>
      <c r="T180" s="20"/>
      <c r="U180" s="20" t="s">
        <v>682</v>
      </c>
      <c r="V180" s="25" t="s">
        <v>68</v>
      </c>
      <c r="W180" s="20" t="str">
        <f>IF(ISBLANK(O180),"是","否")</f>
        <v>否</v>
      </c>
      <c r="X180" s="20"/>
      <c r="Y180" s="25"/>
      <c r="Z180" s="25"/>
      <c r="AC180" s="20" t="s">
        <v>76</v>
      </c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</row>
    <row r="181" ht="39.879699248120296" customHeight="1" spans="1:52" x14ac:dyDescent="0.25">
      <c r="A181" s="19" t="s">
        <v>328</v>
      </c>
      <c r="B181" s="20" t="s">
        <v>57</v>
      </c>
      <c r="C181" s="21"/>
      <c r="D181" s="22"/>
      <c r="E181" s="21" t="s">
        <v>519</v>
      </c>
      <c r="F181" s="29" t="s">
        <v>767</v>
      </c>
      <c r="G181" s="20" t="str">
        <f>SUBSTITUTE(SUBSTITUTE(SUBSTITUTE(O181,"/@","_"),"/cac:","_"),"/cbc:","_")</f>
        <v>Invoice_BuyerCustomerParty_Party_PostalAddress_Country_IdentificationCode</v>
      </c>
      <c r="H181" s="19" t="s">
        <v>768</v>
      </c>
      <c r="I181" s="25" t="s">
        <v>769</v>
      </c>
      <c r="J181" s="25" t="s">
        <v>770</v>
      </c>
      <c r="K181" s="25" t="s">
        <v>771</v>
      </c>
      <c r="L181" s="25" t="s">
        <v>243</v>
      </c>
      <c r="M181" s="25" t="s">
        <v>64</v>
      </c>
      <c r="N181" s="26" t="str">
        <f>IF(O181="","",LEN(O181)-LEN(SUBSTITUTE(O181,"/",""))+IF(ISNUMBER(SEARCH("@",O181)),0,1))</f>
        <v>6</v>
      </c>
      <c r="O181" s="25" t="s">
        <v>772</v>
      </c>
      <c r="P181" s="20"/>
      <c r="Q181" s="20"/>
      <c r="R181" s="25"/>
      <c r="S181" s="25" t="s">
        <v>773</v>
      </c>
      <c r="T181" s="20"/>
      <c r="U181" s="20" t="s">
        <v>682</v>
      </c>
      <c r="V181" s="25" t="s">
        <v>68</v>
      </c>
      <c r="W181" s="20" t="str">
        <f>IF(ISBLANK(O181),"是","否")</f>
        <v>否</v>
      </c>
      <c r="X181" s="20"/>
      <c r="Y181" s="25"/>
      <c r="Z181" s="25"/>
      <c r="AC181" s="20" t="s">
        <v>76</v>
      </c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</row>
    <row r="182" ht="29.59398496240601" customHeight="1" spans="1:52" x14ac:dyDescent="0.25">
      <c r="A182" s="19" t="s">
        <v>328</v>
      </c>
      <c r="B182" s="20" t="s">
        <v>57</v>
      </c>
      <c r="C182" s="21"/>
      <c r="D182" s="22"/>
      <c r="E182" s="21" t="s">
        <v>522</v>
      </c>
      <c r="F182" s="29" t="s">
        <v>774</v>
      </c>
      <c r="G182" s="20" t="str">
        <f>SUBSTITUTE(SUBSTITUTE(SUBSTITUTE(O182,"/@","_"),"/cac:","_"),"/cbc:","_")</f>
        <v>Invoice_BuyerCustomerParty_Party_PostalAddress_Country_Name</v>
      </c>
      <c r="H182" s="19" t="s">
        <v>340</v>
      </c>
      <c r="I182" s="25" t="s">
        <v>775</v>
      </c>
      <c r="J182" s="25" t="s">
        <v>776</v>
      </c>
      <c r="K182" s="25" t="s">
        <v>777</v>
      </c>
      <c r="L182" s="25" t="s">
        <v>228</v>
      </c>
      <c r="M182" s="25" t="s">
        <v>64</v>
      </c>
      <c r="N182" s="26" t="str">
        <f>IF(O182="","",LEN(O182)-LEN(SUBSTITUTE(O182,"/",""))+IF(ISNUMBER(SEARCH("@",O182)),0,1))</f>
        <v>6</v>
      </c>
      <c r="O182" s="25" t="s">
        <v>778</v>
      </c>
      <c r="P182" s="20"/>
      <c r="Q182" s="20"/>
      <c r="R182" s="25"/>
      <c r="S182" s="25" t="s">
        <v>779</v>
      </c>
      <c r="T182" s="20"/>
      <c r="U182" s="20" t="s">
        <v>682</v>
      </c>
      <c r="V182" s="25" t="s">
        <v>68</v>
      </c>
      <c r="W182" s="20" t="str">
        <f>IF(ISBLANK(O182),"是","否")</f>
        <v>否</v>
      </c>
      <c r="X182" s="20"/>
      <c r="Y182" s="25"/>
      <c r="Z182" s="25"/>
      <c r="AC182" s="20" t="s">
        <v>76</v>
      </c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</row>
    <row r="183" ht="29.59398496240601" customHeight="1" spans="1:52" x14ac:dyDescent="0.25">
      <c r="A183" s="19" t="s">
        <v>230</v>
      </c>
      <c r="B183" s="20" t="s">
        <v>57</v>
      </c>
      <c r="C183" s="21"/>
      <c r="D183" s="22"/>
      <c r="E183" s="21" t="s">
        <v>344</v>
      </c>
      <c r="F183" s="29" t="s">
        <v>780</v>
      </c>
      <c r="G183" s="20" t="str">
        <f>SUBSTITUTE(SUBSTITUTE(SUBSTITUTE(O183,"/@","_"),"/cac:","_"),"/cbc:","_")</f>
        <v>Invoice_BuyerCustomerParty_Party_PartyTaxScheme</v>
      </c>
      <c r="H183" s="19" t="s">
        <v>346</v>
      </c>
      <c r="I183" s="25" t="s">
        <v>781</v>
      </c>
      <c r="J183" s="25" t="s">
        <v>782</v>
      </c>
      <c r="K183" s="25" t="s">
        <v>783</v>
      </c>
      <c r="L183" s="25" t="s">
        <v>220</v>
      </c>
      <c r="M183" s="25" t="s">
        <v>49</v>
      </c>
      <c r="N183" s="26" t="str">
        <f>IF(O183="","",LEN(O183)-LEN(SUBSTITUTE(O183,"/",""))+IF(ISNUMBER(SEARCH("@",O183)),0,1))</f>
        <v>4</v>
      </c>
      <c r="O183" s="25" t="s">
        <v>784</v>
      </c>
      <c r="P183" s="20"/>
      <c r="Q183" s="20"/>
      <c r="R183" s="25"/>
      <c r="S183" s="25" t="s">
        <v>681</v>
      </c>
      <c r="T183" s="20"/>
      <c r="U183" s="20" t="s">
        <v>682</v>
      </c>
      <c r="V183" s="25" t="s">
        <v>222</v>
      </c>
      <c r="W183" s="20" t="str">
        <f>IF(ISBLANK(O183),"是","否")</f>
        <v>否</v>
      </c>
      <c r="X183" s="20"/>
      <c r="Y183" s="25"/>
      <c r="Z183" s="25"/>
      <c r="AC183" s="20" t="s">
        <v>76</v>
      </c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</row>
    <row r="184" ht="29.59398496240601" customHeight="1" spans="1:52" x14ac:dyDescent="0.25">
      <c r="A184" s="19" t="s">
        <v>349</v>
      </c>
      <c r="B184" s="20" t="s">
        <v>57</v>
      </c>
      <c r="C184" s="21"/>
      <c r="D184" s="22"/>
      <c r="E184" s="21" t="s">
        <v>527</v>
      </c>
      <c r="F184" s="29" t="s">
        <v>785</v>
      </c>
      <c r="G184" s="20" t="str">
        <f>SUBSTITUTE(SUBSTITUTE(SUBSTITUTE(O184,"/@","_"),"/cac:","_"),"/cbc:","_")</f>
        <v>Invoice_BuyerCustomerParty_Party_PartyTaxScheme_TaxScheme_ID</v>
      </c>
      <c r="H184" s="19" t="s">
        <v>786</v>
      </c>
      <c r="I184" s="25" t="s">
        <v>787</v>
      </c>
      <c r="J184" s="25" t="s">
        <v>788</v>
      </c>
      <c r="K184" s="25" t="s">
        <v>789</v>
      </c>
      <c r="L184" s="25" t="s">
        <v>243</v>
      </c>
      <c r="M184" s="25" t="s">
        <v>64</v>
      </c>
      <c r="N184" s="26" t="str">
        <f>IF(O184="","",LEN(O184)-LEN(SUBSTITUTE(O184,"/",""))+IF(ISNUMBER(SEARCH("@",O184)),0,1))</f>
        <v>6</v>
      </c>
      <c r="O184" s="25" t="s">
        <v>790</v>
      </c>
      <c r="P184" s="20"/>
      <c r="Q184" s="20"/>
      <c r="R184" s="25"/>
      <c r="S184" s="25" t="s">
        <v>791</v>
      </c>
      <c r="T184" s="20"/>
      <c r="U184" s="20" t="s">
        <v>682</v>
      </c>
      <c r="V184" s="25" t="s">
        <v>68</v>
      </c>
      <c r="W184" s="20" t="str">
        <f>IF(ISBLANK(O184),"是","否")</f>
        <v>否</v>
      </c>
      <c r="X184" s="20"/>
      <c r="Y184" s="25"/>
      <c r="Z184" s="25"/>
      <c r="AC184" s="20" t="s">
        <v>76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</row>
    <row r="185" ht="29.59398496240601" customHeight="1" spans="1:52" x14ac:dyDescent="0.25">
      <c r="A185" s="19" t="s">
        <v>344</v>
      </c>
      <c r="B185" s="20" t="s">
        <v>57</v>
      </c>
      <c r="C185" s="21"/>
      <c r="D185" s="22"/>
      <c r="E185" s="21" t="s">
        <v>531</v>
      </c>
      <c r="F185" s="29" t="s">
        <v>792</v>
      </c>
      <c r="G185" s="20" t="str">
        <f>SUBSTITUTE(SUBSTITUTE(SUBSTITUTE(O185,"/@","_"),"/cac:","_"),"/cbc:","_")</f>
        <v>Invoice_BuyerCustomerParty_Party_PartyTaxScheme_CompanyID</v>
      </c>
      <c r="H185" s="19" t="s">
        <v>793</v>
      </c>
      <c r="I185" s="25" t="s">
        <v>794</v>
      </c>
      <c r="J185" s="25" t="s">
        <v>795</v>
      </c>
      <c r="K185" s="25" t="s">
        <v>796</v>
      </c>
      <c r="L185" s="25" t="s">
        <v>228</v>
      </c>
      <c r="M185" s="25" t="s">
        <v>64</v>
      </c>
      <c r="N185" s="26" t="str">
        <f>IF(O185="","",LEN(O185)-LEN(SUBSTITUTE(O185,"/",""))+IF(ISNUMBER(SEARCH("@",O185)),0,1))</f>
        <v>5</v>
      </c>
      <c r="O185" s="25" t="s">
        <v>797</v>
      </c>
      <c r="P185" s="20"/>
      <c r="Q185" s="20"/>
      <c r="R185" s="25"/>
      <c r="S185" s="25" t="s">
        <v>54</v>
      </c>
      <c r="T185" s="20"/>
      <c r="U185" s="20" t="s">
        <v>682</v>
      </c>
      <c r="V185" s="25" t="s">
        <v>68</v>
      </c>
      <c r="W185" s="20" t="str">
        <f>IF(ISBLANK(O185),"是","否")</f>
        <v>否</v>
      </c>
      <c r="X185" s="20"/>
      <c r="Y185" s="25"/>
      <c r="Z185" s="25"/>
      <c r="AC185" s="20" t="s">
        <v>76</v>
      </c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</row>
    <row r="186" ht="29.59398496240601" customHeight="1" spans="1:52" x14ac:dyDescent="0.25">
      <c r="A186" s="19" t="s">
        <v>230</v>
      </c>
      <c r="B186" s="20" t="s">
        <v>57</v>
      </c>
      <c r="C186" s="21"/>
      <c r="D186" s="22"/>
      <c r="E186" s="21" t="s">
        <v>361</v>
      </c>
      <c r="F186" s="29" t="s">
        <v>798</v>
      </c>
      <c r="G186" s="20" t="str">
        <f>SUBSTITUTE(SUBSTITUTE(SUBSTITUTE(O186,"/@","_"),"/cac:","_"),"/cbc:","_")</f>
        <v>Invoice_BuyerCustomerParty_Party_PartyLegalEntity</v>
      </c>
      <c r="H186" s="19" t="s">
        <v>536</v>
      </c>
      <c r="I186" s="25" t="s">
        <v>799</v>
      </c>
      <c r="J186" s="25" t="s">
        <v>800</v>
      </c>
      <c r="K186" s="25" t="s">
        <v>801</v>
      </c>
      <c r="L186" s="25" t="s">
        <v>220</v>
      </c>
      <c r="M186" s="25" t="s">
        <v>49</v>
      </c>
      <c r="N186" s="26" t="str">
        <f>IF(O186="","",LEN(O186)-LEN(SUBSTITUTE(O186,"/",""))+IF(ISNUMBER(SEARCH("@",O186)),0,1))</f>
        <v>4</v>
      </c>
      <c r="O186" s="25" t="s">
        <v>802</v>
      </c>
      <c r="P186" s="20"/>
      <c r="Q186" s="20"/>
      <c r="R186" s="25"/>
      <c r="S186" s="25" t="s">
        <v>681</v>
      </c>
      <c r="T186" s="20"/>
      <c r="U186" s="20" t="s">
        <v>682</v>
      </c>
      <c r="V186" s="25" t="s">
        <v>222</v>
      </c>
      <c r="W186" s="20" t="str">
        <f>IF(ISBLANK(O186),"是","否")</f>
        <v>否</v>
      </c>
      <c r="X186" s="20"/>
      <c r="Y186" s="25"/>
      <c r="Z186" s="25"/>
      <c r="AC186" s="20" t="s">
        <v>76</v>
      </c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</row>
    <row r="187" ht="39.879699248120296" customHeight="1" spans="1:52" x14ac:dyDescent="0.25">
      <c r="A187" s="19" t="s">
        <v>366</v>
      </c>
      <c r="B187" s="20" t="s">
        <v>57</v>
      </c>
      <c r="C187" s="21"/>
      <c r="D187" s="22"/>
      <c r="E187" s="21" t="s">
        <v>367</v>
      </c>
      <c r="F187" s="29" t="s">
        <v>803</v>
      </c>
      <c r="G187" s="20" t="str">
        <f>SUBSTITUTE(SUBSTITUTE(SUBSTITUTE(O187,"/@","_"),"/cac:","_"),"/cbc:","_")</f>
        <v>Invoice_BuyerCustomerParty_Party_PartyLegalEntity_RegistrationName</v>
      </c>
      <c r="H187" s="19" t="s">
        <v>270</v>
      </c>
      <c r="I187" s="25" t="s">
        <v>804</v>
      </c>
      <c r="J187" s="25" t="s">
        <v>805</v>
      </c>
      <c r="K187" s="25" t="s">
        <v>806</v>
      </c>
      <c r="L187" s="25" t="s">
        <v>228</v>
      </c>
      <c r="M187" s="25" t="s">
        <v>64</v>
      </c>
      <c r="N187" s="26" t="str">
        <f>IF(O187="","",LEN(O187)-LEN(SUBSTITUTE(O187,"/",""))+IF(ISNUMBER(SEARCH("@",O187)),0,1))</f>
        <v>5</v>
      </c>
      <c r="O187" s="25" t="s">
        <v>807</v>
      </c>
      <c r="P187" s="20"/>
      <c r="Q187" s="20"/>
      <c r="R187" s="25"/>
      <c r="S187" s="25" t="s">
        <v>808</v>
      </c>
      <c r="T187" s="20"/>
      <c r="U187" s="20" t="s">
        <v>682</v>
      </c>
      <c r="V187" s="25" t="s">
        <v>68</v>
      </c>
      <c r="W187" s="20" t="str">
        <f>IF(ISBLANK(O187),"是","否")</f>
        <v>否</v>
      </c>
      <c r="X187" s="20"/>
      <c r="Y187" s="25"/>
      <c r="Z187" s="25"/>
      <c r="AC187" s="20" t="s">
        <v>76</v>
      </c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</row>
    <row r="188" ht="29.59398496240601" customHeight="1" spans="1:52" x14ac:dyDescent="0.25">
      <c r="A188" s="19" t="s">
        <v>366</v>
      </c>
      <c r="B188" s="20" t="s">
        <v>57</v>
      </c>
      <c r="C188" s="21"/>
      <c r="D188" s="22"/>
      <c r="E188" s="21" t="s">
        <v>531</v>
      </c>
      <c r="F188" s="29" t="s">
        <v>809</v>
      </c>
      <c r="G188" s="20" t="str">
        <f>SUBSTITUTE(SUBSTITUTE(SUBSTITUTE(O188,"/@","_"),"/cac:","_"),"/cbc:","_")</f>
        <v>Invoice_BuyerCustomerParty_Party_PartyLegalEntity_CompanyID</v>
      </c>
      <c r="H188" s="19" t="s">
        <v>262</v>
      </c>
      <c r="I188" s="25" t="s">
        <v>810</v>
      </c>
      <c r="J188" s="25" t="s">
        <v>811</v>
      </c>
      <c r="K188" s="25" t="s">
        <v>812</v>
      </c>
      <c r="L188" s="25" t="s">
        <v>228</v>
      </c>
      <c r="M188" s="25" t="s">
        <v>64</v>
      </c>
      <c r="N188" s="26" t="str">
        <f>IF(O188="","",LEN(O188)-LEN(SUBSTITUTE(O188,"/",""))+IF(ISNUMBER(SEARCH("@",O188)),0,1))</f>
        <v>5</v>
      </c>
      <c r="O188" s="25" t="s">
        <v>813</v>
      </c>
      <c r="P188" s="20"/>
      <c r="Q188" s="20"/>
      <c r="R188" s="25"/>
      <c r="S188" s="25" t="s">
        <v>54</v>
      </c>
      <c r="T188" s="20"/>
      <c r="U188" s="20" t="s">
        <v>682</v>
      </c>
      <c r="V188" s="25" t="s">
        <v>68</v>
      </c>
      <c r="W188" s="20" t="str">
        <f>IF(ISBLANK(O188),"是","否")</f>
        <v>否</v>
      </c>
      <c r="X188" s="20"/>
      <c r="Y188" s="25"/>
      <c r="Z188" s="25"/>
      <c r="AC188" s="20" t="s">
        <v>76</v>
      </c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</row>
    <row r="189" ht="39.879699248120296" customHeight="1" spans="1:52" x14ac:dyDescent="0.25">
      <c r="A189" s="19" t="s">
        <v>366</v>
      </c>
      <c r="B189" s="20" t="s">
        <v>57</v>
      </c>
      <c r="C189" s="21"/>
      <c r="D189" s="22"/>
      <c r="E189" s="21" t="s">
        <v>542</v>
      </c>
      <c r="F189" s="29" t="s">
        <v>814</v>
      </c>
      <c r="G189" s="20" t="str">
        <f>SUBSTITUTE(SUBSTITUTE(SUBSTITUTE(O189,"/@","_"),"/cac:","_"),"/cbc:","_")</f>
        <v>Invoice_BuyerCustomerParty_Party_PartyLegalEntity_CompanyID_schemeID</v>
      </c>
      <c r="H189" s="19" t="s">
        <v>267</v>
      </c>
      <c r="I189" s="25" t="s">
        <v>815</v>
      </c>
      <c r="J189" s="25" t="s">
        <v>816</v>
      </c>
      <c r="K189" s="25" t="s">
        <v>817</v>
      </c>
      <c r="L189" s="25" t="s">
        <v>243</v>
      </c>
      <c r="M189" s="25" t="s">
        <v>64</v>
      </c>
      <c r="N189" s="26" t="str">
        <f>IF(O189="","",LEN(O189)-LEN(SUBSTITUTE(O189,"/",""))+IF(ISNUMBER(SEARCH("@",O189)),0,1))</f>
        <v>5</v>
      </c>
      <c r="O189" s="25" t="s">
        <v>818</v>
      </c>
      <c r="P189" s="20"/>
      <c r="Q189" s="20"/>
      <c r="R189" s="25"/>
      <c r="S189" s="25">
        <v>88</v>
      </c>
      <c r="T189" s="20"/>
      <c r="U189" s="20" t="s">
        <v>682</v>
      </c>
      <c r="V189" s="25" t="s">
        <v>68</v>
      </c>
      <c r="W189" s="20" t="str">
        <f>IF(ISBLANK(O189),"是","否")</f>
        <v>否</v>
      </c>
      <c r="X189" s="20"/>
      <c r="Y189" s="25"/>
      <c r="Z189" s="25"/>
      <c r="AC189" s="20" t="s">
        <v>76</v>
      </c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</row>
    <row r="190" ht="39.879699248120296" customHeight="1" spans="1:52" x14ac:dyDescent="0.25">
      <c r="A190" s="19" t="s">
        <v>230</v>
      </c>
      <c r="B190" s="20" t="s">
        <v>57</v>
      </c>
      <c r="C190" s="21"/>
      <c r="D190" s="22"/>
      <c r="E190" s="21" t="s">
        <v>384</v>
      </c>
      <c r="F190" s="29" t="s">
        <v>819</v>
      </c>
      <c r="G190" s="20" t="str">
        <f>SUBSTITUTE(SUBSTITUTE(SUBSTITUTE(O190,"/@","_"),"/cac:","_"),"/cbc:","_")</f>
        <v>Invoice_BuyerCustomerParty_Party_Contact</v>
      </c>
      <c r="H190" s="19" t="s">
        <v>386</v>
      </c>
      <c r="I190" s="25" t="s">
        <v>820</v>
      </c>
      <c r="J190" s="25" t="s">
        <v>821</v>
      </c>
      <c r="K190" s="25" t="s">
        <v>822</v>
      </c>
      <c r="L190" s="25" t="s">
        <v>220</v>
      </c>
      <c r="M190" s="25" t="s">
        <v>64</v>
      </c>
      <c r="N190" s="26" t="str">
        <f>IF(O190="","",LEN(O190)-LEN(SUBSTITUTE(O190,"/",""))+IF(ISNUMBER(SEARCH("@",O190)),0,1))</f>
        <v>4</v>
      </c>
      <c r="O190" s="25" t="s">
        <v>823</v>
      </c>
      <c r="P190" s="20"/>
      <c r="Q190" s="20"/>
      <c r="R190" s="25"/>
      <c r="S190" s="25" t="s">
        <v>681</v>
      </c>
      <c r="T190" s="20"/>
      <c r="U190" s="20" t="s">
        <v>682</v>
      </c>
      <c r="V190" s="25" t="s">
        <v>222</v>
      </c>
      <c r="W190" s="20" t="str">
        <f>IF(ISBLANK(O190),"是","否")</f>
        <v>否</v>
      </c>
      <c r="X190" s="20"/>
      <c r="Y190" s="25"/>
      <c r="Z190" s="25"/>
      <c r="AC190" s="20" t="s">
        <v>76</v>
      </c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</row>
    <row r="191" ht="39.879699248120296" customHeight="1" spans="1:52" x14ac:dyDescent="0.25">
      <c r="A191" s="19" t="s">
        <v>175</v>
      </c>
      <c r="B191" s="20" t="s">
        <v>57</v>
      </c>
      <c r="C191" s="21"/>
      <c r="D191" s="22"/>
      <c r="E191" s="21" t="s">
        <v>273</v>
      </c>
      <c r="F191" s="29" t="s">
        <v>824</v>
      </c>
      <c r="G191" s="20" t="str">
        <f>SUBSTITUTE(SUBSTITUTE(SUBSTITUTE(O191,"/@","_"),"/cac:","_"),"/cbc:","_")</f>
        <v>Invoice_BuyerCustomerParty_Party_Contact_Name</v>
      </c>
      <c r="H191" s="19" t="s">
        <v>390</v>
      </c>
      <c r="I191" s="25" t="s">
        <v>825</v>
      </c>
      <c r="J191" s="25" t="s">
        <v>826</v>
      </c>
      <c r="K191" s="25" t="s">
        <v>827</v>
      </c>
      <c r="L191" s="25" t="s">
        <v>228</v>
      </c>
      <c r="M191" s="25" t="s">
        <v>64</v>
      </c>
      <c r="N191" s="26" t="str">
        <f>IF(O191="","",LEN(O191)-LEN(SUBSTITUTE(O191,"/",""))+IF(ISNUMBER(SEARCH("@",O191)),0,1))</f>
        <v>5</v>
      </c>
      <c r="O191" s="25" t="s">
        <v>828</v>
      </c>
      <c r="P191" s="20"/>
      <c r="Q191" s="20"/>
      <c r="R191" s="25"/>
      <c r="S191" s="25" t="s">
        <v>829</v>
      </c>
      <c r="T191" s="20"/>
      <c r="U191" s="20" t="s">
        <v>682</v>
      </c>
      <c r="V191" s="25" t="s">
        <v>68</v>
      </c>
      <c r="W191" s="20" t="str">
        <f>IF(ISBLANK(O191),"是","否")</f>
        <v>否</v>
      </c>
      <c r="X191" s="20"/>
      <c r="Y191" s="25"/>
      <c r="Z191" s="25"/>
      <c r="AC191" s="20" t="s">
        <v>76</v>
      </c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</row>
    <row r="192" ht="29.59398496240601" customHeight="1" spans="1:52" x14ac:dyDescent="0.25">
      <c r="A192" s="19" t="s">
        <v>175</v>
      </c>
      <c r="B192" s="20" t="s">
        <v>57</v>
      </c>
      <c r="C192" s="21"/>
      <c r="D192" s="22"/>
      <c r="E192" s="21" t="s">
        <v>392</v>
      </c>
      <c r="F192" s="29" t="s">
        <v>830</v>
      </c>
      <c r="G192" s="20" t="str">
        <f>SUBSTITUTE(SUBSTITUTE(SUBSTITUTE(O192,"/@","_"),"/cac:","_"),"/cbc:","_")</f>
        <v>Invoice_BuyerCustomerParty_Party_Contact_Telephone</v>
      </c>
      <c r="H192" s="19" t="s">
        <v>427</v>
      </c>
      <c r="I192" s="25" t="s">
        <v>831</v>
      </c>
      <c r="J192" s="25" t="s">
        <v>394</v>
      </c>
      <c r="K192" s="25" t="s">
        <v>832</v>
      </c>
      <c r="L192" s="25" t="s">
        <v>228</v>
      </c>
      <c r="M192" s="25" t="s">
        <v>64</v>
      </c>
      <c r="N192" s="26" t="str">
        <f>IF(O192="","",LEN(O192)-LEN(SUBSTITUTE(O192,"/",""))+IF(ISNUMBER(SEARCH("@",O192)),0,1))</f>
        <v>5</v>
      </c>
      <c r="O192" s="25" t="s">
        <v>833</v>
      </c>
      <c r="P192" s="20"/>
      <c r="Q192" s="20"/>
      <c r="R192" s="25"/>
      <c r="S192" s="25">
        <v>-13800137914</v>
      </c>
      <c r="T192" s="20"/>
      <c r="U192" s="20" t="s">
        <v>682</v>
      </c>
      <c r="V192" s="25" t="s">
        <v>68</v>
      </c>
      <c r="W192" s="20" t="str">
        <f>IF(ISBLANK(O192),"是","否")</f>
        <v>否</v>
      </c>
      <c r="X192" s="20"/>
      <c r="Y192" s="25"/>
      <c r="Z192" s="25"/>
      <c r="AC192" s="20" t="s">
        <v>76</v>
      </c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</row>
    <row r="193" ht="39.879699248120296" customHeight="1" spans="1:52" x14ac:dyDescent="0.25">
      <c r="A193" s="19" t="s">
        <v>175</v>
      </c>
      <c r="B193" s="20" t="s">
        <v>57</v>
      </c>
      <c r="C193" s="21"/>
      <c r="D193" s="22"/>
      <c r="E193" s="21" t="s">
        <v>397</v>
      </c>
      <c r="F193" s="29" t="s">
        <v>834</v>
      </c>
      <c r="G193" s="20" t="str">
        <f>SUBSTITUTE(SUBSTITUTE(SUBSTITUTE(O193,"/@","_"),"/cac:","_"),"/cbc:","_")</f>
        <v>Invoice_BuyerCustomerParty_Party_Contact_ElectronicMail</v>
      </c>
      <c r="H193" s="19" t="s">
        <v>641</v>
      </c>
      <c r="I193" s="25" t="s">
        <v>835</v>
      </c>
      <c r="J193" s="25" t="s">
        <v>836</v>
      </c>
      <c r="K193" s="25" t="s">
        <v>837</v>
      </c>
      <c r="L193" s="25" t="s">
        <v>228</v>
      </c>
      <c r="M193" s="25" t="s">
        <v>64</v>
      </c>
      <c r="N193" s="26" t="str">
        <f>IF(O193="","",LEN(O193)-LEN(SUBSTITUTE(O193,"/",""))+IF(ISNUMBER(SEARCH("@",O193)),0,1))</f>
        <v>5</v>
      </c>
      <c r="O193" s="25" t="s">
        <v>838</v>
      </c>
      <c r="P193" s="20"/>
      <c r="Q193" s="20"/>
      <c r="R193" s="25"/>
      <c r="S193" s="25" t="s">
        <v>839</v>
      </c>
      <c r="T193" s="20"/>
      <c r="U193" s="20" t="s">
        <v>682</v>
      </c>
      <c r="V193" s="25" t="s">
        <v>68</v>
      </c>
      <c r="W193" s="20" t="str">
        <f>IF(ISBLANK(O193),"是","否")</f>
        <v>否</v>
      </c>
      <c r="X193" s="20"/>
      <c r="Y193" s="25"/>
      <c r="Z193" s="25"/>
      <c r="AC193" s="20" t="s">
        <v>76</v>
      </c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</row>
    <row r="194" ht="29.59398496240601" customHeight="1" spans="1:52" x14ac:dyDescent="0.25">
      <c r="A194" s="19" t="s">
        <v>230</v>
      </c>
      <c r="B194" s="20" t="s">
        <v>57</v>
      </c>
      <c r="C194" s="21"/>
      <c r="D194" s="22"/>
      <c r="E194" s="21" t="s">
        <v>553</v>
      </c>
      <c r="F194" s="29" t="s">
        <v>840</v>
      </c>
      <c r="G194" s="20" t="str">
        <f>SUBSTITUTE(SUBSTITUTE(SUBSTITUTE(O194,"/@","_"),"/cac:","_"),"/cbc:","_")</f>
        <v>Invoice_BuyerCustomerParty_Party_Person</v>
      </c>
      <c r="H194" s="19" t="s">
        <v>644</v>
      </c>
      <c r="I194" s="25" t="s">
        <v>841</v>
      </c>
      <c r="J194" s="25" t="s">
        <v>842</v>
      </c>
      <c r="K194" s="25" t="s">
        <v>843</v>
      </c>
      <c r="L194" s="25" t="s">
        <v>220</v>
      </c>
      <c r="M194" s="25" t="s">
        <v>64</v>
      </c>
      <c r="N194" s="26" t="str">
        <f>IF(O194="","",LEN(O194)-LEN(SUBSTITUTE(O194,"/",""))+IF(ISNUMBER(SEARCH("@",O194)),0,1))</f>
        <v>4</v>
      </c>
      <c r="O194" s="25" t="s">
        <v>844</v>
      </c>
      <c r="P194" s="20"/>
      <c r="Q194" s="20"/>
      <c r="R194" s="25"/>
      <c r="S194" s="25" t="s">
        <v>681</v>
      </c>
      <c r="T194" s="20"/>
      <c r="U194" s="20" t="s">
        <v>682</v>
      </c>
      <c r="V194" s="25" t="s">
        <v>222</v>
      </c>
      <c r="W194" s="20" t="str">
        <f>IF(ISBLANK(O194),"是","否")</f>
        <v>否</v>
      </c>
      <c r="X194" s="20"/>
      <c r="Y194" s="25"/>
      <c r="Z194" s="25"/>
      <c r="AC194" s="20" t="s">
        <v>76</v>
      </c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</row>
    <row r="195" ht="29.59398496240601" customHeight="1" spans="1:52" x14ac:dyDescent="0.25">
      <c r="A195" s="19" t="s">
        <v>402</v>
      </c>
      <c r="B195" s="20" t="s">
        <v>57</v>
      </c>
      <c r="C195" s="21"/>
      <c r="D195" s="22"/>
      <c r="E195" s="21" t="s">
        <v>407</v>
      </c>
      <c r="F195" s="29" t="s">
        <v>845</v>
      </c>
      <c r="G195" s="20" t="str">
        <f>SUBSTITUTE(SUBSTITUTE(SUBSTITUTE(O195,"/@","_"),"/cac:","_"),"/cbc:","_")</f>
        <v>Invoice_BuyerCustomerParty_Party_Person_FirstName</v>
      </c>
      <c r="H195" s="19" t="s">
        <v>409</v>
      </c>
      <c r="I195" s="25" t="s">
        <v>846</v>
      </c>
      <c r="J195" s="25" t="s">
        <v>847</v>
      </c>
      <c r="K195" s="25" t="s">
        <v>848</v>
      </c>
      <c r="L195" s="25" t="s">
        <v>228</v>
      </c>
      <c r="M195" s="25" t="s">
        <v>64</v>
      </c>
      <c r="N195" s="26" t="str">
        <f>IF(O195="","",LEN(O195)-LEN(SUBSTITUTE(O195,"/",""))+IF(ISNUMBER(SEARCH("@",O195)),0,1))</f>
        <v>5</v>
      </c>
      <c r="O195" s="25" t="s">
        <v>849</v>
      </c>
      <c r="P195" s="20"/>
      <c r="Q195" s="20"/>
      <c r="R195" s="25"/>
      <c r="S195" s="25" t="s">
        <v>850</v>
      </c>
      <c r="T195" s="20"/>
      <c r="U195" s="20" t="s">
        <v>682</v>
      </c>
      <c r="V195" s="25" t="s">
        <v>68</v>
      </c>
      <c r="W195" s="20" t="str">
        <f>IF(ISBLANK(O195),"是","否")</f>
        <v>否</v>
      </c>
      <c r="X195" s="20"/>
      <c r="Y195" s="25"/>
      <c r="Z195" s="25"/>
      <c r="AC195" s="20" t="s">
        <v>76</v>
      </c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</row>
    <row r="196" ht="29.59398496240601" customHeight="1" spans="1:52" x14ac:dyDescent="0.25">
      <c r="A196" s="19" t="s">
        <v>402</v>
      </c>
      <c r="B196" s="20" t="s">
        <v>57</v>
      </c>
      <c r="C196" s="21"/>
      <c r="D196" s="22"/>
      <c r="E196" s="21" t="s">
        <v>412</v>
      </c>
      <c r="F196" s="29" t="s">
        <v>851</v>
      </c>
      <c r="G196" s="20" t="str">
        <f>SUBSTITUTE(SUBSTITUTE(SUBSTITUTE(O196,"/@","_"),"/cac:","_"),"/cbc:","_")</f>
        <v>Invoice_BuyerCustomerParty_Party_Person_FamilyName</v>
      </c>
      <c r="H196" s="19" t="s">
        <v>414</v>
      </c>
      <c r="I196" s="25" t="s">
        <v>852</v>
      </c>
      <c r="J196" s="25" t="s">
        <v>853</v>
      </c>
      <c r="K196" s="25" t="s">
        <v>854</v>
      </c>
      <c r="L196" s="25" t="s">
        <v>228</v>
      </c>
      <c r="M196" s="25" t="s">
        <v>64</v>
      </c>
      <c r="N196" s="26" t="str">
        <f>IF(O196="","",LEN(O196)-LEN(SUBSTITUTE(O196,"/",""))+IF(ISNUMBER(SEARCH("@",O196)),0,1))</f>
        <v>5</v>
      </c>
      <c r="O196" s="25" t="s">
        <v>855</v>
      </c>
      <c r="P196" s="20"/>
      <c r="Q196" s="20"/>
      <c r="R196" s="25"/>
      <c r="S196" s="25" t="s">
        <v>856</v>
      </c>
      <c r="T196" s="20"/>
      <c r="U196" s="20" t="s">
        <v>682</v>
      </c>
      <c r="V196" s="25" t="s">
        <v>68</v>
      </c>
      <c r="W196" s="20" t="str">
        <f>IF(ISBLANK(O196),"是","否")</f>
        <v>否</v>
      </c>
      <c r="X196" s="20"/>
      <c r="Y196" s="25"/>
      <c r="Z196" s="25"/>
      <c r="AC196" s="20" t="s">
        <v>76</v>
      </c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</row>
    <row r="197" ht="29.59398496240601" customHeight="1" spans="1:52" x14ac:dyDescent="0.25">
      <c r="A197" s="19" t="s">
        <v>442</v>
      </c>
      <c r="B197" s="20" t="s">
        <v>57</v>
      </c>
      <c r="C197" s="21"/>
      <c r="D197" s="22"/>
      <c r="E197" s="21" t="s">
        <v>417</v>
      </c>
      <c r="F197" s="29" t="s">
        <v>857</v>
      </c>
      <c r="G197" s="20" t="str">
        <f>SUBSTITUTE(SUBSTITUTE(SUBSTITUTE(O197,"/@","_"),"/cac:","_"),"/cbc:","_")</f>
        <v>Invoice_BuyerCustomerParty_AccountingContact</v>
      </c>
      <c r="H197" s="19" t="s">
        <v>651</v>
      </c>
      <c r="I197" s="25" t="s">
        <v>858</v>
      </c>
      <c r="J197" s="25" t="s">
        <v>859</v>
      </c>
      <c r="K197" s="25" t="s">
        <v>860</v>
      </c>
      <c r="L197" s="25" t="s">
        <v>220</v>
      </c>
      <c r="M197" s="25" t="s">
        <v>64</v>
      </c>
      <c r="N197" s="26" t="str">
        <f>IF(O197="","",LEN(O197)-LEN(SUBSTITUTE(O197,"/",""))+IF(ISNUMBER(SEARCH("@",O197)),0,1))</f>
        <v>3</v>
      </c>
      <c r="O197" s="25" t="s">
        <v>861</v>
      </c>
      <c r="P197" s="20"/>
      <c r="Q197" s="20"/>
      <c r="R197" s="25"/>
      <c r="S197" s="25" t="s">
        <v>681</v>
      </c>
      <c r="T197" s="20"/>
      <c r="U197" s="20" t="s">
        <v>682</v>
      </c>
      <c r="V197" s="25" t="s">
        <v>222</v>
      </c>
      <c r="W197" s="20" t="str">
        <f>IF(ISBLANK(O197),"是","否")</f>
        <v>否</v>
      </c>
      <c r="X197" s="20"/>
      <c r="Y197" s="25"/>
      <c r="Z197" s="25"/>
      <c r="AC197" s="20" t="s">
        <v>76</v>
      </c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</row>
    <row r="198" ht="29.59398496240601" customHeight="1" spans="1:52" x14ac:dyDescent="0.25">
      <c r="A198" s="19" t="s">
        <v>175</v>
      </c>
      <c r="B198" s="20" t="s">
        <v>57</v>
      </c>
      <c r="C198" s="21"/>
      <c r="D198" s="22"/>
      <c r="E198" s="21" t="s">
        <v>273</v>
      </c>
      <c r="F198" s="29" t="s">
        <v>862</v>
      </c>
      <c r="G198" s="20" t="str">
        <f>SUBSTITUTE(SUBSTITUTE(SUBSTITUTE(O198,"/@","_"),"/cac:","_"),"/cbc:","_")</f>
        <v>Invoice_BuyerCustomerParty_AccountingContact_Name</v>
      </c>
      <c r="H198" s="19" t="s">
        <v>423</v>
      </c>
      <c r="I198" s="25" t="s">
        <v>863</v>
      </c>
      <c r="J198" s="25" t="s">
        <v>864</v>
      </c>
      <c r="K198" s="25" t="s">
        <v>865</v>
      </c>
      <c r="L198" s="25" t="s">
        <v>228</v>
      </c>
      <c r="M198" s="25" t="s">
        <v>64</v>
      </c>
      <c r="N198" s="26" t="str">
        <f>IF(O198="","",LEN(O198)-LEN(SUBSTITUTE(O198,"/",""))+IF(ISNUMBER(SEARCH("@",O198)),0,1))</f>
        <v>4</v>
      </c>
      <c r="O198" s="25" t="s">
        <v>866</v>
      </c>
      <c r="P198" s="20"/>
      <c r="Q198" s="20"/>
      <c r="R198" s="25"/>
      <c r="S198" s="25" t="s">
        <v>867</v>
      </c>
      <c r="T198" s="20"/>
      <c r="U198" s="20" t="s">
        <v>682</v>
      </c>
      <c r="V198" s="25" t="s">
        <v>68</v>
      </c>
      <c r="W198" s="20" t="str">
        <f>IF(ISBLANK(O198),"是","否")</f>
        <v>否</v>
      </c>
      <c r="X198" s="20"/>
      <c r="Y198" s="25"/>
      <c r="Z198" s="25"/>
      <c r="AC198" s="20" t="s">
        <v>76</v>
      </c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</row>
    <row r="199" ht="29.59398496240601" customHeight="1" spans="1:52" x14ac:dyDescent="0.25">
      <c r="A199" s="19" t="s">
        <v>175</v>
      </c>
      <c r="B199" s="20" t="s">
        <v>57</v>
      </c>
      <c r="C199" s="21"/>
      <c r="D199" s="22"/>
      <c r="E199" s="21" t="s">
        <v>392</v>
      </c>
      <c r="F199" s="29" t="s">
        <v>868</v>
      </c>
      <c r="G199" s="20" t="str">
        <f>SUBSTITUTE(SUBSTITUTE(SUBSTITUTE(O199,"/@","_"),"/cac:","_"),"/cbc:","_")</f>
        <v>Invoice_BuyerCustomerParty_AccountingContact_Telephone</v>
      </c>
      <c r="H199" s="19" t="s">
        <v>427</v>
      </c>
      <c r="I199" s="25" t="s">
        <v>869</v>
      </c>
      <c r="J199" s="25" t="s">
        <v>870</v>
      </c>
      <c r="K199" s="25" t="s">
        <v>871</v>
      </c>
      <c r="L199" s="25" t="s">
        <v>228</v>
      </c>
      <c r="M199" s="25" t="s">
        <v>64</v>
      </c>
      <c r="N199" s="26" t="str">
        <f>IF(O199="","",LEN(O199)-LEN(SUBSTITUTE(O199,"/",""))+IF(ISNUMBER(SEARCH("@",O199)),0,1))</f>
        <v>4</v>
      </c>
      <c r="O199" s="25" t="s">
        <v>872</v>
      </c>
      <c r="P199" s="20"/>
      <c r="Q199" s="20"/>
      <c r="R199" s="25"/>
      <c r="S199" s="25" t="s">
        <v>873</v>
      </c>
      <c r="T199" s="20"/>
      <c r="U199" s="20" t="s">
        <v>682</v>
      </c>
      <c r="V199" s="25" t="s">
        <v>68</v>
      </c>
      <c r="W199" s="20" t="str">
        <f>IF(ISBLANK(O199),"是","否")</f>
        <v>否</v>
      </c>
      <c r="X199" s="20"/>
      <c r="Y199" s="25"/>
      <c r="Z199" s="25"/>
      <c r="AC199" s="20" t="s">
        <v>76</v>
      </c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</row>
    <row r="200" ht="29.59398496240601" customHeight="1" spans="1:52" x14ac:dyDescent="0.25">
      <c r="A200" s="19" t="s">
        <v>175</v>
      </c>
      <c r="B200" s="20" t="s">
        <v>57</v>
      </c>
      <c r="C200" s="21"/>
      <c r="D200" s="22"/>
      <c r="E200" s="21" t="s">
        <v>429</v>
      </c>
      <c r="F200" s="29" t="s">
        <v>874</v>
      </c>
      <c r="G200" s="20" t="str">
        <f>SUBSTITUTE(SUBSTITUTE(SUBSTITUTE(O200,"/@","_"),"/cac:","_"),"/cbc:","_")</f>
        <v>Invoice_BuyerCustomerParty_AccountingContact_Telefax</v>
      </c>
      <c r="H200" s="19" t="s">
        <v>431</v>
      </c>
      <c r="I200" s="25" t="s">
        <v>875</v>
      </c>
      <c r="J200" s="25" t="s">
        <v>876</v>
      </c>
      <c r="K200" s="25" t="s">
        <v>877</v>
      </c>
      <c r="L200" s="25" t="s">
        <v>228</v>
      </c>
      <c r="M200" s="25" t="s">
        <v>64</v>
      </c>
      <c r="N200" s="26" t="str">
        <f>IF(O200="","",LEN(O200)-LEN(SUBSTITUTE(O200,"/",""))+IF(ISNUMBER(SEARCH("@",O200)),0,1))</f>
        <v>4</v>
      </c>
      <c r="O200" s="25" t="s">
        <v>878</v>
      </c>
      <c r="P200" s="20"/>
      <c r="Q200" s="20"/>
      <c r="R200" s="25"/>
      <c r="S200" s="25" t="s">
        <v>681</v>
      </c>
      <c r="T200" s="20"/>
      <c r="U200" s="20" t="s">
        <v>682</v>
      </c>
      <c r="V200" s="25" t="s">
        <v>68</v>
      </c>
      <c r="W200" s="20" t="str">
        <f>IF(ISBLANK(O200),"是","否")</f>
        <v>否</v>
      </c>
      <c r="X200" s="20"/>
      <c r="Y200" s="25"/>
      <c r="Z200" s="25"/>
      <c r="AC200" s="20" t="s">
        <v>76</v>
      </c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</row>
    <row r="201" ht="29.59398496240601" customHeight="1" spans="1:52" x14ac:dyDescent="0.25">
      <c r="A201" s="19" t="s">
        <v>175</v>
      </c>
      <c r="B201" s="20" t="s">
        <v>57</v>
      </c>
      <c r="C201" s="21"/>
      <c r="D201" s="22"/>
      <c r="E201" s="21" t="s">
        <v>397</v>
      </c>
      <c r="F201" s="29" t="s">
        <v>879</v>
      </c>
      <c r="G201" s="20" t="str">
        <f>SUBSTITUTE(SUBSTITUTE(SUBSTITUTE(O201,"/@","_"),"/cac:","_"),"/cbc:","_")</f>
        <v>Invoice_BuyerCustomerParty_AccountingContact_ElectronicMail</v>
      </c>
      <c r="H201" s="19" t="s">
        <v>641</v>
      </c>
      <c r="I201" s="25" t="s">
        <v>880</v>
      </c>
      <c r="J201" s="25" t="s">
        <v>881</v>
      </c>
      <c r="K201" s="25" t="s">
        <v>882</v>
      </c>
      <c r="L201" s="25" t="s">
        <v>228</v>
      </c>
      <c r="M201" s="25" t="s">
        <v>64</v>
      </c>
      <c r="N201" s="26" t="str">
        <f>IF(O201="","",LEN(O201)-LEN(SUBSTITUTE(O201,"/",""))+IF(ISNUMBER(SEARCH("@",O201)),0,1))</f>
        <v>4</v>
      </c>
      <c r="O201" s="25" t="s">
        <v>883</v>
      </c>
      <c r="P201" s="20"/>
      <c r="Q201" s="20"/>
      <c r="R201" s="25"/>
      <c r="S201" s="25" t="s">
        <v>884</v>
      </c>
      <c r="T201" s="20"/>
      <c r="U201" s="20" t="s">
        <v>682</v>
      </c>
      <c r="V201" s="25" t="s">
        <v>68</v>
      </c>
      <c r="W201" s="20" t="str">
        <f>IF(ISBLANK(O201),"是","否")</f>
        <v>否</v>
      </c>
      <c r="X201" s="20"/>
      <c r="Y201" s="25"/>
      <c r="Z201" s="25"/>
      <c r="AC201" s="20" t="s">
        <v>76</v>
      </c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</row>
    <row r="202" ht="50.16541353383458" customHeight="1" spans="1:52" x14ac:dyDescent="0.25">
      <c r="A202" s="19" t="s">
        <v>885</v>
      </c>
      <c r="B202" s="20" t="s">
        <v>57</v>
      </c>
      <c r="C202" s="21" t="s">
        <v>58</v>
      </c>
      <c r="D202" s="22" t="s">
        <v>59</v>
      </c>
      <c r="E202" s="21" t="s">
        <v>886</v>
      </c>
      <c r="F202" s="23" t="s">
        <v>886</v>
      </c>
      <c r="G202" s="20" t="str">
        <f>SUBSTITUTE(SUBSTITUTE(SUBSTITUTE(O202,"/@","_"),"/cac:","_"),"/cbc:","_")</f>
        <v>Invoice_AdditionalDocumentReference_Attachment_ExternalReference_URI</v>
      </c>
      <c r="H202" s="19" t="s">
        <v>887</v>
      </c>
      <c r="I202" s="19"/>
      <c r="J202" s="19" t="s">
        <v>888</v>
      </c>
      <c r="K202" s="20"/>
      <c r="L202" s="25" t="s">
        <v>889</v>
      </c>
      <c r="M202" s="20" t="s">
        <v>64</v>
      </c>
      <c r="N202" s="26" t="str">
        <f>IF(O202="","",LEN(O202)-LEN(SUBSTITUTE(O202,"/",""))+IF(ISNUMBER(SEARCH("@",O202)),0,1))</f>
        <v>5</v>
      </c>
      <c r="O202" s="19" t="s">
        <v>890</v>
      </c>
      <c r="P202" s="19" t="s">
        <v>891</v>
      </c>
      <c r="Q202" s="20"/>
      <c r="R202" s="20"/>
      <c r="S202" s="20"/>
      <c r="T202" s="20"/>
      <c r="U202" s="20" t="s">
        <v>67</v>
      </c>
      <c r="V202" s="20" t="s">
        <v>68</v>
      </c>
      <c r="W202" s="20" t="str">
        <f>IF(ISBLANK(O202),"是","否")</f>
        <v>否</v>
      </c>
      <c r="X202" s="20" t="s">
        <v>76</v>
      </c>
      <c r="Y202" s="24">
        <v>52</v>
      </c>
      <c r="Z202" s="25" t="s">
        <v>886</v>
      </c>
      <c r="AC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</row>
    <row r="203" ht="70.73684210526315" customHeight="1" spans="1:52" x14ac:dyDescent="0.25">
      <c r="A203" s="19" t="s">
        <v>885</v>
      </c>
      <c r="B203" s="20" t="s">
        <v>57</v>
      </c>
      <c r="C203" s="21" t="s">
        <v>58</v>
      </c>
      <c r="D203" s="22" t="s">
        <v>59</v>
      </c>
      <c r="E203" s="21" t="s">
        <v>892</v>
      </c>
      <c r="F203" s="23" t="s">
        <v>892</v>
      </c>
      <c r="G203" s="20" t="str">
        <f>SUBSTITUTE(SUBSTITUTE(SUBSTITUTE(O203,"/@","_"),"/cac:","_"),"/cbc:","_")</f>
        <v>Invoice_AdditionalDocumentReference_Attachment_ExternalReference_URI</v>
      </c>
      <c r="H203" s="19" t="s">
        <v>893</v>
      </c>
      <c r="I203" s="19"/>
      <c r="J203" s="19" t="s">
        <v>888</v>
      </c>
      <c r="K203" s="20"/>
      <c r="L203" s="25" t="s">
        <v>889</v>
      </c>
      <c r="M203" s="20" t="s">
        <v>64</v>
      </c>
      <c r="N203" s="26" t="str">
        <f>IF(O203="","",LEN(O203)-LEN(SUBSTITUTE(O203,"/",""))+IF(ISNUMBER(SEARCH("@",O203)),0,1))</f>
        <v>5</v>
      </c>
      <c r="O203" s="19" t="s">
        <v>890</v>
      </c>
      <c r="P203" s="19" t="s">
        <v>894</v>
      </c>
      <c r="Q203" s="20"/>
      <c r="R203" s="20"/>
      <c r="S203" s="20"/>
      <c r="T203" s="20"/>
      <c r="U203" s="20" t="s">
        <v>67</v>
      </c>
      <c r="V203" s="20" t="s">
        <v>68</v>
      </c>
      <c r="W203" s="20" t="str">
        <f>IF(ISBLANK(O203),"是","否")</f>
        <v>否</v>
      </c>
      <c r="X203" s="20" t="s">
        <v>76</v>
      </c>
      <c r="Y203" s="24">
        <v>53</v>
      </c>
      <c r="Z203" s="25" t="s">
        <v>892</v>
      </c>
      <c r="AC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</row>
    <row r="204" ht="81.02255639097744" customHeight="1" spans="1:52" x14ac:dyDescent="0.25">
      <c r="A204" s="19" t="s">
        <v>885</v>
      </c>
      <c r="B204" s="20" t="s">
        <v>57</v>
      </c>
      <c r="C204" s="21" t="s">
        <v>58</v>
      </c>
      <c r="D204" s="22" t="s">
        <v>59</v>
      </c>
      <c r="E204" s="21" t="s">
        <v>895</v>
      </c>
      <c r="F204" s="23" t="s">
        <v>895</v>
      </c>
      <c r="G204" s="20" t="str">
        <f>SUBSTITUTE(SUBSTITUTE(SUBSTITUTE(O204,"/@","_"),"/cac:","_"),"/cbc:","_")</f>
        <v>Invoice_AdditionalDocumentReference_Attachment_ExternalReference_URI</v>
      </c>
      <c r="H204" s="19" t="s">
        <v>896</v>
      </c>
      <c r="I204" s="19"/>
      <c r="J204" s="19" t="s">
        <v>888</v>
      </c>
      <c r="K204" s="20"/>
      <c r="L204" s="25" t="s">
        <v>889</v>
      </c>
      <c r="M204" s="20" t="s">
        <v>64</v>
      </c>
      <c r="N204" s="26" t="str">
        <f>IF(O204="","",LEN(O204)-LEN(SUBSTITUTE(O204,"/",""))+IF(ISNUMBER(SEARCH("@",O204)),0,1))</f>
        <v>5</v>
      </c>
      <c r="O204" s="19" t="s">
        <v>890</v>
      </c>
      <c r="P204" s="19" t="s">
        <v>897</v>
      </c>
      <c r="Q204" s="20"/>
      <c r="R204" s="20"/>
      <c r="S204" s="20"/>
      <c r="T204" s="20"/>
      <c r="U204" s="20" t="s">
        <v>67</v>
      </c>
      <c r="V204" s="20" t="s">
        <v>68</v>
      </c>
      <c r="W204" s="20" t="str">
        <f>IF(ISBLANK(O204),"是","否")</f>
        <v>否</v>
      </c>
      <c r="X204" s="20" t="s">
        <v>76</v>
      </c>
      <c r="Y204" s="24">
        <v>54</v>
      </c>
      <c r="Z204" s="25" t="s">
        <v>895</v>
      </c>
      <c r="AA204" s="24">
        <v>102</v>
      </c>
      <c r="AB204" s="25" t="s">
        <v>898</v>
      </c>
      <c r="AC204" s="20"/>
      <c r="AD204" s="24"/>
      <c r="AE204" s="25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</row>
    <row r="205" ht="81.02255639097744" customHeight="1" spans="1:52" x14ac:dyDescent="0.25">
      <c r="A205" s="27"/>
      <c r="B205" s="20" t="s">
        <v>57</v>
      </c>
      <c r="C205" s="21" t="s">
        <v>58</v>
      </c>
      <c r="D205" s="22" t="s">
        <v>59</v>
      </c>
      <c r="E205" s="21" t="s">
        <v>899</v>
      </c>
      <c r="F205" s="23" t="s">
        <v>899</v>
      </c>
      <c r="G205" s="20" t="str">
        <f>SUBSTITUTE(SUBSTITUTE(SUBSTITUTE(O205,"/@","_"),"/cac:","_"),"/cbc:","_")</f>
        <v/>
      </c>
      <c r="H205" s="19" t="s">
        <v>900</v>
      </c>
      <c r="I205" s="19"/>
      <c r="J205" s="19"/>
      <c r="K205" s="20"/>
      <c r="L205" s="25" t="s">
        <v>93</v>
      </c>
      <c r="M205" s="20"/>
      <c r="N205" s="26" t="str">
        <f>IF(O205="","",LEN(O205)-LEN(SUBSTITUTE(O205,"/",""))+IF(ISNUMBER(SEARCH("@",O205)),0,1))</f>
        <v/>
      </c>
      <c r="O205" s="19"/>
      <c r="P205" s="19" t="s">
        <v>901</v>
      </c>
      <c r="Q205" s="20"/>
      <c r="R205" s="25" t="s">
        <v>902</v>
      </c>
      <c r="S205" s="20"/>
      <c r="T205" s="33"/>
      <c r="U205" s="20" t="s">
        <v>67</v>
      </c>
      <c r="V205" s="33"/>
      <c r="W205" s="20" t="str">
        <f>IF(ISBLANK(O205),"是","否")</f>
        <v>是</v>
      </c>
      <c r="X205" s="20" t="s">
        <v>76</v>
      </c>
      <c r="Y205" s="24">
        <v>61</v>
      </c>
      <c r="Z205" s="25" t="s">
        <v>899</v>
      </c>
      <c r="AC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</row>
    <row r="206" ht="60.45112781954887" customHeight="1" spans="1:52" x14ac:dyDescent="0.25">
      <c r="A206" s="27"/>
      <c r="B206" s="20" t="s">
        <v>57</v>
      </c>
      <c r="C206" s="21" t="s">
        <v>58</v>
      </c>
      <c r="D206" s="22" t="s">
        <v>59</v>
      </c>
      <c r="E206" s="21" t="s">
        <v>903</v>
      </c>
      <c r="F206" s="23" t="s">
        <v>903</v>
      </c>
      <c r="G206" s="20" t="str">
        <f>SUBSTITUTE(SUBSTITUTE(SUBSTITUTE(O206,"/@","_"),"/cac:","_"),"/cbc:","_")</f>
        <v/>
      </c>
      <c r="H206" s="19" t="s">
        <v>904</v>
      </c>
      <c r="I206" s="19"/>
      <c r="J206" s="19"/>
      <c r="K206" s="25"/>
      <c r="L206" s="25" t="s">
        <v>905</v>
      </c>
      <c r="M206" s="20"/>
      <c r="N206" s="26" t="str">
        <f>IF(O206="","",LEN(O206)-LEN(SUBSTITUTE(O206,"/",""))+IF(ISNUMBER(SEARCH("@",O206)),0,1))</f>
        <v/>
      </c>
      <c r="O206" s="19"/>
      <c r="P206" s="19" t="s">
        <v>906</v>
      </c>
      <c r="Q206" s="20"/>
      <c r="R206" s="25"/>
      <c r="S206" s="20"/>
      <c r="T206" s="20"/>
      <c r="U206" s="20" t="s">
        <v>67</v>
      </c>
      <c r="V206" s="20"/>
      <c r="W206" s="20" t="str">
        <f>IF(ISBLANK(O206),"是","否")</f>
        <v>是</v>
      </c>
      <c r="X206" s="20" t="s">
        <v>76</v>
      </c>
      <c r="Y206" s="24">
        <v>60</v>
      </c>
      <c r="Z206" s="25" t="s">
        <v>903</v>
      </c>
      <c r="AC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</row>
    <row r="207" ht="60.45112781954887" customHeight="1" spans="1:52" x14ac:dyDescent="0.25">
      <c r="A207" s="27"/>
      <c r="B207" s="20" t="s">
        <v>57</v>
      </c>
      <c r="C207" s="21" t="s">
        <v>58</v>
      </c>
      <c r="D207" s="22" t="s">
        <v>59</v>
      </c>
      <c r="E207" s="21" t="s">
        <v>907</v>
      </c>
      <c r="F207" s="23" t="s">
        <v>907</v>
      </c>
      <c r="G207" s="20" t="str">
        <f>SUBSTITUTE(SUBSTITUTE(SUBSTITUTE(O207,"/@","_"),"/cac:","_"),"/cbc:","_")</f>
        <v/>
      </c>
      <c r="H207" s="19" t="s">
        <v>908</v>
      </c>
      <c r="I207" s="19"/>
      <c r="J207" s="19"/>
      <c r="K207" s="24"/>
      <c r="L207" s="25" t="s">
        <v>909</v>
      </c>
      <c r="M207" s="20"/>
      <c r="N207" s="26" t="str">
        <f>IF(O207="","",LEN(O207)-LEN(SUBSTITUTE(O207,"/",""))+IF(ISNUMBER(SEARCH("@",O207)),0,1))</f>
        <v/>
      </c>
      <c r="O207" s="19"/>
      <c r="P207" s="19" t="s">
        <v>910</v>
      </c>
      <c r="Q207" s="20"/>
      <c r="R207" s="20"/>
      <c r="S207" s="20"/>
      <c r="T207" s="20"/>
      <c r="U207" s="20" t="s">
        <v>67</v>
      </c>
      <c r="V207" s="20"/>
      <c r="W207" s="20" t="str">
        <f>IF(ISBLANK(O207),"是","否")</f>
        <v>是</v>
      </c>
      <c r="X207" s="20" t="s">
        <v>76</v>
      </c>
      <c r="Y207" s="24">
        <v>63</v>
      </c>
      <c r="Z207" s="25" t="s">
        <v>907</v>
      </c>
      <c r="AC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</row>
    <row r="208" ht="70.73684210526315" customHeight="1" spans="1:52" x14ac:dyDescent="0.25">
      <c r="A208" s="27"/>
      <c r="B208" s="20" t="s">
        <v>57</v>
      </c>
      <c r="C208" s="21" t="s">
        <v>58</v>
      </c>
      <c r="D208" s="22" t="s">
        <v>59</v>
      </c>
      <c r="E208" s="21" t="s">
        <v>911</v>
      </c>
      <c r="F208" s="23" t="s">
        <v>911</v>
      </c>
      <c r="G208" s="20" t="str">
        <f>SUBSTITUTE(SUBSTITUTE(SUBSTITUTE(O208,"/@","_"),"/cac:","_"),"/cbc:","_")</f>
        <v/>
      </c>
      <c r="H208" s="19" t="s">
        <v>912</v>
      </c>
      <c r="I208" s="19"/>
      <c r="J208" s="19"/>
      <c r="K208" s="24"/>
      <c r="L208" s="25" t="s">
        <v>913</v>
      </c>
      <c r="M208" s="20"/>
      <c r="N208" s="26" t="str">
        <f>IF(O208="","",LEN(O208)-LEN(SUBSTITUTE(O208,"/",""))+IF(ISNUMBER(SEARCH("@",O208)),0,1))</f>
        <v/>
      </c>
      <c r="O208" s="19"/>
      <c r="P208" s="19" t="s">
        <v>914</v>
      </c>
      <c r="Q208" s="20"/>
      <c r="R208" s="20"/>
      <c r="S208" s="20"/>
      <c r="T208" s="20"/>
      <c r="U208" s="20" t="s">
        <v>67</v>
      </c>
      <c r="V208" s="20"/>
      <c r="W208" s="20" t="str">
        <f>IF(ISBLANK(O208),"是","否")</f>
        <v>是</v>
      </c>
      <c r="X208" s="20" t="s">
        <v>76</v>
      </c>
      <c r="Y208" s="24">
        <v>64</v>
      </c>
      <c r="Z208" s="25" t="s">
        <v>911</v>
      </c>
      <c r="AC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</row>
    <row r="209" ht="60.45112781954887" customHeight="1" spans="1:52" x14ac:dyDescent="0.25">
      <c r="A209" s="19" t="s">
        <v>885</v>
      </c>
      <c r="B209" s="20" t="s">
        <v>57</v>
      </c>
      <c r="C209" s="21" t="s">
        <v>58</v>
      </c>
      <c r="D209" s="22" t="s">
        <v>59</v>
      </c>
      <c r="E209" s="21" t="s">
        <v>915</v>
      </c>
      <c r="F209" s="23" t="s">
        <v>915</v>
      </c>
      <c r="G209" s="20" t="str">
        <f>SUBSTITUTE(SUBSTITUTE(SUBSTITUTE(O209,"/@","_"),"/cac:","_"),"/cbc:","_")</f>
        <v>Invoice_AdditionalDocumentReference_Attachment_ExternalReference_URI</v>
      </c>
      <c r="H209" s="19" t="s">
        <v>916</v>
      </c>
      <c r="I209" s="19"/>
      <c r="J209" s="19" t="s">
        <v>888</v>
      </c>
      <c r="K209" s="25"/>
      <c r="L209" s="25" t="s">
        <v>917</v>
      </c>
      <c r="M209" s="20" t="s">
        <v>64</v>
      </c>
      <c r="N209" s="26" t="str">
        <f>IF(O209="","",LEN(O209)-LEN(SUBSTITUTE(O209,"/",""))+IF(ISNUMBER(SEARCH("@",O209)),0,1))</f>
        <v>5</v>
      </c>
      <c r="O209" s="19" t="s">
        <v>890</v>
      </c>
      <c r="P209" s="19" t="s">
        <v>918</v>
      </c>
      <c r="Q209" s="20"/>
      <c r="R209" s="25"/>
      <c r="S209" s="20"/>
      <c r="T209" s="20"/>
      <c r="U209" s="20" t="s">
        <v>67</v>
      </c>
      <c r="V209" s="20" t="s">
        <v>68</v>
      </c>
      <c r="W209" s="20" t="str">
        <f>IF(ISBLANK(O209),"是","否")</f>
        <v>否</v>
      </c>
      <c r="X209" s="20" t="s">
        <v>76</v>
      </c>
      <c r="Y209" s="24">
        <v>70</v>
      </c>
      <c r="Z209" s="25" t="s">
        <v>915</v>
      </c>
      <c r="AC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</row>
    <row r="210" ht="60.45112781954887" customHeight="1" spans="1:52" x14ac:dyDescent="0.25">
      <c r="A210" s="27"/>
      <c r="B210" s="20" t="s">
        <v>57</v>
      </c>
      <c r="C210" s="21" t="s">
        <v>58</v>
      </c>
      <c r="D210" s="22" t="s">
        <v>59</v>
      </c>
      <c r="E210" s="21" t="s">
        <v>919</v>
      </c>
      <c r="F210" s="23" t="s">
        <v>919</v>
      </c>
      <c r="G210" s="20" t="str">
        <f>SUBSTITUTE(SUBSTITUTE(SUBSTITUTE(O210,"/@","_"),"/cac:","_"),"/cbc:","_")</f>
        <v/>
      </c>
      <c r="H210" s="19" t="s">
        <v>920</v>
      </c>
      <c r="I210" s="19"/>
      <c r="J210" s="19"/>
      <c r="K210" s="25"/>
      <c r="L210" s="25" t="s">
        <v>72</v>
      </c>
      <c r="M210" s="20"/>
      <c r="N210" s="26" t="str">
        <f>IF(O210="","",LEN(O210)-LEN(SUBSTITUTE(O210,"/",""))+IF(ISNUMBER(SEARCH("@",O210)),0,1))</f>
        <v/>
      </c>
      <c r="O210" s="19"/>
      <c r="P210" s="19" t="s">
        <v>921</v>
      </c>
      <c r="Q210" s="20"/>
      <c r="R210" s="25"/>
      <c r="S210" s="20"/>
      <c r="T210" s="20"/>
      <c r="U210" s="20" t="s">
        <v>67</v>
      </c>
      <c r="V210" s="20"/>
      <c r="W210" s="20" t="str">
        <f>IF(ISBLANK(O210),"是","否")</f>
        <v>是</v>
      </c>
      <c r="X210" s="20" t="s">
        <v>76</v>
      </c>
      <c r="Y210" s="24">
        <v>71</v>
      </c>
      <c r="Z210" s="25" t="s">
        <v>919</v>
      </c>
      <c r="AA210" s="24">
        <v>56</v>
      </c>
      <c r="AB210" s="25" t="s">
        <v>922</v>
      </c>
      <c r="AC210" s="20"/>
      <c r="AD210" s="24"/>
      <c r="AE210" s="25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</row>
    <row r="211" ht="50.16541353383458" customHeight="1" spans="1:52" x14ac:dyDescent="0.25">
      <c r="A211" s="19" t="s">
        <v>139</v>
      </c>
      <c r="B211" s="20" t="s">
        <v>57</v>
      </c>
      <c r="C211" s="21" t="s">
        <v>58</v>
      </c>
      <c r="D211" s="22" t="s">
        <v>59</v>
      </c>
      <c r="E211" s="21" t="s">
        <v>923</v>
      </c>
      <c r="F211" s="23" t="s">
        <v>923</v>
      </c>
      <c r="G211" s="20" t="str">
        <f>SUBSTITUTE(SUBSTITUTE(SUBSTITUTE(O211,"/@","_"),"/cac:","_"),"/cbc:","_")</f>
        <v>Invoice_AdditionalDocumentReference_DocumentDescription</v>
      </c>
      <c r="H211" s="19" t="s">
        <v>924</v>
      </c>
      <c r="I211" s="19"/>
      <c r="J211" s="19" t="s">
        <v>925</v>
      </c>
      <c r="K211" s="20" t="s">
        <v>926</v>
      </c>
      <c r="L211" s="25" t="s">
        <v>927</v>
      </c>
      <c r="M211" s="20" t="s">
        <v>49</v>
      </c>
      <c r="N211" s="26" t="str">
        <f>IF(O211="","",LEN(O211)-LEN(SUBSTITUTE(O211,"/",""))+IF(ISNUMBER(SEARCH("@",O211)),0,1))</f>
        <v>3</v>
      </c>
      <c r="O211" s="19" t="s">
        <v>928</v>
      </c>
      <c r="P211" s="19" t="s">
        <v>929</v>
      </c>
      <c r="Q211" s="20"/>
      <c r="R211" s="20"/>
      <c r="S211" s="20" t="s">
        <v>930</v>
      </c>
      <c r="T211" s="20"/>
      <c r="U211" s="20" t="s">
        <v>67</v>
      </c>
      <c r="V211" s="20" t="s">
        <v>68</v>
      </c>
      <c r="W211" s="20" t="str">
        <f>IF(ISBLANK(O211),"是","否")</f>
        <v>否</v>
      </c>
      <c r="X211" s="20" t="s">
        <v>76</v>
      </c>
      <c r="Y211" s="24">
        <v>73</v>
      </c>
      <c r="Z211" s="25" t="s">
        <v>923</v>
      </c>
      <c r="AC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</row>
    <row r="212" ht="91.30827067669172" customHeight="1" spans="1:52" x14ac:dyDescent="0.25">
      <c r="A212" s="27"/>
      <c r="B212" s="20" t="s">
        <v>57</v>
      </c>
      <c r="C212" s="21" t="s">
        <v>58</v>
      </c>
      <c r="D212" s="22" t="s">
        <v>59</v>
      </c>
      <c r="E212" s="21" t="s">
        <v>931</v>
      </c>
      <c r="F212" s="23" t="s">
        <v>931</v>
      </c>
      <c r="G212" s="20" t="str">
        <f>SUBSTITUTE(SUBSTITUTE(SUBSTITUTE(O212,"/@","_"),"/cac:","_"),"/cbc:","_")</f>
        <v/>
      </c>
      <c r="H212" s="19" t="s">
        <v>932</v>
      </c>
      <c r="I212" s="19"/>
      <c r="J212" s="19"/>
      <c r="K212" s="24"/>
      <c r="L212" s="25" t="s">
        <v>933</v>
      </c>
      <c r="M212" s="20"/>
      <c r="N212" s="26" t="str">
        <f>IF(O212="","",LEN(O212)-LEN(SUBSTITUTE(O212,"/",""))+IF(ISNUMBER(SEARCH("@",O212)),0,1))</f>
        <v/>
      </c>
      <c r="O212" s="19"/>
      <c r="P212" s="19" t="s">
        <v>934</v>
      </c>
      <c r="Q212" s="20"/>
      <c r="R212" s="20" t="s">
        <v>935</v>
      </c>
      <c r="S212" s="20"/>
      <c r="T212" s="20"/>
      <c r="U212" s="20" t="s">
        <v>67</v>
      </c>
      <c r="V212" s="20"/>
      <c r="W212" s="20" t="str">
        <f>IF(ISBLANK(O212),"是","否")</f>
        <v>是</v>
      </c>
      <c r="X212" s="20" t="s">
        <v>76</v>
      </c>
      <c r="Y212" s="24">
        <v>74</v>
      </c>
      <c r="Z212" s="25" t="s">
        <v>931</v>
      </c>
      <c r="AA212" s="24">
        <v>42</v>
      </c>
      <c r="AB212" s="25" t="s">
        <v>936</v>
      </c>
      <c r="AC212" s="20"/>
      <c r="AD212" s="24"/>
      <c r="AE212" s="25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</row>
    <row r="213" ht="70.73684210526315" customHeight="1" spans="1:52" x14ac:dyDescent="0.25">
      <c r="A213" s="27"/>
      <c r="B213" s="20" t="s">
        <v>57</v>
      </c>
      <c r="C213" s="21" t="s">
        <v>937</v>
      </c>
      <c r="D213" s="22" t="s">
        <v>938</v>
      </c>
      <c r="E213" s="21" t="s">
        <v>939</v>
      </c>
      <c r="F213" s="23" t="s">
        <v>939</v>
      </c>
      <c r="G213" s="20" t="str">
        <f>SUBSTITUTE(SUBSTITUTE(SUBSTITUTE(O213,"/@","_"),"/cac:","_"),"/cbc:","_")</f>
        <v/>
      </c>
      <c r="H213" s="19" t="s">
        <v>940</v>
      </c>
      <c r="I213" s="19"/>
      <c r="J213" s="19"/>
      <c r="K213" s="25">
        <v>30</v>
      </c>
      <c r="L213" s="25" t="s">
        <v>941</v>
      </c>
      <c r="M213" s="20"/>
      <c r="N213" s="26" t="str">
        <f>IF(O213="","",LEN(O213)-LEN(SUBSTITUTE(O213,"/",""))+IF(ISNUMBER(SEARCH("@",O213)),0,1))</f>
        <v/>
      </c>
      <c r="O213" s="19"/>
      <c r="P213" s="19" t="s">
        <v>942</v>
      </c>
      <c r="Q213" s="20"/>
      <c r="R213" s="25" t="s">
        <v>943</v>
      </c>
      <c r="S213" s="20"/>
      <c r="T213" s="20"/>
      <c r="U213" s="20" t="s">
        <v>67</v>
      </c>
      <c r="V213" s="20"/>
      <c r="W213" s="20" t="str">
        <f>IF(ISBLANK(O213),"是","否")</f>
        <v>是</v>
      </c>
      <c r="X213" s="20"/>
      <c r="Y213" s="25"/>
      <c r="Z213" s="25"/>
      <c r="AA213" s="24">
        <v>9</v>
      </c>
      <c r="AB213" s="25" t="s">
        <v>939</v>
      </c>
      <c r="AC213" s="20"/>
      <c r="AD213" s="24"/>
      <c r="AE213" s="25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</row>
    <row r="214" ht="70.73684210526315" customHeight="1" spans="1:52" x14ac:dyDescent="0.25">
      <c r="A214" s="27"/>
      <c r="B214" s="20" t="s">
        <v>57</v>
      </c>
      <c r="C214" s="21" t="s">
        <v>937</v>
      </c>
      <c r="D214" s="22" t="s">
        <v>938</v>
      </c>
      <c r="E214" s="21" t="s">
        <v>944</v>
      </c>
      <c r="F214" s="23" t="s">
        <v>944</v>
      </c>
      <c r="G214" s="20" t="str">
        <f>SUBSTITUTE(SUBSTITUTE(SUBSTITUTE(O214,"/@","_"),"/cac:","_"),"/cbc:","_")</f>
        <v/>
      </c>
      <c r="H214" s="19" t="s">
        <v>945</v>
      </c>
      <c r="I214" s="19"/>
      <c r="J214" s="19"/>
      <c r="K214" s="25">
        <v>30</v>
      </c>
      <c r="L214" s="25" t="s">
        <v>941</v>
      </c>
      <c r="M214" s="19"/>
      <c r="N214" s="26" t="str">
        <f>IF(O214="","",LEN(O214)-LEN(SUBSTITUTE(O214,"/",""))+IF(ISNUMBER(SEARCH("@",O214)),0,1))</f>
        <v/>
      </c>
      <c r="O214" s="19"/>
      <c r="P214" s="19" t="s">
        <v>946</v>
      </c>
      <c r="Q214" s="20"/>
      <c r="R214" s="25" t="s">
        <v>947</v>
      </c>
      <c r="S214" s="20"/>
      <c r="T214" s="20"/>
      <c r="U214" s="20" t="s">
        <v>67</v>
      </c>
      <c r="V214" s="20"/>
      <c r="W214" s="20" t="str">
        <f>IF(ISBLANK(O214),"是","否")</f>
        <v>是</v>
      </c>
      <c r="X214" s="20"/>
      <c r="Y214" s="25"/>
      <c r="Z214" s="25"/>
      <c r="AA214" s="24">
        <v>47</v>
      </c>
      <c r="AB214" s="25" t="s">
        <v>944</v>
      </c>
      <c r="AC214" s="20"/>
      <c r="AD214" s="24"/>
      <c r="AE214" s="25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</row>
    <row r="215" ht="60.45112781954887" customHeight="1" spans="1:52" x14ac:dyDescent="0.25">
      <c r="A215" s="27"/>
      <c r="B215" s="20" t="s">
        <v>57</v>
      </c>
      <c r="C215" s="21" t="s">
        <v>937</v>
      </c>
      <c r="D215" s="22" t="s">
        <v>938</v>
      </c>
      <c r="E215" s="21" t="s">
        <v>948</v>
      </c>
      <c r="F215" s="23" t="s">
        <v>948</v>
      </c>
      <c r="G215" s="20" t="str">
        <f>SUBSTITUTE(SUBSTITUTE(SUBSTITUTE(O215,"/@","_"),"/cac:","_"),"/cbc:","_")</f>
        <v/>
      </c>
      <c r="H215" s="19" t="s">
        <v>949</v>
      </c>
      <c r="I215" s="19"/>
      <c r="J215" s="19"/>
      <c r="K215" s="25">
        <v>30</v>
      </c>
      <c r="L215" s="25" t="s">
        <v>941</v>
      </c>
      <c r="M215" s="19"/>
      <c r="N215" s="26" t="str">
        <f>IF(O215="","",LEN(O215)-LEN(SUBSTITUTE(O215,"/",""))+IF(ISNUMBER(SEARCH("@",O215)),0,1))</f>
        <v/>
      </c>
      <c r="O215" s="19"/>
      <c r="P215" s="19" t="s">
        <v>950</v>
      </c>
      <c r="Q215" s="20"/>
      <c r="R215" s="25" t="s">
        <v>951</v>
      </c>
      <c r="S215" s="20"/>
      <c r="T215" s="20"/>
      <c r="U215" s="20" t="s">
        <v>67</v>
      </c>
      <c r="V215" s="20"/>
      <c r="W215" s="20" t="str">
        <f>IF(ISBLANK(O215),"是","否")</f>
        <v>是</v>
      </c>
      <c r="X215" s="20"/>
      <c r="Y215" s="25"/>
      <c r="Z215" s="25"/>
      <c r="AA215" s="24">
        <v>77</v>
      </c>
      <c r="AB215" s="25" t="s">
        <v>948</v>
      </c>
      <c r="AC215" s="20"/>
      <c r="AD215" s="24"/>
      <c r="AE215" s="25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</row>
    <row r="216" ht="60.45112781954887" customHeight="1" spans="1:52" x14ac:dyDescent="0.25">
      <c r="A216" s="27"/>
      <c r="B216" s="20" t="s">
        <v>57</v>
      </c>
      <c r="C216" s="21" t="s">
        <v>937</v>
      </c>
      <c r="D216" s="22" t="s">
        <v>938</v>
      </c>
      <c r="E216" s="21" t="s">
        <v>952</v>
      </c>
      <c r="F216" s="23" t="s">
        <v>952</v>
      </c>
      <c r="G216" s="20" t="str">
        <f>SUBSTITUTE(SUBSTITUTE(SUBSTITUTE(O216,"/@","_"),"/cac:","_"),"/cbc:","_")</f>
        <v/>
      </c>
      <c r="H216" s="19" t="s">
        <v>953</v>
      </c>
      <c r="I216" s="19"/>
      <c r="J216" s="19"/>
      <c r="K216" s="25">
        <v>30</v>
      </c>
      <c r="L216" s="25" t="s">
        <v>941</v>
      </c>
      <c r="M216" s="19"/>
      <c r="N216" s="26" t="str">
        <f>IF(O216="","",LEN(O216)-LEN(SUBSTITUTE(O216,"/",""))+IF(ISNUMBER(SEARCH("@",O216)),0,1))</f>
        <v/>
      </c>
      <c r="O216" s="19"/>
      <c r="P216" s="19" t="s">
        <v>954</v>
      </c>
      <c r="Q216" s="20"/>
      <c r="R216" s="25" t="s">
        <v>955</v>
      </c>
      <c r="S216" s="20"/>
      <c r="T216" s="20"/>
      <c r="U216" s="20" t="s">
        <v>67</v>
      </c>
      <c r="V216" s="20"/>
      <c r="W216" s="20" t="str">
        <f>IF(ISBLANK(O216),"是","否")</f>
        <v>是</v>
      </c>
      <c r="X216" s="20"/>
      <c r="Y216" s="25"/>
      <c r="Z216" s="25"/>
      <c r="AA216" s="24">
        <v>79</v>
      </c>
      <c r="AB216" s="25" t="s">
        <v>952</v>
      </c>
      <c r="AC216" s="20"/>
      <c r="AD216" s="24"/>
      <c r="AE216" s="25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</row>
    <row r="217" ht="29.59398496240601" customHeight="1" spans="1:52" x14ac:dyDescent="0.25">
      <c r="A217" s="27"/>
      <c r="B217" s="20" t="s">
        <v>57</v>
      </c>
      <c r="C217" s="21" t="s">
        <v>937</v>
      </c>
      <c r="D217" s="22" t="s">
        <v>938</v>
      </c>
      <c r="E217" s="31" t="s">
        <v>956</v>
      </c>
      <c r="F217" s="34" t="s">
        <v>956</v>
      </c>
      <c r="G217" s="20" t="str">
        <f>SUBSTITUTE(SUBSTITUTE(SUBSTITUTE(O217,"/@","_"),"/cac:","_"),"/cbc:","_")</f>
        <v/>
      </c>
      <c r="H217" s="19" t="s">
        <v>957</v>
      </c>
      <c r="I217" s="25"/>
      <c r="J217" s="25" t="s">
        <v>958</v>
      </c>
      <c r="K217" s="25" t="s">
        <v>959</v>
      </c>
      <c r="L217" s="25" t="s">
        <v>941</v>
      </c>
      <c r="M217" s="25"/>
      <c r="N217" s="26" t="str">
        <f>IF(O217="","",LEN(O217)-LEN(SUBSTITUTE(O217,"/",""))+IF(ISNUMBER(SEARCH("@",O217)),0,1))</f>
        <v/>
      </c>
      <c r="O217" s="25"/>
      <c r="P217" s="20"/>
      <c r="Q217" s="20"/>
      <c r="R217" s="25" t="s">
        <v>960</v>
      </c>
      <c r="S217" s="25"/>
      <c r="T217" s="20"/>
      <c r="U217" s="20" t="s">
        <v>682</v>
      </c>
      <c r="V217" s="25"/>
      <c r="W217" s="20" t="str">
        <f>IF(ISBLANK(O217),"是","否")</f>
        <v>是</v>
      </c>
      <c r="X217" s="20"/>
      <c r="Y217" s="25"/>
      <c r="Z217" s="25"/>
      <c r="AA217" s="24">
        <v>97</v>
      </c>
      <c r="AB217" s="25" t="s">
        <v>956</v>
      </c>
      <c r="AC217" s="20" t="s">
        <v>653</v>
      </c>
      <c r="AD217" s="24"/>
      <c r="AE217" s="25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</row>
    <row r="218" ht="60.45112781954887" customHeight="1" spans="1:52" x14ac:dyDescent="0.25">
      <c r="A218" s="27"/>
      <c r="B218" s="20" t="s">
        <v>57</v>
      </c>
      <c r="C218" s="21" t="s">
        <v>58</v>
      </c>
      <c r="D218" s="22" t="s">
        <v>59</v>
      </c>
      <c r="E218" s="21" t="s">
        <v>961</v>
      </c>
      <c r="F218" s="23" t="s">
        <v>961</v>
      </c>
      <c r="G218" s="20" t="str">
        <f>SUBSTITUTE(SUBSTITUTE(SUBSTITUTE(O218,"/@","_"),"/cac:","_"),"/cbc:","_")</f>
        <v/>
      </c>
      <c r="H218" s="19" t="s">
        <v>962</v>
      </c>
      <c r="I218" s="19"/>
      <c r="J218" s="19"/>
      <c r="K218" s="24"/>
      <c r="L218" s="25" t="s">
        <v>93</v>
      </c>
      <c r="M218" s="19"/>
      <c r="N218" s="26" t="str">
        <f>IF(O218="","",LEN(O218)-LEN(SUBSTITUTE(O218,"/",""))+IF(ISNUMBER(SEARCH("@",O218)),0,1))</f>
        <v/>
      </c>
      <c r="O218" s="19"/>
      <c r="P218" s="19" t="s">
        <v>963</v>
      </c>
      <c r="Q218" s="20"/>
      <c r="R218" s="20"/>
      <c r="S218" s="20"/>
      <c r="T218" s="20"/>
      <c r="U218" s="20" t="s">
        <v>67</v>
      </c>
      <c r="V218" s="20"/>
      <c r="W218" s="20" t="str">
        <f>IF(ISBLANK(O218),"是","否")</f>
        <v>是</v>
      </c>
      <c r="X218" s="20" t="s">
        <v>76</v>
      </c>
      <c r="Y218" s="24">
        <v>65</v>
      </c>
      <c r="Z218" s="25" t="s">
        <v>961</v>
      </c>
      <c r="AC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</row>
    <row r="219" ht="39.879699248120296" customHeight="1" spans="1:52" x14ac:dyDescent="0.25">
      <c r="A219" s="27"/>
      <c r="B219" s="20" t="s">
        <v>57</v>
      </c>
      <c r="C219" s="21" t="s">
        <v>58</v>
      </c>
      <c r="D219" s="22" t="s">
        <v>59</v>
      </c>
      <c r="E219" s="21" t="s">
        <v>964</v>
      </c>
      <c r="F219" s="23" t="s">
        <v>964</v>
      </c>
      <c r="G219" s="20" t="str">
        <f>SUBSTITUTE(SUBSTITUTE(SUBSTITUTE(O219,"/@","_"),"/cac:","_"),"/cbc:","_")</f>
        <v/>
      </c>
      <c r="H219" s="19" t="s">
        <v>965</v>
      </c>
      <c r="I219" s="19"/>
      <c r="J219" s="19"/>
      <c r="K219" s="24"/>
      <c r="L219" s="25" t="s">
        <v>124</v>
      </c>
      <c r="M219" s="19"/>
      <c r="N219" s="26" t="str">
        <f>IF(O219="","",LEN(O219)-LEN(SUBSTITUTE(O219,"/",""))+IF(ISNUMBER(SEARCH("@",O219)),0,1))</f>
        <v/>
      </c>
      <c r="O219" s="19"/>
      <c r="P219" s="19" t="s">
        <v>966</v>
      </c>
      <c r="Q219" s="20"/>
      <c r="R219" s="20"/>
      <c r="S219" s="20"/>
      <c r="T219" s="20"/>
      <c r="U219" s="20" t="s">
        <v>67</v>
      </c>
      <c r="V219" s="20"/>
      <c r="W219" s="20" t="str">
        <f>IF(ISBLANK(O219),"是","否")</f>
        <v>是</v>
      </c>
      <c r="X219" s="20" t="s">
        <v>76</v>
      </c>
      <c r="Y219" s="24">
        <v>66</v>
      </c>
      <c r="Z219" s="25" t="s">
        <v>964</v>
      </c>
      <c r="AA219" s="24">
        <v>46</v>
      </c>
      <c r="AB219" s="25" t="s">
        <v>964</v>
      </c>
      <c r="AC219" s="20"/>
      <c r="AD219" s="24"/>
      <c r="AE219" s="25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</row>
    <row r="220" ht="39.879699248120296" customHeight="1" spans="1:52" x14ac:dyDescent="0.25">
      <c r="A220" s="27"/>
      <c r="B220" s="20" t="s">
        <v>57</v>
      </c>
      <c r="C220" s="21" t="s">
        <v>58</v>
      </c>
      <c r="D220" s="22" t="s">
        <v>59</v>
      </c>
      <c r="E220" s="21" t="s">
        <v>967</v>
      </c>
      <c r="F220" s="23" t="s">
        <v>967</v>
      </c>
      <c r="G220" s="20" t="str">
        <f>SUBSTITUTE(SUBSTITUTE(SUBSTITUTE(O220,"/@","_"),"/cac:","_"),"/cbc:","_")</f>
        <v/>
      </c>
      <c r="H220" s="19" t="s">
        <v>968</v>
      </c>
      <c r="I220" s="19"/>
      <c r="J220" s="19"/>
      <c r="K220" s="25"/>
      <c r="L220" s="25" t="s">
        <v>93</v>
      </c>
      <c r="M220" s="19"/>
      <c r="N220" s="26" t="str">
        <f>IF(O220="","",LEN(O220)-LEN(SUBSTITUTE(O220,"/",""))+IF(ISNUMBER(SEARCH("@",O220)),0,1))</f>
        <v/>
      </c>
      <c r="O220" s="19"/>
      <c r="P220" s="19" t="s">
        <v>969</v>
      </c>
      <c r="Q220" s="20"/>
      <c r="R220" s="25"/>
      <c r="S220" s="20"/>
      <c r="T220" s="20"/>
      <c r="U220" s="20" t="s">
        <v>67</v>
      </c>
      <c r="V220" s="20"/>
      <c r="W220" s="20" t="str">
        <f>IF(ISBLANK(O220),"是","否")</f>
        <v>是</v>
      </c>
      <c r="X220" s="20" t="s">
        <v>76</v>
      </c>
      <c r="Y220" s="24">
        <v>69</v>
      </c>
      <c r="Z220" s="25" t="s">
        <v>967</v>
      </c>
      <c r="AC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</row>
    <row r="221" ht="39.879699248120296" customHeight="1" spans="1:52" x14ac:dyDescent="0.25">
      <c r="A221" s="19" t="s">
        <v>41</v>
      </c>
      <c r="B221" s="20" t="s">
        <v>57</v>
      </c>
      <c r="C221" s="21"/>
      <c r="D221" s="22"/>
      <c r="E221" s="21" t="s">
        <v>970</v>
      </c>
      <c r="F221" s="29" t="s">
        <v>971</v>
      </c>
      <c r="G221" s="20" t="str">
        <f>SUBSTITUTE(SUBSTITUTE(SUBSTITUTE(O221,"/@","_"),"/cac:","_"),"/cbc:","_")</f>
        <v>Invoice_TaxExchangeRate</v>
      </c>
      <c r="H221" s="19" t="s">
        <v>972</v>
      </c>
      <c r="I221" s="25" t="s">
        <v>973</v>
      </c>
      <c r="J221" s="25" t="s">
        <v>974</v>
      </c>
      <c r="K221" s="25" t="s">
        <v>975</v>
      </c>
      <c r="L221" s="25" t="s">
        <v>220</v>
      </c>
      <c r="M221" s="25" t="s">
        <v>64</v>
      </c>
      <c r="N221" s="26" t="str">
        <f>IF(O221="","",LEN(O221)-LEN(SUBSTITUTE(O221,"/",""))+IF(ISNUMBER(SEARCH("@",O221)),0,1))</f>
        <v>2</v>
      </c>
      <c r="O221" s="25" t="s">
        <v>976</v>
      </c>
      <c r="P221" s="20"/>
      <c r="Q221" s="20"/>
      <c r="R221" s="25"/>
      <c r="S221" s="25" t="s">
        <v>681</v>
      </c>
      <c r="T221" s="20"/>
      <c r="U221" s="20" t="s">
        <v>682</v>
      </c>
      <c r="V221" s="25" t="s">
        <v>222</v>
      </c>
      <c r="W221" s="20" t="str">
        <f>IF(ISBLANK(O221),"是","否")</f>
        <v>否</v>
      </c>
      <c r="X221" s="20"/>
      <c r="Y221" s="25"/>
      <c r="Z221" s="25"/>
      <c r="AC221" s="20" t="s">
        <v>76</v>
      </c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</row>
    <row r="222" ht="39.879699248120296" customHeight="1" spans="1:52" x14ac:dyDescent="0.25">
      <c r="A222" s="19" t="s">
        <v>977</v>
      </c>
      <c r="B222" s="20" t="s">
        <v>57</v>
      </c>
      <c r="C222" s="21"/>
      <c r="D222" s="22"/>
      <c r="E222" s="21" t="s">
        <v>978</v>
      </c>
      <c r="F222" s="29" t="s">
        <v>979</v>
      </c>
      <c r="G222" s="20" t="str">
        <f>SUBSTITUTE(SUBSTITUTE(SUBSTITUTE(O222,"/@","_"),"/cac:","_"),"/cbc:","_")</f>
        <v>Invoice_TaxExchangeRate_SourceCurrencyCode</v>
      </c>
      <c r="H222" s="19" t="s">
        <v>980</v>
      </c>
      <c r="I222" s="25" t="s">
        <v>981</v>
      </c>
      <c r="J222" s="25" t="s">
        <v>982</v>
      </c>
      <c r="K222" s="25" t="s">
        <v>983</v>
      </c>
      <c r="L222" s="25" t="s">
        <v>243</v>
      </c>
      <c r="M222" s="25">
        <v>1</v>
      </c>
      <c r="N222" s="26" t="str">
        <f>IF(O222="","",LEN(O222)-LEN(SUBSTITUTE(O222,"/",""))+IF(ISNUMBER(SEARCH("@",O222)),0,1))</f>
        <v>3</v>
      </c>
      <c r="O222" s="25" t="s">
        <v>984</v>
      </c>
      <c r="P222" s="20"/>
      <c r="Q222" s="20"/>
      <c r="R222" s="25"/>
      <c r="S222" s="25" t="s">
        <v>985</v>
      </c>
      <c r="T222" s="20"/>
      <c r="U222" s="20" t="s">
        <v>682</v>
      </c>
      <c r="V222" s="25" t="s">
        <v>68</v>
      </c>
      <c r="W222" s="20" t="str">
        <f>IF(ISBLANK(O222),"是","否")</f>
        <v>否</v>
      </c>
      <c r="X222" s="20"/>
      <c r="Y222" s="25"/>
      <c r="Z222" s="25"/>
      <c r="AC222" s="20" t="s">
        <v>76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</row>
    <row r="223" ht="39.879699248120296" customHeight="1" spans="1:52" x14ac:dyDescent="0.25">
      <c r="A223" s="19" t="s">
        <v>977</v>
      </c>
      <c r="B223" s="20" t="s">
        <v>57</v>
      </c>
      <c r="C223" s="21"/>
      <c r="D223" s="22"/>
      <c r="E223" s="21" t="s">
        <v>986</v>
      </c>
      <c r="F223" s="29" t="s">
        <v>987</v>
      </c>
      <c r="G223" s="20" t="str">
        <f>SUBSTITUTE(SUBSTITUTE(SUBSTITUTE(O223,"/@","_"),"/cac:","_"),"/cbc:","_")</f>
        <v>Invoice_TaxExchangeRate_TargetCurrencyCode</v>
      </c>
      <c r="H223" s="19" t="s">
        <v>988</v>
      </c>
      <c r="I223" s="25" t="s">
        <v>989</v>
      </c>
      <c r="J223" s="25" t="s">
        <v>990</v>
      </c>
      <c r="K223" s="25" t="s">
        <v>991</v>
      </c>
      <c r="L223" s="25" t="s">
        <v>243</v>
      </c>
      <c r="M223" s="25">
        <v>1</v>
      </c>
      <c r="N223" s="26" t="str">
        <f>IF(O223="","",LEN(O223)-LEN(SUBSTITUTE(O223,"/",""))+IF(ISNUMBER(SEARCH("@",O223)),0,1))</f>
        <v>3</v>
      </c>
      <c r="O223" s="25" t="s">
        <v>992</v>
      </c>
      <c r="P223" s="20"/>
      <c r="Q223" s="20"/>
      <c r="R223" s="25"/>
      <c r="S223" s="25" t="s">
        <v>993</v>
      </c>
      <c r="T223" s="20"/>
      <c r="U223" s="20" t="s">
        <v>682</v>
      </c>
      <c r="V223" s="25" t="s">
        <v>68</v>
      </c>
      <c r="W223" s="20" t="str">
        <f>IF(ISBLANK(O223),"是","否")</f>
        <v>否</v>
      </c>
      <c r="X223" s="20"/>
      <c r="Y223" s="25"/>
      <c r="Z223" s="25"/>
      <c r="AC223" s="20" t="s">
        <v>76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</row>
    <row r="224" ht="29.59398496240601" customHeight="1" spans="1:52" x14ac:dyDescent="0.25">
      <c r="A224" s="19" t="s">
        <v>977</v>
      </c>
      <c r="B224" s="20" t="s">
        <v>57</v>
      </c>
      <c r="C224" s="21"/>
      <c r="D224" s="22"/>
      <c r="E224" s="21" t="s">
        <v>994</v>
      </c>
      <c r="F224" s="29" t="s">
        <v>995</v>
      </c>
      <c r="G224" s="20" t="str">
        <f>SUBSTITUTE(SUBSTITUTE(SUBSTITUTE(O224,"/@","_"),"/cac:","_"),"/cbc:","_")</f>
        <v>Invoice_TaxExchangeRate_CalculationRate</v>
      </c>
      <c r="H224" s="19" t="s">
        <v>996</v>
      </c>
      <c r="I224" s="25" t="s">
        <v>997</v>
      </c>
      <c r="J224" s="25" t="s">
        <v>998</v>
      </c>
      <c r="K224" s="25" t="s">
        <v>999</v>
      </c>
      <c r="L224" s="25" t="s">
        <v>1000</v>
      </c>
      <c r="M224" s="25" t="s">
        <v>64</v>
      </c>
      <c r="N224" s="26" t="str">
        <f>IF(O224="","",LEN(O224)-LEN(SUBSTITUTE(O224,"/",""))+IF(ISNUMBER(SEARCH("@",O224)),0,1))</f>
        <v>3</v>
      </c>
      <c r="O224" s="25" t="s">
        <v>1001</v>
      </c>
      <c r="P224" s="20"/>
      <c r="Q224" s="20"/>
      <c r="R224" s="25"/>
      <c r="S224" s="25">
        <v>7.1234</v>
      </c>
      <c r="T224" s="20"/>
      <c r="U224" s="20" t="s">
        <v>682</v>
      </c>
      <c r="V224" s="25" t="s">
        <v>68</v>
      </c>
      <c r="W224" s="20" t="str">
        <f>IF(ISBLANK(O224),"是","否")</f>
        <v>否</v>
      </c>
      <c r="X224" s="20"/>
      <c r="Y224" s="25"/>
      <c r="Z224" s="25"/>
      <c r="AC224" s="20" t="s">
        <v>76</v>
      </c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</row>
    <row r="225" ht="39.879699248120296" customHeight="1" spans="1:52" x14ac:dyDescent="0.25">
      <c r="A225" s="19" t="s">
        <v>977</v>
      </c>
      <c r="B225" s="20" t="s">
        <v>57</v>
      </c>
      <c r="C225" s="21"/>
      <c r="D225" s="22"/>
      <c r="E225" s="21" t="s">
        <v>1002</v>
      </c>
      <c r="F225" s="29" t="s">
        <v>1003</v>
      </c>
      <c r="G225" s="20" t="str">
        <f>SUBSTITUTE(SUBSTITUTE(SUBSTITUTE(O225,"/@","_"),"/cac:","_"),"/cbc:","_")</f>
        <v>Invoice_TaxExchangeRate_MathematicOperatorCode</v>
      </c>
      <c r="H225" s="19" t="s">
        <v>1004</v>
      </c>
      <c r="I225" s="25" t="s">
        <v>1005</v>
      </c>
      <c r="J225" s="25" t="s">
        <v>1006</v>
      </c>
      <c r="K225" s="25" t="s">
        <v>1007</v>
      </c>
      <c r="L225" s="25" t="s">
        <v>243</v>
      </c>
      <c r="M225" s="25" t="s">
        <v>64</v>
      </c>
      <c r="N225" s="26" t="str">
        <f>IF(O225="","",LEN(O225)-LEN(SUBSTITUTE(O225,"/",""))+IF(ISNUMBER(SEARCH("@",O225)),0,1))</f>
        <v>3</v>
      </c>
      <c r="O225" s="25" t="s">
        <v>1008</v>
      </c>
      <c r="P225" s="20"/>
      <c r="Q225" s="20"/>
      <c r="R225" s="25"/>
      <c r="S225" s="25" t="s">
        <v>1009</v>
      </c>
      <c r="T225" s="20"/>
      <c r="U225" s="20" t="s">
        <v>682</v>
      </c>
      <c r="V225" s="25" t="s">
        <v>68</v>
      </c>
      <c r="W225" s="20" t="str">
        <f>IF(ISBLANK(O225),"是","否")</f>
        <v>否</v>
      </c>
      <c r="X225" s="20"/>
      <c r="Y225" s="25"/>
      <c r="Z225" s="25"/>
      <c r="AC225" s="20" t="s">
        <v>76</v>
      </c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</row>
    <row r="226" ht="29.59398496240601" customHeight="1" spans="1:52" x14ac:dyDescent="0.25">
      <c r="A226" s="19" t="s">
        <v>977</v>
      </c>
      <c r="B226" s="20" t="s">
        <v>57</v>
      </c>
      <c r="C226" s="21"/>
      <c r="D226" s="22"/>
      <c r="E226" s="21" t="s">
        <v>1010</v>
      </c>
      <c r="F226" s="29" t="s">
        <v>1011</v>
      </c>
      <c r="G226" s="20" t="str">
        <f>SUBSTITUTE(SUBSTITUTE(SUBSTITUTE(O226,"/@","_"),"/cac:","_"),"/cbc:","_")</f>
        <v>Invoice_TaxExchangeRate_Date</v>
      </c>
      <c r="H226" s="19" t="s">
        <v>1012</v>
      </c>
      <c r="I226" s="25" t="s">
        <v>1013</v>
      </c>
      <c r="J226" s="25" t="s">
        <v>1014</v>
      </c>
      <c r="K226" s="25" t="s">
        <v>1015</v>
      </c>
      <c r="L226" s="25" t="s">
        <v>1016</v>
      </c>
      <c r="M226" s="25" t="s">
        <v>64</v>
      </c>
      <c r="N226" s="26" t="str">
        <f>IF(O226="","",LEN(O226)-LEN(SUBSTITUTE(O226,"/",""))+IF(ISNUMBER(SEARCH("@",O226)),0,1))</f>
        <v>3</v>
      </c>
      <c r="O226" s="25" t="s">
        <v>1017</v>
      </c>
      <c r="P226" s="20"/>
      <c r="Q226" s="20"/>
      <c r="R226" s="25"/>
      <c r="S226" s="20" t="s">
        <v>1018</v>
      </c>
      <c r="T226" s="20"/>
      <c r="U226" s="20" t="s">
        <v>682</v>
      </c>
      <c r="V226" s="25" t="s">
        <v>68</v>
      </c>
      <c r="W226" s="20" t="str">
        <f>IF(ISBLANK(O226),"是","否")</f>
        <v>否</v>
      </c>
      <c r="X226" s="20"/>
      <c r="Y226" s="25"/>
      <c r="Z226" s="25"/>
      <c r="AA226" s="24">
        <v>258</v>
      </c>
      <c r="AB226" s="25" t="s">
        <v>1019</v>
      </c>
      <c r="AC226" s="20" t="s">
        <v>76</v>
      </c>
      <c r="AD226" s="24"/>
      <c r="AE226" s="25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</row>
    <row r="227" ht="39.879699248120296" customHeight="1" spans="1:52" x14ac:dyDescent="0.25">
      <c r="A227" s="19" t="s">
        <v>41</v>
      </c>
      <c r="B227" s="20" t="s">
        <v>57</v>
      </c>
      <c r="C227" s="21"/>
      <c r="D227" s="22"/>
      <c r="E227" s="21" t="s">
        <v>109</v>
      </c>
      <c r="F227" s="29" t="s">
        <v>109</v>
      </c>
      <c r="G227" s="20" t="str">
        <f>SUBSTITUTE(SUBSTITUTE(SUBSTITUTE(O227,"/@","_"),"/cac:","_"),"/cbc:","_")</f>
        <v>Invoice_TaxTotal</v>
      </c>
      <c r="H227" s="19" t="s">
        <v>1020</v>
      </c>
      <c r="I227" s="25" t="s">
        <v>1021</v>
      </c>
      <c r="J227" s="25" t="s">
        <v>1022</v>
      </c>
      <c r="K227" s="25" t="s">
        <v>1023</v>
      </c>
      <c r="L227" s="25" t="s">
        <v>220</v>
      </c>
      <c r="M227" s="25" t="s">
        <v>1024</v>
      </c>
      <c r="N227" s="26" t="str">
        <f>IF(O227="","",LEN(O227)-LEN(SUBSTITUTE(O227,"/",""))+IF(ISNUMBER(SEARCH("@",O227)),0,1))</f>
        <v>2</v>
      </c>
      <c r="O227" s="25" t="s">
        <v>1025</v>
      </c>
      <c r="P227" s="20"/>
      <c r="Q227" s="20"/>
      <c r="R227" s="25"/>
      <c r="S227" s="25" t="s">
        <v>681</v>
      </c>
      <c r="T227" s="20"/>
      <c r="U227" s="20" t="s">
        <v>682</v>
      </c>
      <c r="V227" s="25" t="s">
        <v>222</v>
      </c>
      <c r="W227" s="20" t="str">
        <f>IF(ISBLANK(O227),"是","否")</f>
        <v>否</v>
      </c>
      <c r="X227" s="20"/>
      <c r="Y227" s="25"/>
      <c r="Z227" s="25"/>
      <c r="AC227" s="20" t="s">
        <v>76</v>
      </c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</row>
    <row r="228" ht="39.879699248120296" customHeight="1" spans="1:52" x14ac:dyDescent="0.25">
      <c r="A228" s="19" t="s">
        <v>109</v>
      </c>
      <c r="B228" s="20" t="s">
        <v>57</v>
      </c>
      <c r="C228" s="21"/>
      <c r="D228" s="22"/>
      <c r="E228" s="21" t="s">
        <v>1026</v>
      </c>
      <c r="F228" s="29" t="s">
        <v>1027</v>
      </c>
      <c r="G228" s="20" t="str">
        <f>SUBSTITUTE(SUBSTITUTE(SUBSTITUTE(O228,"/@","_"),"/cac:","_"),"/cbc:","_")</f>
        <v>Invoice_TaxTotal_TaxAmount</v>
      </c>
      <c r="H228" s="19" t="s">
        <v>111</v>
      </c>
      <c r="I228" s="25" t="s">
        <v>1028</v>
      </c>
      <c r="J228" s="25" t="s">
        <v>1029</v>
      </c>
      <c r="K228" s="25" t="s">
        <v>1030</v>
      </c>
      <c r="L228" s="25" t="s">
        <v>1000</v>
      </c>
      <c r="M228" s="25">
        <v>1</v>
      </c>
      <c r="N228" s="26" t="str">
        <f>IF(O228="","",LEN(O228)-LEN(SUBSTITUTE(O228,"/",""))+IF(ISNUMBER(SEARCH("@",O228)),0,1))</f>
        <v>3</v>
      </c>
      <c r="O228" s="25" t="s">
        <v>113</v>
      </c>
      <c r="P228" s="20"/>
      <c r="Q228" s="20"/>
      <c r="R228" s="25"/>
      <c r="S228" s="25">
        <v>130</v>
      </c>
      <c r="T228" s="20"/>
      <c r="U228" s="20" t="s">
        <v>682</v>
      </c>
      <c r="V228" s="25" t="s">
        <v>68</v>
      </c>
      <c r="W228" s="20" t="str">
        <f>IF(ISBLANK(O228),"是","否")</f>
        <v>否</v>
      </c>
      <c r="X228" s="20"/>
      <c r="Y228" s="25"/>
      <c r="Z228" s="25"/>
      <c r="AC228" s="20" t="s">
        <v>76</v>
      </c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</row>
    <row r="229" ht="29.59398496240601" customHeight="1" spans="1:52" x14ac:dyDescent="0.25">
      <c r="A229" s="19" t="s">
        <v>109</v>
      </c>
      <c r="B229" s="20" t="s">
        <v>57</v>
      </c>
      <c r="C229" s="21"/>
      <c r="D229" s="22"/>
      <c r="E229" s="21" t="s">
        <v>1031</v>
      </c>
      <c r="F229" s="29" t="s">
        <v>1032</v>
      </c>
      <c r="G229" s="20" t="str">
        <f>SUBSTITUTE(SUBSTITUTE(SUBSTITUTE(O229,"/@","_"),"/cac:","_"),"/cbc:","_")</f>
        <v>Invoice_TaxTotal_TaxAmount_currencyID</v>
      </c>
      <c r="H229" s="19" t="s">
        <v>1033</v>
      </c>
      <c r="I229" s="25" t="s">
        <v>1034</v>
      </c>
      <c r="J229" s="25" t="s">
        <v>1035</v>
      </c>
      <c r="K229" s="25" t="s">
        <v>1036</v>
      </c>
      <c r="L229" s="25" t="s">
        <v>243</v>
      </c>
      <c r="M229" s="25" t="s">
        <v>64</v>
      </c>
      <c r="N229" s="26" t="str">
        <f>IF(O229="","",LEN(O229)-LEN(SUBSTITUTE(O229,"/",""))+IF(ISNUMBER(SEARCH("@",O229)),0,1))</f>
        <v>3</v>
      </c>
      <c r="O229" s="25" t="s">
        <v>1037</v>
      </c>
      <c r="P229" s="20"/>
      <c r="Q229" s="20"/>
      <c r="R229" s="25"/>
      <c r="S229" s="25" t="s">
        <v>993</v>
      </c>
      <c r="T229" s="20"/>
      <c r="U229" s="20" t="s">
        <v>682</v>
      </c>
      <c r="V229" s="25" t="s">
        <v>68</v>
      </c>
      <c r="W229" s="20" t="str">
        <f>IF(ISBLANK(O229),"是","否")</f>
        <v>否</v>
      </c>
      <c r="X229" s="20"/>
      <c r="Y229" s="25"/>
      <c r="Z229" s="25"/>
      <c r="AC229" s="20" t="s">
        <v>76</v>
      </c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</row>
    <row r="230" ht="39.879699248120296" customHeight="1" spans="1:52" x14ac:dyDescent="0.25">
      <c r="A230" s="19" t="s">
        <v>109</v>
      </c>
      <c r="B230" s="20" t="s">
        <v>57</v>
      </c>
      <c r="C230" s="21"/>
      <c r="D230" s="22"/>
      <c r="E230" s="21" t="s">
        <v>1038</v>
      </c>
      <c r="F230" s="29" t="s">
        <v>1039</v>
      </c>
      <c r="G230" s="20" t="str">
        <f>SUBSTITUTE(SUBSTITUTE(SUBSTITUTE(O230,"/@","_"),"/cac:","_"),"/cbc:","_")</f>
        <v>Invoice_TaxTotal_TaxSubtotal</v>
      </c>
      <c r="H230" s="19" t="s">
        <v>1040</v>
      </c>
      <c r="I230" s="25" t="s">
        <v>1041</v>
      </c>
      <c r="J230" s="25" t="s">
        <v>1042</v>
      </c>
      <c r="K230" s="25" t="s">
        <v>1043</v>
      </c>
      <c r="L230" s="25" t="s">
        <v>220</v>
      </c>
      <c r="M230" s="25" t="s">
        <v>1024</v>
      </c>
      <c r="N230" s="26" t="str">
        <f>IF(O230="","",LEN(O230)-LEN(SUBSTITUTE(O230,"/",""))+IF(ISNUMBER(SEARCH("@",O230)),0,1))</f>
        <v>3</v>
      </c>
      <c r="O230" s="25" t="s">
        <v>1044</v>
      </c>
      <c r="P230" s="20"/>
      <c r="Q230" s="20"/>
      <c r="R230" s="25"/>
      <c r="S230" s="25" t="s">
        <v>681</v>
      </c>
      <c r="T230" s="20"/>
      <c r="U230" s="20" t="s">
        <v>682</v>
      </c>
      <c r="V230" s="25" t="s">
        <v>222</v>
      </c>
      <c r="W230" s="20" t="str">
        <f>IF(ISBLANK(O230),"是","否")</f>
        <v>否</v>
      </c>
      <c r="X230" s="20"/>
      <c r="Y230" s="25"/>
      <c r="Z230" s="25"/>
      <c r="AC230" s="20" t="s">
        <v>76</v>
      </c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</row>
    <row r="231" ht="29.59398496240601" customHeight="1" spans="1:52" x14ac:dyDescent="0.25">
      <c r="A231" s="19" t="s">
        <v>1038</v>
      </c>
      <c r="B231" s="20" t="s">
        <v>57</v>
      </c>
      <c r="C231" s="21"/>
      <c r="D231" s="22"/>
      <c r="E231" s="21" t="s">
        <v>1045</v>
      </c>
      <c r="F231" s="29" t="s">
        <v>1046</v>
      </c>
      <c r="G231" s="20" t="str">
        <f>SUBSTITUTE(SUBSTITUTE(SUBSTITUTE(O231,"/@","_"),"/cac:","_"),"/cbc:","_")</f>
        <v>Invoice_TaxTotal_TaxSubtotal_TaxableAmount</v>
      </c>
      <c r="H231" s="19" t="s">
        <v>1047</v>
      </c>
      <c r="I231" s="25" t="s">
        <v>1048</v>
      </c>
      <c r="J231" s="25" t="s">
        <v>1049</v>
      </c>
      <c r="K231" s="25" t="s">
        <v>1050</v>
      </c>
      <c r="L231" s="25" t="s">
        <v>1000</v>
      </c>
      <c r="M231" s="25">
        <v>1</v>
      </c>
      <c r="N231" s="26" t="str">
        <f>IF(O231="","",LEN(O231)-LEN(SUBSTITUTE(O231,"/",""))+IF(ISNUMBER(SEARCH("@",O231)),0,1))</f>
        <v>4</v>
      </c>
      <c r="O231" s="25" t="s">
        <v>1051</v>
      </c>
      <c r="P231" s="20"/>
      <c r="Q231" s="20"/>
      <c r="R231" s="25"/>
      <c r="S231" s="25">
        <v>1000</v>
      </c>
      <c r="T231" s="20"/>
      <c r="U231" s="20" t="s">
        <v>682</v>
      </c>
      <c r="V231" s="25" t="s">
        <v>68</v>
      </c>
      <c r="W231" s="20" t="str">
        <f>IF(ISBLANK(O231),"是","否")</f>
        <v>否</v>
      </c>
      <c r="X231" s="20"/>
      <c r="Y231" s="25"/>
      <c r="Z231" s="25"/>
      <c r="AC231" s="20" t="s">
        <v>76</v>
      </c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</row>
    <row r="232" ht="29.59398496240601" customHeight="1" spans="1:52" x14ac:dyDescent="0.25">
      <c r="A232" s="19" t="s">
        <v>1038</v>
      </c>
      <c r="B232" s="20" t="s">
        <v>57</v>
      </c>
      <c r="C232" s="21"/>
      <c r="D232" s="22"/>
      <c r="E232" s="21" t="s">
        <v>1052</v>
      </c>
      <c r="F232" s="29" t="s">
        <v>1053</v>
      </c>
      <c r="G232" s="20" t="str">
        <f>SUBSTITUTE(SUBSTITUTE(SUBSTITUTE(O232,"/@","_"),"/cac:","_"),"/cbc:","_")</f>
        <v>Invoice_TaxTotal_TaxSubtotal_TaxableAmount_currencyID</v>
      </c>
      <c r="H232" s="19" t="s">
        <v>1054</v>
      </c>
      <c r="I232" s="25" t="s">
        <v>1055</v>
      </c>
      <c r="J232" s="25" t="s">
        <v>1056</v>
      </c>
      <c r="K232" s="25" t="s">
        <v>1057</v>
      </c>
      <c r="L232" s="25" t="s">
        <v>243</v>
      </c>
      <c r="M232" s="25" t="s">
        <v>64</v>
      </c>
      <c r="N232" s="26" t="str">
        <f>IF(O232="","",LEN(O232)-LEN(SUBSTITUTE(O232,"/",""))+IF(ISNUMBER(SEARCH("@",O232)),0,1))</f>
        <v>4</v>
      </c>
      <c r="O232" s="25" t="s">
        <v>1058</v>
      </c>
      <c r="P232" s="20"/>
      <c r="Q232" s="20"/>
      <c r="R232" s="25"/>
      <c r="S232" s="25" t="s">
        <v>993</v>
      </c>
      <c r="T232" s="20"/>
      <c r="U232" s="20" t="s">
        <v>682</v>
      </c>
      <c r="V232" s="25" t="s">
        <v>68</v>
      </c>
      <c r="W232" s="20" t="str">
        <f>IF(ISBLANK(O232),"是","否")</f>
        <v>否</v>
      </c>
      <c r="X232" s="20"/>
      <c r="Y232" s="25"/>
      <c r="Z232" s="25"/>
      <c r="AC232" s="20" t="s">
        <v>76</v>
      </c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</row>
    <row r="233" ht="29.59398496240601" customHeight="1" spans="1:52" x14ac:dyDescent="0.25">
      <c r="A233" s="19" t="s">
        <v>1038</v>
      </c>
      <c r="B233" s="20" t="s">
        <v>57</v>
      </c>
      <c r="C233" s="21"/>
      <c r="D233" s="22"/>
      <c r="E233" s="21" t="s">
        <v>1059</v>
      </c>
      <c r="F233" s="29" t="s">
        <v>1060</v>
      </c>
      <c r="G233" s="20" t="str">
        <f>SUBSTITUTE(SUBSTITUTE(SUBSTITUTE(O233,"/@","_"),"/cac:","_"),"/cbc:","_")</f>
        <v>Invoice_TaxTotal_TaxSubtotal_TaxAmount</v>
      </c>
      <c r="H233" s="19" t="s">
        <v>1061</v>
      </c>
      <c r="I233" s="25" t="s">
        <v>1062</v>
      </c>
      <c r="J233" s="25" t="s">
        <v>1063</v>
      </c>
      <c r="K233" s="25" t="s">
        <v>1064</v>
      </c>
      <c r="L233" s="25" t="s">
        <v>1000</v>
      </c>
      <c r="M233" s="25">
        <v>1</v>
      </c>
      <c r="N233" s="26" t="str">
        <f>IF(O233="","",LEN(O233)-LEN(SUBSTITUTE(O233,"/",""))+IF(ISNUMBER(SEARCH("@",O233)),0,1))</f>
        <v>4</v>
      </c>
      <c r="O233" s="25" t="s">
        <v>1065</v>
      </c>
      <c r="P233" s="20"/>
      <c r="Q233" s="20"/>
      <c r="R233" s="25"/>
      <c r="S233" s="25">
        <v>130</v>
      </c>
      <c r="T233" s="20"/>
      <c r="U233" s="20" t="s">
        <v>682</v>
      </c>
      <c r="V233" s="25" t="s">
        <v>68</v>
      </c>
      <c r="W233" s="20" t="str">
        <f>IF(ISBLANK(O233),"是","否")</f>
        <v>否</v>
      </c>
      <c r="X233" s="20"/>
      <c r="Y233" s="25"/>
      <c r="Z233" s="25"/>
      <c r="AC233" s="20" t="s">
        <v>76</v>
      </c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</row>
    <row r="234" ht="39.879699248120296" customHeight="1" spans="1:52" x14ac:dyDescent="0.25">
      <c r="A234" s="19" t="s">
        <v>1038</v>
      </c>
      <c r="B234" s="20" t="s">
        <v>57</v>
      </c>
      <c r="C234" s="21"/>
      <c r="D234" s="22"/>
      <c r="E234" s="21" t="s">
        <v>1066</v>
      </c>
      <c r="F234" s="29" t="s">
        <v>1067</v>
      </c>
      <c r="G234" s="20" t="str">
        <f>SUBSTITUTE(SUBSTITUTE(SUBSTITUTE(O234,"/@","_"),"/cac:","_"),"/cbc:","_")</f>
        <v>Invoice_TaxTotal_TaxSubtotal_TaxAmount_currencyID</v>
      </c>
      <c r="H234" s="19" t="s">
        <v>1068</v>
      </c>
      <c r="I234" s="25" t="s">
        <v>1055</v>
      </c>
      <c r="J234" s="25" t="s">
        <v>1069</v>
      </c>
      <c r="K234" s="25" t="s">
        <v>1057</v>
      </c>
      <c r="L234" s="25" t="s">
        <v>243</v>
      </c>
      <c r="M234" s="25" t="s">
        <v>64</v>
      </c>
      <c r="N234" s="26" t="str">
        <f>IF(O234="","",LEN(O234)-LEN(SUBSTITUTE(O234,"/",""))+IF(ISNUMBER(SEARCH("@",O234)),0,1))</f>
        <v>4</v>
      </c>
      <c r="O234" s="25" t="s">
        <v>1070</v>
      </c>
      <c r="P234" s="20"/>
      <c r="Q234" s="20"/>
      <c r="R234" s="25"/>
      <c r="S234" s="25" t="s">
        <v>993</v>
      </c>
      <c r="T234" s="20"/>
      <c r="U234" s="20" t="s">
        <v>682</v>
      </c>
      <c r="V234" s="25" t="s">
        <v>68</v>
      </c>
      <c r="W234" s="20" t="str">
        <f>IF(ISBLANK(O234),"是","否")</f>
        <v>否</v>
      </c>
      <c r="X234" s="20"/>
      <c r="Y234" s="25"/>
      <c r="Z234" s="25"/>
      <c r="AC234" s="20" t="s">
        <v>76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</row>
    <row r="235" ht="29.59398496240601" customHeight="1" spans="1:52" x14ac:dyDescent="0.25">
      <c r="A235" s="19" t="s">
        <v>1071</v>
      </c>
      <c r="B235" s="20" t="s">
        <v>57</v>
      </c>
      <c r="C235" s="21"/>
      <c r="D235" s="22"/>
      <c r="E235" s="21" t="s">
        <v>1072</v>
      </c>
      <c r="F235" s="29" t="s">
        <v>1073</v>
      </c>
      <c r="G235" s="20" t="str">
        <f>SUBSTITUTE(SUBSTITUTE(SUBSTITUTE(O235,"/@","_"),"/cac:","_"),"/cbc:","_")</f>
        <v>Invoice_TaxTotal_TaxSubtotal_TaxCategory_ID</v>
      </c>
      <c r="H235" s="19" t="s">
        <v>1074</v>
      </c>
      <c r="I235" s="25" t="s">
        <v>1075</v>
      </c>
      <c r="J235" s="25" t="s">
        <v>1076</v>
      </c>
      <c r="K235" s="25" t="s">
        <v>1077</v>
      </c>
      <c r="L235" s="25" t="s">
        <v>243</v>
      </c>
      <c r="M235" s="25">
        <v>1</v>
      </c>
      <c r="N235" s="26" t="str">
        <f>IF(O235="","",LEN(O235)-LEN(SUBSTITUTE(O235,"/",""))+IF(ISNUMBER(SEARCH("@",O235)),0,1))</f>
        <v>5</v>
      </c>
      <c r="O235" s="25" t="s">
        <v>1078</v>
      </c>
      <c r="P235" s="20"/>
      <c r="Q235" s="20"/>
      <c r="R235" s="25"/>
      <c r="S235" s="25" t="s">
        <v>1079</v>
      </c>
      <c r="T235" s="20"/>
      <c r="U235" s="20" t="s">
        <v>682</v>
      </c>
      <c r="V235" s="25" t="s">
        <v>68</v>
      </c>
      <c r="W235" s="20" t="str">
        <f>IF(ISBLANK(O235),"是","否")</f>
        <v>否</v>
      </c>
      <c r="X235" s="20"/>
      <c r="Y235" s="25"/>
      <c r="Z235" s="25"/>
      <c r="AC235" s="20" t="s">
        <v>76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</row>
    <row r="236" ht="39.879699248120296" customHeight="1" spans="1:52" x14ac:dyDescent="0.25">
      <c r="A236" s="19" t="s">
        <v>1071</v>
      </c>
      <c r="B236" s="20" t="s">
        <v>57</v>
      </c>
      <c r="C236" s="21"/>
      <c r="D236" s="22"/>
      <c r="E236" s="21" t="s">
        <v>1080</v>
      </c>
      <c r="F236" s="29" t="s">
        <v>1081</v>
      </c>
      <c r="G236" s="20" t="str">
        <f>SUBSTITUTE(SUBSTITUTE(SUBSTITUTE(O236,"/@","_"),"/cac:","_"),"/cbc:","_")</f>
        <v>Invoice_TaxTotal_TaxSubtotal_TaxCategory_Percent</v>
      </c>
      <c r="H236" s="19" t="s">
        <v>1082</v>
      </c>
      <c r="I236" s="25" t="s">
        <v>1083</v>
      </c>
      <c r="J236" s="25" t="s">
        <v>1084</v>
      </c>
      <c r="K236" s="25" t="s">
        <v>1085</v>
      </c>
      <c r="L236" s="25" t="s">
        <v>1000</v>
      </c>
      <c r="M236" s="25" t="s">
        <v>64</v>
      </c>
      <c r="N236" s="26" t="str">
        <f>IF(O236="","",LEN(O236)-LEN(SUBSTITUTE(O236,"/",""))+IF(ISNUMBER(SEARCH("@",O236)),0,1))</f>
        <v>5</v>
      </c>
      <c r="O236" s="25" t="s">
        <v>1086</v>
      </c>
      <c r="P236" s="20"/>
      <c r="Q236" s="20"/>
      <c r="R236" s="25"/>
      <c r="S236" s="25">
        <v>13</v>
      </c>
      <c r="T236" s="20"/>
      <c r="U236" s="20" t="s">
        <v>682</v>
      </c>
      <c r="V236" s="25" t="s">
        <v>68</v>
      </c>
      <c r="W236" s="20" t="str">
        <f>IF(ISBLANK(O236),"是","否")</f>
        <v>否</v>
      </c>
      <c r="X236" s="20"/>
      <c r="Y236" s="25"/>
      <c r="Z236" s="25"/>
      <c r="AA236" s="24">
        <v>165</v>
      </c>
      <c r="AB236" s="25" t="s">
        <v>1087</v>
      </c>
      <c r="AC236" s="20" t="s">
        <v>76</v>
      </c>
      <c r="AD236" s="24"/>
      <c r="AE236" s="25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</row>
    <row r="237" ht="50.16541353383458" customHeight="1" spans="1:52" x14ac:dyDescent="0.25">
      <c r="A237" s="19" t="s">
        <v>1071</v>
      </c>
      <c r="B237" s="20" t="s">
        <v>57</v>
      </c>
      <c r="C237" s="21"/>
      <c r="D237" s="22"/>
      <c r="E237" s="21" t="s">
        <v>1088</v>
      </c>
      <c r="F237" s="29" t="s">
        <v>1089</v>
      </c>
      <c r="G237" s="20" t="str">
        <f>SUBSTITUTE(SUBSTITUTE(SUBSTITUTE(O237,"/@","_"),"/cac:","_"),"/cbc:","_")</f>
        <v>Invoice_TaxTotal_TaxSubtotal_TaxCategory_TaxExemptionReasonCode</v>
      </c>
      <c r="H237" s="19" t="s">
        <v>1090</v>
      </c>
      <c r="I237" s="25" t="s">
        <v>1091</v>
      </c>
      <c r="J237" s="25" t="s">
        <v>1092</v>
      </c>
      <c r="K237" s="25" t="s">
        <v>1093</v>
      </c>
      <c r="L237" s="25" t="s">
        <v>243</v>
      </c>
      <c r="M237" s="25" t="s">
        <v>64</v>
      </c>
      <c r="N237" s="26" t="str">
        <f>IF(O237="","",LEN(O237)-LEN(SUBSTITUTE(O237,"/",""))+IF(ISNUMBER(SEARCH("@",O237)),0,1))</f>
        <v>5</v>
      </c>
      <c r="O237" s="25" t="s">
        <v>1094</v>
      </c>
      <c r="P237" s="20"/>
      <c r="Q237" s="20"/>
      <c r="R237" s="25"/>
      <c r="S237" s="25" t="s">
        <v>1095</v>
      </c>
      <c r="T237" s="20"/>
      <c r="U237" s="20" t="s">
        <v>682</v>
      </c>
      <c r="V237" s="25" t="s">
        <v>68</v>
      </c>
      <c r="W237" s="20" t="str">
        <f>IF(ISBLANK(O237),"是","否")</f>
        <v>否</v>
      </c>
      <c r="X237" s="20"/>
      <c r="Y237" s="25"/>
      <c r="Z237" s="25"/>
      <c r="AC237" s="20" t="s">
        <v>76</v>
      </c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</row>
    <row r="238" ht="50.16541353383458" customHeight="1" spans="1:52" x14ac:dyDescent="0.25">
      <c r="A238" s="19" t="s">
        <v>1071</v>
      </c>
      <c r="B238" s="20" t="s">
        <v>57</v>
      </c>
      <c r="C238" s="21"/>
      <c r="D238" s="22"/>
      <c r="E238" s="21" t="s">
        <v>1096</v>
      </c>
      <c r="F238" s="29" t="s">
        <v>1097</v>
      </c>
      <c r="G238" s="20" t="str">
        <f>SUBSTITUTE(SUBSTITUTE(SUBSTITUTE(O238,"/@","_"),"/cac:","_"),"/cbc:","_")</f>
        <v>Invoice_TaxTotal_TaxSubtotal_TaxCategory_TaxExemptionReason</v>
      </c>
      <c r="H238" s="19" t="s">
        <v>1098</v>
      </c>
      <c r="I238" s="25" t="s">
        <v>1099</v>
      </c>
      <c r="J238" s="25" t="s">
        <v>1100</v>
      </c>
      <c r="K238" s="25" t="s">
        <v>1101</v>
      </c>
      <c r="L238" s="25" t="s">
        <v>228</v>
      </c>
      <c r="M238" s="25" t="s">
        <v>64</v>
      </c>
      <c r="N238" s="26" t="str">
        <f>IF(O238="","",LEN(O238)-LEN(SUBSTITUTE(O238,"/",""))+IF(ISNUMBER(SEARCH("@",O238)),0,1))</f>
        <v>5</v>
      </c>
      <c r="O238" s="25" t="s">
        <v>1102</v>
      </c>
      <c r="P238" s="20"/>
      <c r="Q238" s="20"/>
      <c r="R238" s="25"/>
      <c r="S238" s="25" t="s">
        <v>1103</v>
      </c>
      <c r="T238" s="20"/>
      <c r="U238" s="20" t="s">
        <v>682</v>
      </c>
      <c r="V238" s="25" t="s">
        <v>68</v>
      </c>
      <c r="W238" s="20" t="str">
        <f>IF(ISBLANK(O238),"是","否")</f>
        <v>否</v>
      </c>
      <c r="X238" s="20"/>
      <c r="Y238" s="25"/>
      <c r="Z238" s="25"/>
      <c r="AC238" s="20" t="s">
        <v>76</v>
      </c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</row>
    <row r="239" ht="39.879699248120296" customHeight="1" spans="1:52" x14ac:dyDescent="0.25">
      <c r="A239" s="19" t="s">
        <v>349</v>
      </c>
      <c r="B239" s="20" t="s">
        <v>57</v>
      </c>
      <c r="C239" s="21"/>
      <c r="D239" s="22"/>
      <c r="E239" s="21" t="s">
        <v>1104</v>
      </c>
      <c r="F239" s="29" t="s">
        <v>1105</v>
      </c>
      <c r="G239" s="20" t="str">
        <f>SUBSTITUTE(SUBSTITUTE(SUBSTITUTE(O239,"/@","_"),"/cac:","_"),"/cbc:","_")</f>
        <v>Invoice_TaxTotal_TaxSubtotal_TaxCategory_TaxScheme_ID</v>
      </c>
      <c r="H239" s="19" t="s">
        <v>529</v>
      </c>
      <c r="I239" s="25" t="s">
        <v>1106</v>
      </c>
      <c r="J239" s="25" t="s">
        <v>1107</v>
      </c>
      <c r="K239" s="25" t="s">
        <v>1108</v>
      </c>
      <c r="L239" s="25" t="s">
        <v>243</v>
      </c>
      <c r="M239" s="25" t="s">
        <v>64</v>
      </c>
      <c r="N239" s="26" t="str">
        <f>IF(O239="","",LEN(O239)-LEN(SUBSTITUTE(O239,"/",""))+IF(ISNUMBER(SEARCH("@",O239)),0,1))</f>
        <v>6</v>
      </c>
      <c r="O239" s="25" t="s">
        <v>1109</v>
      </c>
      <c r="P239" s="20"/>
      <c r="Q239" s="20"/>
      <c r="R239" s="25"/>
      <c r="S239" s="25" t="s">
        <v>791</v>
      </c>
      <c r="T239" s="20"/>
      <c r="U239" s="20" t="s">
        <v>682</v>
      </c>
      <c r="V239" s="25" t="s">
        <v>68</v>
      </c>
      <c r="W239" s="20" t="str">
        <f>IF(ISBLANK(O239),"是","否")</f>
        <v>否</v>
      </c>
      <c r="X239" s="20"/>
      <c r="Y239" s="25"/>
      <c r="Z239" s="25"/>
      <c r="AC239" s="20" t="s">
        <v>76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</row>
    <row r="240" ht="39.879699248120296" customHeight="1" spans="1:52" x14ac:dyDescent="0.25">
      <c r="A240" s="19" t="s">
        <v>349</v>
      </c>
      <c r="B240" s="20" t="s">
        <v>57</v>
      </c>
      <c r="C240" s="21"/>
      <c r="D240" s="22"/>
      <c r="E240" s="21" t="s">
        <v>1110</v>
      </c>
      <c r="F240" s="29" t="s">
        <v>1111</v>
      </c>
      <c r="G240" s="20" t="str">
        <f>SUBSTITUTE(SUBSTITUTE(SUBSTITUTE(O240,"/@","_"),"/cac:","_"),"/cbc:","_")</f>
        <v>Invoice_TaxTotal_TaxSubtotal_TaxCategory_TaxScheme_Name</v>
      </c>
      <c r="H240" s="19" t="s">
        <v>1112</v>
      </c>
      <c r="I240" s="25" t="s">
        <v>1113</v>
      </c>
      <c r="J240" s="25" t="s">
        <v>1114</v>
      </c>
      <c r="K240" s="25" t="s">
        <v>1115</v>
      </c>
      <c r="L240" s="25" t="s">
        <v>228</v>
      </c>
      <c r="M240" s="25" t="s">
        <v>64</v>
      </c>
      <c r="N240" s="26" t="str">
        <f>IF(O240="","",LEN(O240)-LEN(SUBSTITUTE(O240,"/",""))+IF(ISNUMBER(SEARCH("@",O240)),0,1))</f>
        <v>6</v>
      </c>
      <c r="O240" s="25" t="s">
        <v>1116</v>
      </c>
      <c r="P240" s="20"/>
      <c r="Q240" s="20"/>
      <c r="R240" s="25"/>
      <c r="S240" s="25" t="s">
        <v>1117</v>
      </c>
      <c r="T240" s="20"/>
      <c r="U240" s="20" t="s">
        <v>682</v>
      </c>
      <c r="V240" s="25" t="s">
        <v>68</v>
      </c>
      <c r="W240" s="20" t="str">
        <f>IF(ISBLANK(O240),"是","否")</f>
        <v>否</v>
      </c>
      <c r="X240" s="20"/>
      <c r="Y240" s="25"/>
      <c r="Z240" s="25"/>
      <c r="AC240" s="20" t="s">
        <v>76</v>
      </c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</row>
    <row r="241" ht="29.59398496240601" customHeight="1" spans="1:52" x14ac:dyDescent="0.25">
      <c r="A241" s="19" t="s">
        <v>41</v>
      </c>
      <c r="B241" s="20" t="s">
        <v>57</v>
      </c>
      <c r="C241" s="21"/>
      <c r="D241" s="22"/>
      <c r="E241" s="21" t="s">
        <v>1118</v>
      </c>
      <c r="F241" s="29" t="s">
        <v>1119</v>
      </c>
      <c r="G241" s="20" t="str">
        <f>SUBSTITUTE(SUBSTITUTE(SUBSTITUTE(O241,"/@","_"),"/cac:","_"),"/cbc:","_")</f>
        <v>Invoice_WithholdingTaxTotal</v>
      </c>
      <c r="H241" s="19" t="s">
        <v>1120</v>
      </c>
      <c r="I241" s="25" t="s">
        <v>1121</v>
      </c>
      <c r="J241" s="25" t="s">
        <v>1122</v>
      </c>
      <c r="K241" s="25" t="s">
        <v>1123</v>
      </c>
      <c r="L241" s="25" t="s">
        <v>220</v>
      </c>
      <c r="M241" s="25" t="s">
        <v>49</v>
      </c>
      <c r="N241" s="26" t="str">
        <f>IF(O241="","",LEN(O241)-LEN(SUBSTITUTE(O241,"/",""))+IF(ISNUMBER(SEARCH("@",O241)),0,1))</f>
        <v>2</v>
      </c>
      <c r="O241" s="25" t="s">
        <v>1124</v>
      </c>
      <c r="P241" s="20"/>
      <c r="Q241" s="20"/>
      <c r="R241" s="25"/>
      <c r="S241" s="25" t="s">
        <v>681</v>
      </c>
      <c r="T241" s="20"/>
      <c r="U241" s="20" t="s">
        <v>682</v>
      </c>
      <c r="V241" s="25" t="s">
        <v>222</v>
      </c>
      <c r="W241" s="20" t="str">
        <f>IF(ISBLANK(O241),"是","否")</f>
        <v>否</v>
      </c>
      <c r="X241" s="20"/>
      <c r="Y241" s="25"/>
      <c r="Z241" s="25"/>
      <c r="AC241" s="20" t="s">
        <v>76</v>
      </c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</row>
    <row r="242" ht="29.59398496240601" customHeight="1" spans="1:52" x14ac:dyDescent="0.25">
      <c r="A242" s="19" t="s">
        <v>109</v>
      </c>
      <c r="B242" s="20" t="s">
        <v>57</v>
      </c>
      <c r="C242" s="21"/>
      <c r="D242" s="22"/>
      <c r="E242" s="21" t="s">
        <v>1026</v>
      </c>
      <c r="F242" s="29" t="s">
        <v>1125</v>
      </c>
      <c r="G242" s="20" t="str">
        <f>SUBSTITUTE(SUBSTITUTE(SUBSTITUTE(O242,"/@","_"),"/cac:","_"),"/cbc:","_")</f>
        <v>Invoice_WithholdingTaxTotal_TaxAmount</v>
      </c>
      <c r="H242" s="19" t="s">
        <v>1120</v>
      </c>
      <c r="I242" s="25" t="s">
        <v>1126</v>
      </c>
      <c r="J242" s="25" t="s">
        <v>1127</v>
      </c>
      <c r="K242" s="25" t="s">
        <v>1128</v>
      </c>
      <c r="L242" s="25" t="s">
        <v>1000</v>
      </c>
      <c r="M242" s="25">
        <v>1</v>
      </c>
      <c r="N242" s="26" t="str">
        <f>IF(O242="","",LEN(O242)-LEN(SUBSTITUTE(O242,"/",""))+IF(ISNUMBER(SEARCH("@",O242)),0,1))</f>
        <v>3</v>
      </c>
      <c r="O242" s="25" t="s">
        <v>1129</v>
      </c>
      <c r="P242" s="20"/>
      <c r="Q242" s="20"/>
      <c r="R242" s="25"/>
      <c r="S242" s="25">
        <v>50</v>
      </c>
      <c r="T242" s="20"/>
      <c r="U242" s="20" t="s">
        <v>682</v>
      </c>
      <c r="V242" s="25" t="s">
        <v>68</v>
      </c>
      <c r="W242" s="20" t="str">
        <f>IF(ISBLANK(O242),"是","否")</f>
        <v>否</v>
      </c>
      <c r="X242" s="20"/>
      <c r="Y242" s="25"/>
      <c r="Z242" s="25"/>
      <c r="AC242" s="20" t="s">
        <v>76</v>
      </c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</row>
    <row r="243" ht="29.59398496240601" customHeight="1" spans="1:52" x14ac:dyDescent="0.25">
      <c r="A243" s="19" t="s">
        <v>109</v>
      </c>
      <c r="B243" s="20" t="s">
        <v>57</v>
      </c>
      <c r="C243" s="21"/>
      <c r="D243" s="22"/>
      <c r="E243" s="21" t="s">
        <v>1031</v>
      </c>
      <c r="F243" s="29" t="s">
        <v>1130</v>
      </c>
      <c r="G243" s="20" t="str">
        <f>SUBSTITUTE(SUBSTITUTE(SUBSTITUTE(O243,"/@","_"),"/cac:","_"),"/cbc:","_")</f>
        <v>Invoice_WithholdingTaxTotal_TaxAmount_currencyID</v>
      </c>
      <c r="H243" s="19" t="s">
        <v>1131</v>
      </c>
      <c r="I243" s="25" t="s">
        <v>1055</v>
      </c>
      <c r="J243" s="25" t="s">
        <v>1132</v>
      </c>
      <c r="K243" s="25" t="s">
        <v>1036</v>
      </c>
      <c r="L243" s="25" t="s">
        <v>243</v>
      </c>
      <c r="M243" s="25" t="s">
        <v>64</v>
      </c>
      <c r="N243" s="26" t="str">
        <f>IF(O243="","",LEN(O243)-LEN(SUBSTITUTE(O243,"/",""))+IF(ISNUMBER(SEARCH("@",O243)),0,1))</f>
        <v>3</v>
      </c>
      <c r="O243" s="25" t="s">
        <v>1133</v>
      </c>
      <c r="P243" s="20"/>
      <c r="Q243" s="20"/>
      <c r="R243" s="25"/>
      <c r="S243" s="25" t="s">
        <v>993</v>
      </c>
      <c r="T243" s="20"/>
      <c r="U243" s="20" t="s">
        <v>682</v>
      </c>
      <c r="V243" s="25" t="s">
        <v>68</v>
      </c>
      <c r="W243" s="20" t="str">
        <f>IF(ISBLANK(O243),"是","否")</f>
        <v>否</v>
      </c>
      <c r="X243" s="20"/>
      <c r="Y243" s="25"/>
      <c r="Z243" s="25"/>
      <c r="AC243" s="20" t="s">
        <v>76</v>
      </c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</row>
    <row r="244" ht="29.59398496240601" customHeight="1" spans="1:52" x14ac:dyDescent="0.25">
      <c r="A244" s="19" t="s">
        <v>1038</v>
      </c>
      <c r="B244" s="20" t="s">
        <v>57</v>
      </c>
      <c r="C244" s="21"/>
      <c r="D244" s="22"/>
      <c r="E244" s="21" t="s">
        <v>1134</v>
      </c>
      <c r="F244" s="29" t="s">
        <v>1135</v>
      </c>
      <c r="G244" s="20" t="str">
        <f>SUBSTITUTE(SUBSTITUTE(SUBSTITUTE(O244,"/@","_"),"/cac:","_"),"/cbc:","_")</f>
        <v>Invoice_WithholdingTaxTotal_TaxSubtotal_TaxableAmount</v>
      </c>
      <c r="H244" s="19" t="s">
        <v>1136</v>
      </c>
      <c r="I244" s="25" t="s">
        <v>1137</v>
      </c>
      <c r="J244" s="25" t="s">
        <v>1138</v>
      </c>
      <c r="K244" s="25" t="s">
        <v>1139</v>
      </c>
      <c r="L244" s="25" t="s">
        <v>1000</v>
      </c>
      <c r="M244" s="25">
        <v>1</v>
      </c>
      <c r="N244" s="26" t="str">
        <f>IF(O244="","",LEN(O244)-LEN(SUBSTITUTE(O244,"/",""))+IF(ISNUMBER(SEARCH("@",O244)),0,1))</f>
        <v>4</v>
      </c>
      <c r="O244" s="25" t="s">
        <v>1140</v>
      </c>
      <c r="P244" s="20"/>
      <c r="Q244" s="20"/>
      <c r="R244" s="25"/>
      <c r="S244" s="25">
        <v>1000</v>
      </c>
      <c r="T244" s="20"/>
      <c r="U244" s="20" t="s">
        <v>682</v>
      </c>
      <c r="V244" s="25" t="s">
        <v>68</v>
      </c>
      <c r="W244" s="20" t="str">
        <f>IF(ISBLANK(O244),"是","否")</f>
        <v>否</v>
      </c>
      <c r="X244" s="20"/>
      <c r="Y244" s="25"/>
      <c r="Z244" s="25"/>
      <c r="AC244" s="20" t="s">
        <v>76</v>
      </c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</row>
    <row r="245" ht="29.59398496240601" customHeight="1" spans="1:52" x14ac:dyDescent="0.25">
      <c r="A245" s="19" t="s">
        <v>1038</v>
      </c>
      <c r="B245" s="20" t="s">
        <v>57</v>
      </c>
      <c r="C245" s="21"/>
      <c r="D245" s="22"/>
      <c r="E245" s="21" t="s">
        <v>1059</v>
      </c>
      <c r="F245" s="29" t="s">
        <v>1141</v>
      </c>
      <c r="G245" s="20" t="str">
        <f>SUBSTITUTE(SUBSTITUTE(SUBSTITUTE(O245,"/@","_"),"/cac:","_"),"/cbc:","_")</f>
        <v>Invoice_WithholdingTaxTotal_TaxSubtotal_TaxAmount</v>
      </c>
      <c r="H245" s="19" t="s">
        <v>1142</v>
      </c>
      <c r="I245" s="25" t="s">
        <v>1143</v>
      </c>
      <c r="J245" s="25" t="s">
        <v>1144</v>
      </c>
      <c r="K245" s="25" t="s">
        <v>1139</v>
      </c>
      <c r="L245" s="25" t="s">
        <v>1000</v>
      </c>
      <c r="M245" s="25">
        <v>1</v>
      </c>
      <c r="N245" s="26" t="str">
        <f>IF(O245="","",LEN(O245)-LEN(SUBSTITUTE(O245,"/",""))+IF(ISNUMBER(SEARCH("@",O245)),0,1))</f>
        <v>4</v>
      </c>
      <c r="O245" s="25" t="s">
        <v>1145</v>
      </c>
      <c r="P245" s="20"/>
      <c r="Q245" s="20"/>
      <c r="R245" s="25"/>
      <c r="S245" s="25">
        <v>50</v>
      </c>
      <c r="T245" s="20"/>
      <c r="U245" s="20" t="s">
        <v>682</v>
      </c>
      <c r="V245" s="25" t="s">
        <v>68</v>
      </c>
      <c r="W245" s="20" t="str">
        <f>IF(ISBLANK(O245),"是","否")</f>
        <v>否</v>
      </c>
      <c r="X245" s="20"/>
      <c r="Y245" s="25"/>
      <c r="Z245" s="25"/>
      <c r="AC245" s="20" t="s">
        <v>76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</row>
    <row r="246" ht="29.59398496240601" customHeight="1" spans="1:52" x14ac:dyDescent="0.25">
      <c r="A246" s="19" t="s">
        <v>1071</v>
      </c>
      <c r="B246" s="20" t="s">
        <v>57</v>
      </c>
      <c r="C246" s="21"/>
      <c r="D246" s="22"/>
      <c r="E246" s="21" t="s">
        <v>1072</v>
      </c>
      <c r="F246" s="29" t="s">
        <v>1146</v>
      </c>
      <c r="G246" s="20" t="str">
        <f>SUBSTITUTE(SUBSTITUTE(SUBSTITUTE(O246,"/@","_"),"/cac:","_"),"/cbc:","_")</f>
        <v>Invoice_WithholdingTaxTotal_TaxSubtotal_TaxCategory_ID</v>
      </c>
      <c r="H246" s="19" t="s">
        <v>1074</v>
      </c>
      <c r="I246" s="25" t="s">
        <v>1147</v>
      </c>
      <c r="J246" s="25" t="s">
        <v>1148</v>
      </c>
      <c r="K246" s="25" t="s">
        <v>1149</v>
      </c>
      <c r="L246" s="25" t="s">
        <v>228</v>
      </c>
      <c r="M246" s="25">
        <v>1</v>
      </c>
      <c r="N246" s="26" t="str">
        <f>IF(O246="","",LEN(O246)-LEN(SUBSTITUTE(O246,"/",""))+IF(ISNUMBER(SEARCH("@",O246)),0,1))</f>
        <v>5</v>
      </c>
      <c r="O246" s="25" t="s">
        <v>1150</v>
      </c>
      <c r="P246" s="20"/>
      <c r="Q246" s="20"/>
      <c r="R246" s="25"/>
      <c r="S246" s="25" t="s">
        <v>1151</v>
      </c>
      <c r="T246" s="20"/>
      <c r="U246" s="20" t="s">
        <v>682</v>
      </c>
      <c r="V246" s="25" t="s">
        <v>68</v>
      </c>
      <c r="W246" s="20" t="str">
        <f>IF(ISBLANK(O246),"是","否")</f>
        <v>否</v>
      </c>
      <c r="X246" s="20"/>
      <c r="Y246" s="25"/>
      <c r="Z246" s="25"/>
      <c r="AC246" s="20" t="s">
        <v>76</v>
      </c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</row>
    <row r="247" ht="39.879699248120296" customHeight="1" spans="1:52" x14ac:dyDescent="0.25">
      <c r="A247" s="19" t="s">
        <v>1071</v>
      </c>
      <c r="B247" s="20" t="s">
        <v>57</v>
      </c>
      <c r="C247" s="21"/>
      <c r="D247" s="22"/>
      <c r="E247" s="21" t="s">
        <v>1080</v>
      </c>
      <c r="F247" s="29" t="s">
        <v>1152</v>
      </c>
      <c r="G247" s="20" t="str">
        <f>SUBSTITUTE(SUBSTITUTE(SUBSTITUTE(O247,"/@","_"),"/cac:","_"),"/cbc:","_")</f>
        <v>Invoice_WithholdingTaxTotal_TaxSubtotal_TaxCategory_Percent</v>
      </c>
      <c r="H247" s="19" t="s">
        <v>1082</v>
      </c>
      <c r="I247" s="25" t="s">
        <v>1153</v>
      </c>
      <c r="J247" s="25" t="s">
        <v>1154</v>
      </c>
      <c r="K247" s="25" t="s">
        <v>1155</v>
      </c>
      <c r="L247" s="25" t="s">
        <v>1000</v>
      </c>
      <c r="M247" s="25" t="s">
        <v>64</v>
      </c>
      <c r="N247" s="26" t="str">
        <f>IF(O247="","",LEN(O247)-LEN(SUBSTITUTE(O247,"/",""))+IF(ISNUMBER(SEARCH("@",O247)),0,1))</f>
        <v>5</v>
      </c>
      <c r="O247" s="25" t="s">
        <v>1156</v>
      </c>
      <c r="P247" s="20"/>
      <c r="Q247" s="20"/>
      <c r="R247" s="25"/>
      <c r="S247" s="25">
        <v>5</v>
      </c>
      <c r="T247" s="20"/>
      <c r="U247" s="20" t="s">
        <v>682</v>
      </c>
      <c r="V247" s="25" t="s">
        <v>68</v>
      </c>
      <c r="W247" s="20" t="str">
        <f>IF(ISBLANK(O247),"是","否")</f>
        <v>否</v>
      </c>
      <c r="X247" s="20"/>
      <c r="Y247" s="25"/>
      <c r="Z247" s="25"/>
      <c r="AC247" s="20" t="s">
        <v>76</v>
      </c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</row>
    <row r="248" ht="39.879699248120296" customHeight="1" spans="1:52" x14ac:dyDescent="0.25">
      <c r="A248" s="19" t="s">
        <v>349</v>
      </c>
      <c r="B248" s="20" t="s">
        <v>57</v>
      </c>
      <c r="C248" s="21"/>
      <c r="D248" s="22"/>
      <c r="E248" s="21" t="s">
        <v>1104</v>
      </c>
      <c r="F248" s="29" t="s">
        <v>1157</v>
      </c>
      <c r="G248" s="20" t="str">
        <f>SUBSTITUTE(SUBSTITUTE(SUBSTITUTE(O248,"/@","_"),"/cac:","_"),"/cbc:","_")</f>
        <v>Invoice_WithholdingTaxTotal_TaxSubtotal_TaxCategory_TaxScheme_ID</v>
      </c>
      <c r="H248" s="19" t="s">
        <v>529</v>
      </c>
      <c r="I248" s="25" t="s">
        <v>1158</v>
      </c>
      <c r="J248" s="25" t="s">
        <v>1159</v>
      </c>
      <c r="K248" s="25" t="s">
        <v>1160</v>
      </c>
      <c r="L248" s="25" t="s">
        <v>228</v>
      </c>
      <c r="M248" s="25" t="s">
        <v>64</v>
      </c>
      <c r="N248" s="26" t="str">
        <f>IF(O248="","",LEN(O248)-LEN(SUBSTITUTE(O248,"/",""))+IF(ISNUMBER(SEARCH("@",O248)),0,1))</f>
        <v>6</v>
      </c>
      <c r="O248" s="25" t="s">
        <v>1161</v>
      </c>
      <c r="P248" s="20"/>
      <c r="Q248" s="20"/>
      <c r="R248" s="25"/>
      <c r="S248" s="25" t="s">
        <v>1162</v>
      </c>
      <c r="T248" s="20"/>
      <c r="U248" s="20" t="s">
        <v>682</v>
      </c>
      <c r="V248" s="25" t="s">
        <v>68</v>
      </c>
      <c r="W248" s="20" t="str">
        <f>IF(ISBLANK(O248),"是","否")</f>
        <v>否</v>
      </c>
      <c r="X248" s="20"/>
      <c r="Y248" s="25"/>
      <c r="Z248" s="25"/>
      <c r="AC248" s="20" t="s">
        <v>76</v>
      </c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</row>
    <row r="249" ht="39.879699248120296" customHeight="1" spans="1:52" x14ac:dyDescent="0.25">
      <c r="A249" s="19" t="s">
        <v>349</v>
      </c>
      <c r="B249" s="20" t="s">
        <v>57</v>
      </c>
      <c r="C249" s="21"/>
      <c r="D249" s="22"/>
      <c r="E249" s="21" t="s">
        <v>1110</v>
      </c>
      <c r="F249" s="29" t="s">
        <v>1163</v>
      </c>
      <c r="G249" s="20" t="str">
        <f>SUBSTITUTE(SUBSTITUTE(SUBSTITUTE(O249,"/@","_"),"/cac:","_"),"/cbc:","_")</f>
        <v>Invoice_WithholdingTaxTotal_TaxSubtotal_TaxCategory_TaxScheme_Name</v>
      </c>
      <c r="H249" s="19" t="s">
        <v>1112</v>
      </c>
      <c r="I249" s="25" t="s">
        <v>1164</v>
      </c>
      <c r="J249" s="25" t="s">
        <v>1165</v>
      </c>
      <c r="K249" s="25" t="s">
        <v>1166</v>
      </c>
      <c r="L249" s="25" t="s">
        <v>228</v>
      </c>
      <c r="M249" s="25" t="s">
        <v>64</v>
      </c>
      <c r="N249" s="26" t="str">
        <f>IF(O249="","",LEN(O249)-LEN(SUBSTITUTE(O249,"/",""))+IF(ISNUMBER(SEARCH("@",O249)),0,1))</f>
        <v>6</v>
      </c>
      <c r="O249" s="25" t="s">
        <v>1167</v>
      </c>
      <c r="P249" s="20"/>
      <c r="Q249" s="20"/>
      <c r="R249" s="25"/>
      <c r="S249" s="25" t="s">
        <v>1168</v>
      </c>
      <c r="T249" s="20"/>
      <c r="U249" s="20" t="s">
        <v>682</v>
      </c>
      <c r="V249" s="25" t="s">
        <v>68</v>
      </c>
      <c r="W249" s="20" t="str">
        <f>IF(ISBLANK(O249),"是","否")</f>
        <v>否</v>
      </c>
      <c r="X249" s="20"/>
      <c r="Y249" s="25"/>
      <c r="Z249" s="25"/>
      <c r="AC249" s="20" t="s">
        <v>76</v>
      </c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</row>
    <row r="250" ht="29.59398496240601" customHeight="1" spans="1:52" x14ac:dyDescent="0.25">
      <c r="A250" s="19" t="s">
        <v>41</v>
      </c>
      <c r="B250" s="20" t="s">
        <v>57</v>
      </c>
      <c r="C250" s="21"/>
      <c r="D250" s="22"/>
      <c r="E250" s="21" t="s">
        <v>1169</v>
      </c>
      <c r="F250" s="29" t="s">
        <v>1170</v>
      </c>
      <c r="G250" s="20" t="str">
        <f>SUBSTITUTE(SUBSTITUTE(SUBSTITUTE(O250,"/@","_"),"/cac:","_"),"/cbc:","_")</f>
        <v>Invoice_AllowanceCharge</v>
      </c>
      <c r="H250" s="19" t="s">
        <v>1171</v>
      </c>
      <c r="I250" s="25" t="s">
        <v>1172</v>
      </c>
      <c r="J250" s="25" t="s">
        <v>1173</v>
      </c>
      <c r="K250" s="35" t="s">
        <v>1174</v>
      </c>
      <c r="L250" s="25" t="s">
        <v>220</v>
      </c>
      <c r="M250" s="25" t="s">
        <v>49</v>
      </c>
      <c r="N250" s="26" t="str">
        <f>IF(O250="","",LEN(O250)-LEN(SUBSTITUTE(O250,"/",""))+IF(ISNUMBER(SEARCH("@",O250)),0,1))</f>
        <v>2</v>
      </c>
      <c r="O250" s="25" t="s">
        <v>1175</v>
      </c>
      <c r="P250" s="36"/>
      <c r="R250" s="25"/>
      <c r="S250" s="25" t="s">
        <v>681</v>
      </c>
      <c r="T250" s="20"/>
      <c r="U250" s="20" t="s">
        <v>682</v>
      </c>
      <c r="V250" s="25" t="s">
        <v>222</v>
      </c>
      <c r="W250" s="20" t="str">
        <f>IF(ISBLANK(O250),"是","否")</f>
        <v>否</v>
      </c>
      <c r="Y250" s="35"/>
      <c r="Z250" s="35"/>
      <c r="AC250" s="20" t="s">
        <v>76</v>
      </c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</row>
    <row r="251" ht="29.59398496240601" customHeight="1" spans="1:52" x14ac:dyDescent="0.25">
      <c r="A251" s="19" t="s">
        <v>1169</v>
      </c>
      <c r="B251" s="20" t="s">
        <v>57</v>
      </c>
      <c r="C251" s="21"/>
      <c r="D251" s="22"/>
      <c r="E251" s="21" t="s">
        <v>1176</v>
      </c>
      <c r="F251" s="29" t="s">
        <v>1177</v>
      </c>
      <c r="G251" s="20" t="str">
        <f>SUBSTITUTE(SUBSTITUTE(SUBSTITUTE(O251,"/@","_"),"/cac:","_"),"/cbc:","_")</f>
        <v>Invoice_AllowanceCharge_ChargeIndicator</v>
      </c>
      <c r="H251" s="19" t="s">
        <v>1178</v>
      </c>
      <c r="I251" s="25" t="s">
        <v>1179</v>
      </c>
      <c r="J251" s="25" t="s">
        <v>1180</v>
      </c>
      <c r="K251" s="35" t="s">
        <v>1181</v>
      </c>
      <c r="L251" s="25" t="s">
        <v>1182</v>
      </c>
      <c r="M251" s="25">
        <v>1</v>
      </c>
      <c r="N251" s="26" t="str">
        <f>IF(O251="","",LEN(O251)-LEN(SUBSTITUTE(O251,"/",""))+IF(ISNUMBER(SEARCH("@",O251)),0,1))</f>
        <v>3</v>
      </c>
      <c r="O251" s="25" t="s">
        <v>1183</v>
      </c>
      <c r="P251" s="36"/>
      <c r="R251" s="25"/>
      <c r="S251" s="25" t="s">
        <v>1184</v>
      </c>
      <c r="T251" s="20"/>
      <c r="U251" s="20" t="s">
        <v>682</v>
      </c>
      <c r="V251" s="25" t="s">
        <v>68</v>
      </c>
      <c r="W251" s="20" t="str">
        <f>IF(ISBLANK(O251),"是","否")</f>
        <v>否</v>
      </c>
      <c r="Y251" s="35"/>
      <c r="Z251" s="35"/>
      <c r="AC251" s="20" t="s">
        <v>76</v>
      </c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</row>
    <row r="252" ht="29.59398496240601" customHeight="1" spans="1:52" x14ac:dyDescent="0.25">
      <c r="A252" s="19" t="s">
        <v>1169</v>
      </c>
      <c r="B252" s="20" t="s">
        <v>57</v>
      </c>
      <c r="C252" s="21"/>
      <c r="D252" s="22"/>
      <c r="E252" s="21" t="s">
        <v>1185</v>
      </c>
      <c r="F252" s="29" t="s">
        <v>1186</v>
      </c>
      <c r="G252" s="20" t="str">
        <f>SUBSTITUTE(SUBSTITUTE(SUBSTITUTE(O252,"/@","_"),"/cac:","_"),"/cbc:","_")</f>
        <v>Invoice_AllowanceCharge_AllowanceChargeReasonCode</v>
      </c>
      <c r="H252" s="19" t="s">
        <v>1187</v>
      </c>
      <c r="I252" s="25" t="s">
        <v>1188</v>
      </c>
      <c r="J252" s="25" t="s">
        <v>1189</v>
      </c>
      <c r="K252" s="35" t="s">
        <v>1190</v>
      </c>
      <c r="L252" s="25" t="s">
        <v>243</v>
      </c>
      <c r="M252" s="25" t="s">
        <v>64</v>
      </c>
      <c r="N252" s="26" t="str">
        <f>IF(O252="","",LEN(O252)-LEN(SUBSTITUTE(O252,"/",""))+IF(ISNUMBER(SEARCH("@",O252)),0,1))</f>
        <v>3</v>
      </c>
      <c r="O252" s="25" t="s">
        <v>1191</v>
      </c>
      <c r="P252" s="36"/>
      <c r="R252" s="25"/>
      <c r="S252" s="25">
        <v>95</v>
      </c>
      <c r="T252" s="20"/>
      <c r="U252" s="20" t="s">
        <v>682</v>
      </c>
      <c r="V252" s="25" t="s">
        <v>68</v>
      </c>
      <c r="W252" s="20" t="str">
        <f>IF(ISBLANK(O252),"是","否")</f>
        <v>否</v>
      </c>
      <c r="Y252" s="35"/>
      <c r="Z252" s="35"/>
      <c r="AC252" s="20" t="s">
        <v>76</v>
      </c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</row>
    <row r="253" ht="29.59398496240601" customHeight="1" spans="1:52" x14ac:dyDescent="0.25">
      <c r="A253" s="19" t="s">
        <v>1169</v>
      </c>
      <c r="B253" s="20" t="s">
        <v>57</v>
      </c>
      <c r="C253" s="21"/>
      <c r="D253" s="22"/>
      <c r="E253" s="21" t="s">
        <v>1192</v>
      </c>
      <c r="F253" s="29" t="s">
        <v>1193</v>
      </c>
      <c r="G253" s="20" t="str">
        <f>SUBSTITUTE(SUBSTITUTE(SUBSTITUTE(O253,"/@","_"),"/cac:","_"),"/cbc:","_")</f>
        <v>Invoice_AllowanceCharge_AllowanceChargeReason</v>
      </c>
      <c r="H253" s="19" t="s">
        <v>1194</v>
      </c>
      <c r="I253" s="25" t="s">
        <v>1195</v>
      </c>
      <c r="J253" s="25" t="s">
        <v>1196</v>
      </c>
      <c r="K253" s="35" t="s">
        <v>1197</v>
      </c>
      <c r="L253" s="25" t="s">
        <v>228</v>
      </c>
      <c r="M253" s="25" t="s">
        <v>64</v>
      </c>
      <c r="N253" s="26" t="str">
        <f>IF(O253="","",LEN(O253)-LEN(SUBSTITUTE(O253,"/",""))+IF(ISNUMBER(SEARCH("@",O253)),0,1))</f>
        <v>3</v>
      </c>
      <c r="O253" s="25" t="s">
        <v>1198</v>
      </c>
      <c r="P253" s="36"/>
      <c r="R253" s="25"/>
      <c r="S253" s="25" t="s">
        <v>1199</v>
      </c>
      <c r="T253" s="20"/>
      <c r="U253" s="20" t="s">
        <v>682</v>
      </c>
      <c r="V253" s="25" t="s">
        <v>68</v>
      </c>
      <c r="W253" s="20" t="str">
        <f>IF(ISBLANK(O253),"是","否")</f>
        <v>否</v>
      </c>
      <c r="Y253" s="35"/>
      <c r="Z253" s="35"/>
      <c r="AC253" s="20" t="s">
        <v>76</v>
      </c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</row>
    <row r="254" ht="29.59398496240601" customHeight="1" spans="1:52" x14ac:dyDescent="0.25">
      <c r="A254" s="19" t="s">
        <v>1169</v>
      </c>
      <c r="B254" s="20" t="s">
        <v>57</v>
      </c>
      <c r="C254" s="21"/>
      <c r="D254" s="22"/>
      <c r="E254" s="21" t="s">
        <v>1200</v>
      </c>
      <c r="F254" s="29" t="s">
        <v>1201</v>
      </c>
      <c r="G254" s="20" t="str">
        <f>SUBSTITUTE(SUBSTITUTE(SUBSTITUTE(O254,"/@","_"),"/cac:","_"),"/cbc:","_")</f>
        <v>Invoice_AllowanceCharge_MultiplierFactorNumeric</v>
      </c>
      <c r="H254" s="19" t="s">
        <v>1202</v>
      </c>
      <c r="I254" s="25" t="s">
        <v>1203</v>
      </c>
      <c r="J254" s="25" t="s">
        <v>1204</v>
      </c>
      <c r="K254" s="35" t="s">
        <v>1205</v>
      </c>
      <c r="L254" s="25" t="s">
        <v>1000</v>
      </c>
      <c r="M254" s="25" t="s">
        <v>64</v>
      </c>
      <c r="N254" s="26" t="str">
        <f>IF(O254="","",LEN(O254)-LEN(SUBSTITUTE(O254,"/",""))+IF(ISNUMBER(SEARCH("@",O254)),0,1))</f>
        <v>3</v>
      </c>
      <c r="O254" s="25" t="s">
        <v>1206</v>
      </c>
      <c r="P254" s="36"/>
      <c r="R254" s="25"/>
      <c r="S254" s="25">
        <v>10</v>
      </c>
      <c r="T254" s="20"/>
      <c r="U254" s="20" t="s">
        <v>682</v>
      </c>
      <c r="V254" s="25" t="s">
        <v>68</v>
      </c>
      <c r="W254" s="20" t="str">
        <f>IF(ISBLANK(O254),"是","否")</f>
        <v>否</v>
      </c>
      <c r="Y254" s="35"/>
      <c r="Z254" s="35"/>
      <c r="AC254" s="20" t="s">
        <v>76</v>
      </c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</row>
    <row r="255" ht="29.59398496240601" customHeight="1" spans="1:52" x14ac:dyDescent="0.25">
      <c r="A255" s="19" t="s">
        <v>1169</v>
      </c>
      <c r="B255" s="20" t="s">
        <v>57</v>
      </c>
      <c r="C255" s="21"/>
      <c r="D255" s="22"/>
      <c r="E255" s="21" t="s">
        <v>1207</v>
      </c>
      <c r="F255" s="29" t="s">
        <v>1208</v>
      </c>
      <c r="G255" s="20" t="str">
        <f>SUBSTITUTE(SUBSTITUTE(SUBSTITUTE(O255,"/@","_"),"/cac:","_"),"/cbc:","_")</f>
        <v>Invoice_AllowanceCharge_Amount</v>
      </c>
      <c r="H255" s="19" t="s">
        <v>1209</v>
      </c>
      <c r="I255" s="25" t="s">
        <v>1210</v>
      </c>
      <c r="J255" s="25" t="s">
        <v>1211</v>
      </c>
      <c r="K255" s="35" t="s">
        <v>1212</v>
      </c>
      <c r="L255" s="25" t="s">
        <v>1000</v>
      </c>
      <c r="M255" s="25">
        <v>1</v>
      </c>
      <c r="N255" s="26" t="str">
        <f>IF(O255="","",LEN(O255)-LEN(SUBSTITUTE(O255,"/",""))+IF(ISNUMBER(SEARCH("@",O255)),0,1))</f>
        <v>3</v>
      </c>
      <c r="O255" s="25" t="s">
        <v>1213</v>
      </c>
      <c r="P255" s="36"/>
      <c r="R255" s="25"/>
      <c r="S255" s="25">
        <v>20</v>
      </c>
      <c r="T255" s="20"/>
      <c r="U255" s="20" t="s">
        <v>682</v>
      </c>
      <c r="V255" s="25" t="s">
        <v>68</v>
      </c>
      <c r="W255" s="20" t="str">
        <f>IF(ISBLANK(O255),"是","否")</f>
        <v>否</v>
      </c>
      <c r="Y255" s="35"/>
      <c r="Z255" s="35"/>
      <c r="AA255" s="37">
        <v>156</v>
      </c>
      <c r="AB255" s="25" t="s">
        <v>1214</v>
      </c>
      <c r="AC255" s="20" t="s">
        <v>76</v>
      </c>
      <c r="AD255" s="37"/>
      <c r="AE255" s="35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</row>
    <row r="256" ht="29.59398496240601" customHeight="1" spans="1:52" x14ac:dyDescent="0.25">
      <c r="A256" s="19" t="s">
        <v>1169</v>
      </c>
      <c r="B256" s="20" t="s">
        <v>57</v>
      </c>
      <c r="C256" s="21"/>
      <c r="D256" s="22"/>
      <c r="E256" s="21" t="s">
        <v>1215</v>
      </c>
      <c r="F256" s="29" t="s">
        <v>1216</v>
      </c>
      <c r="G256" s="20" t="str">
        <f>SUBSTITUTE(SUBSTITUTE(SUBSTITUTE(O256,"/@","_"),"/cac:","_"),"/cbc:","_")</f>
        <v>Invoice_AllowanceCharge_Amount_currencyID</v>
      </c>
      <c r="H256" s="19" t="s">
        <v>1217</v>
      </c>
      <c r="I256" s="25" t="s">
        <v>1055</v>
      </c>
      <c r="J256" s="25" t="s">
        <v>1218</v>
      </c>
      <c r="K256" s="35" t="s">
        <v>1036</v>
      </c>
      <c r="L256" s="25" t="s">
        <v>243</v>
      </c>
      <c r="M256" s="25" t="s">
        <v>64</v>
      </c>
      <c r="N256" s="26" t="str">
        <f>IF(O256="","",LEN(O256)-LEN(SUBSTITUTE(O256,"/",""))+IF(ISNUMBER(SEARCH("@",O256)),0,1))</f>
        <v>3</v>
      </c>
      <c r="O256" s="25" t="s">
        <v>1219</v>
      </c>
      <c r="P256" s="36"/>
      <c r="R256" s="25"/>
      <c r="S256" s="25" t="s">
        <v>993</v>
      </c>
      <c r="T256" s="20"/>
      <c r="U256" s="20" t="s">
        <v>682</v>
      </c>
      <c r="V256" s="25" t="s">
        <v>68</v>
      </c>
      <c r="W256" s="20" t="str">
        <f>IF(ISBLANK(O256),"是","否")</f>
        <v>否</v>
      </c>
      <c r="Y256" s="35"/>
      <c r="Z256" s="35"/>
      <c r="AC256" s="20" t="s">
        <v>76</v>
      </c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</row>
    <row r="257" ht="29.59398496240601" customHeight="1" spans="1:52" x14ac:dyDescent="0.25">
      <c r="A257" s="19" t="s">
        <v>1169</v>
      </c>
      <c r="B257" s="20" t="s">
        <v>57</v>
      </c>
      <c r="C257" s="21"/>
      <c r="D257" s="22"/>
      <c r="E257" s="21" t="s">
        <v>1220</v>
      </c>
      <c r="F257" s="29" t="s">
        <v>1221</v>
      </c>
      <c r="G257" s="20" t="str">
        <f>SUBSTITUTE(SUBSTITUTE(SUBSTITUTE(O257,"/@","_"),"/cac:","_"),"/cbc:","_")</f>
        <v>Invoice_AllowanceCharge_BaseAmount</v>
      </c>
      <c r="H257" s="19" t="s">
        <v>1222</v>
      </c>
      <c r="I257" s="25" t="s">
        <v>1223</v>
      </c>
      <c r="J257" s="25" t="s">
        <v>1224</v>
      </c>
      <c r="K257" s="35" t="s">
        <v>1139</v>
      </c>
      <c r="L257" s="25" t="s">
        <v>1000</v>
      </c>
      <c r="M257" s="25" t="s">
        <v>64</v>
      </c>
      <c r="N257" s="26" t="str">
        <f>IF(O257="","",LEN(O257)-LEN(SUBSTITUTE(O257,"/",""))+IF(ISNUMBER(SEARCH("@",O257)),0,1))</f>
        <v>3</v>
      </c>
      <c r="O257" s="25" t="s">
        <v>1225</v>
      </c>
      <c r="P257" s="36"/>
      <c r="R257" s="25"/>
      <c r="S257" s="25">
        <v>200</v>
      </c>
      <c r="T257" s="20"/>
      <c r="U257" s="20" t="s">
        <v>682</v>
      </c>
      <c r="V257" s="25" t="s">
        <v>68</v>
      </c>
      <c r="W257" s="20" t="str">
        <f>IF(ISBLANK(O257),"是","否")</f>
        <v>否</v>
      </c>
      <c r="Y257" s="35"/>
      <c r="Z257" s="35"/>
      <c r="AC257" s="20" t="s">
        <v>76</v>
      </c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</row>
    <row r="258" ht="29.59398496240601" customHeight="1" spans="1:52" x14ac:dyDescent="0.25">
      <c r="A258" s="19" t="s">
        <v>1169</v>
      </c>
      <c r="B258" s="20" t="s">
        <v>57</v>
      </c>
      <c r="C258" s="21"/>
      <c r="D258" s="22"/>
      <c r="E258" s="21" t="s">
        <v>1226</v>
      </c>
      <c r="F258" s="29" t="s">
        <v>1227</v>
      </c>
      <c r="G258" s="20" t="str">
        <f>SUBSTITUTE(SUBSTITUTE(SUBSTITUTE(O258,"/@","_"),"/cac:","_"),"/cbc:","_")</f>
        <v>Invoice_AllowanceCharge_BaseAmount_currencyID</v>
      </c>
      <c r="H258" s="19" t="s">
        <v>1228</v>
      </c>
      <c r="I258" s="25" t="s">
        <v>1055</v>
      </c>
      <c r="J258" s="25" t="s">
        <v>1229</v>
      </c>
      <c r="K258" s="35" t="s">
        <v>1036</v>
      </c>
      <c r="L258" s="25" t="s">
        <v>243</v>
      </c>
      <c r="M258" s="25" t="s">
        <v>64</v>
      </c>
      <c r="N258" s="26" t="str">
        <f>IF(O258="","",LEN(O258)-LEN(SUBSTITUTE(O258,"/",""))+IF(ISNUMBER(SEARCH("@",O258)),0,1))</f>
        <v>3</v>
      </c>
      <c r="O258" s="25" t="s">
        <v>1230</v>
      </c>
      <c r="P258" s="36"/>
      <c r="R258" s="25"/>
      <c r="S258" s="25" t="s">
        <v>993</v>
      </c>
      <c r="T258" s="20"/>
      <c r="U258" s="20" t="s">
        <v>682</v>
      </c>
      <c r="V258" s="25" t="s">
        <v>68</v>
      </c>
      <c r="W258" s="20" t="str">
        <f>IF(ISBLANK(O258),"是","否")</f>
        <v>否</v>
      </c>
      <c r="Y258" s="35"/>
      <c r="Z258" s="35"/>
      <c r="AC258" s="20" t="s">
        <v>76</v>
      </c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</row>
    <row r="259" ht="29.59398496240601" customHeight="1" spans="1:52" x14ac:dyDescent="0.25">
      <c r="A259" s="19" t="s">
        <v>1071</v>
      </c>
      <c r="B259" s="20" t="s">
        <v>57</v>
      </c>
      <c r="C259" s="21"/>
      <c r="D259" s="22"/>
      <c r="E259" s="21" t="s">
        <v>1231</v>
      </c>
      <c r="F259" s="29" t="s">
        <v>1232</v>
      </c>
      <c r="G259" s="20" t="str">
        <f>SUBSTITUTE(SUBSTITUTE(SUBSTITUTE(O259,"/@","_"),"/cac:","_"),"/cbc:","_")</f>
        <v>Invoice_AllowanceCharge_TaxCategory_ID</v>
      </c>
      <c r="H259" s="19" t="s">
        <v>1233</v>
      </c>
      <c r="I259" s="25" t="s">
        <v>1234</v>
      </c>
      <c r="J259" s="25" t="s">
        <v>1235</v>
      </c>
      <c r="K259" s="35" t="s">
        <v>1077</v>
      </c>
      <c r="L259" s="25" t="s">
        <v>243</v>
      </c>
      <c r="M259" s="25" t="s">
        <v>64</v>
      </c>
      <c r="N259" s="26" t="str">
        <f>IF(O259="","",LEN(O259)-LEN(SUBSTITUTE(O259,"/",""))+IF(ISNUMBER(SEARCH("@",O259)),0,1))</f>
        <v>4</v>
      </c>
      <c r="O259" s="25" t="s">
        <v>1236</v>
      </c>
      <c r="P259" s="36"/>
      <c r="R259" s="25"/>
      <c r="S259" s="25" t="s">
        <v>1079</v>
      </c>
      <c r="T259" s="20"/>
      <c r="U259" s="20" t="s">
        <v>682</v>
      </c>
      <c r="V259" s="25" t="s">
        <v>68</v>
      </c>
      <c r="W259" s="20" t="str">
        <f>IF(ISBLANK(O259),"是","否")</f>
        <v>否</v>
      </c>
      <c r="Y259" s="35"/>
      <c r="Z259" s="35"/>
      <c r="AC259" s="20" t="s">
        <v>76</v>
      </c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</row>
    <row r="260" ht="29.59398496240601" customHeight="1" spans="1:52" x14ac:dyDescent="0.25">
      <c r="A260" s="19" t="s">
        <v>1071</v>
      </c>
      <c r="B260" s="20" t="s">
        <v>57</v>
      </c>
      <c r="C260" s="21"/>
      <c r="D260" s="22"/>
      <c r="E260" s="21" t="s">
        <v>1237</v>
      </c>
      <c r="F260" s="29" t="s">
        <v>1238</v>
      </c>
      <c r="G260" s="20" t="str">
        <f>SUBSTITUTE(SUBSTITUTE(SUBSTITUTE(O260,"/@","_"),"/cac:","_"),"/cbc:","_")</f>
        <v>Invoice_AllowanceCharge_TaxCategory_Percent</v>
      </c>
      <c r="H260" s="19" t="s">
        <v>1239</v>
      </c>
      <c r="I260" s="25" t="s">
        <v>1240</v>
      </c>
      <c r="J260" s="25" t="s">
        <v>1241</v>
      </c>
      <c r="K260" s="35" t="s">
        <v>1242</v>
      </c>
      <c r="L260" s="25" t="s">
        <v>1000</v>
      </c>
      <c r="M260" s="25" t="s">
        <v>64</v>
      </c>
      <c r="N260" s="26" t="str">
        <f>IF(O260="","",LEN(O260)-LEN(SUBSTITUTE(O260,"/",""))+IF(ISNUMBER(SEARCH("@",O260)),0,1))</f>
        <v>4</v>
      </c>
      <c r="O260" s="25" t="s">
        <v>1243</v>
      </c>
      <c r="P260" s="36"/>
      <c r="R260" s="25"/>
      <c r="S260" s="25">
        <v>13</v>
      </c>
      <c r="T260" s="20"/>
      <c r="U260" s="20" t="s">
        <v>682</v>
      </c>
      <c r="V260" s="25" t="s">
        <v>68</v>
      </c>
      <c r="W260" s="20" t="str">
        <f>IF(ISBLANK(O260),"是","否")</f>
        <v>否</v>
      </c>
      <c r="Y260" s="35"/>
      <c r="Z260" s="35"/>
      <c r="AC260" s="20" t="s">
        <v>76</v>
      </c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</row>
    <row r="261" ht="39.879699248120296" customHeight="1" spans="1:52" x14ac:dyDescent="0.25">
      <c r="A261" s="19" t="s">
        <v>1071</v>
      </c>
      <c r="B261" s="20" t="s">
        <v>57</v>
      </c>
      <c r="C261" s="21"/>
      <c r="D261" s="22"/>
      <c r="E261" s="21" t="s">
        <v>1244</v>
      </c>
      <c r="F261" s="29" t="s">
        <v>1245</v>
      </c>
      <c r="G261" s="20" t="str">
        <f>SUBSTITUTE(SUBSTITUTE(SUBSTITUTE(O261,"/@","_"),"/cac:","_"),"/cbc:","_")</f>
        <v>Invoice_AllowanceCharge_TaxCategory_TaxExemptionReasonCode</v>
      </c>
      <c r="H261" s="19" t="s">
        <v>1246</v>
      </c>
      <c r="I261" s="25" t="s">
        <v>1091</v>
      </c>
      <c r="J261" s="25" t="s">
        <v>1247</v>
      </c>
      <c r="K261" s="35" t="s">
        <v>1248</v>
      </c>
      <c r="L261" s="25" t="s">
        <v>243</v>
      </c>
      <c r="M261" s="25" t="s">
        <v>64</v>
      </c>
      <c r="N261" s="26" t="str">
        <f>IF(O261="","",LEN(O261)-LEN(SUBSTITUTE(O261,"/",""))+IF(ISNUMBER(SEARCH("@",O261)),0,1))</f>
        <v>4</v>
      </c>
      <c r="O261" s="25" t="s">
        <v>1249</v>
      </c>
      <c r="P261" s="36"/>
      <c r="R261" s="25"/>
      <c r="S261" s="25" t="s">
        <v>1095</v>
      </c>
      <c r="T261" s="20"/>
      <c r="U261" s="20" t="s">
        <v>682</v>
      </c>
      <c r="V261" s="25" t="s">
        <v>68</v>
      </c>
      <c r="W261" s="20" t="str">
        <f>IF(ISBLANK(O261),"是","否")</f>
        <v>否</v>
      </c>
      <c r="Y261" s="35"/>
      <c r="Z261" s="35"/>
      <c r="AC261" s="20" t="s">
        <v>76</v>
      </c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</row>
    <row r="262" ht="39.879699248120296" customHeight="1" spans="1:52" x14ac:dyDescent="0.25">
      <c r="A262" s="19" t="s">
        <v>1071</v>
      </c>
      <c r="B262" s="20" t="s">
        <v>57</v>
      </c>
      <c r="C262" s="21"/>
      <c r="D262" s="22"/>
      <c r="E262" s="21" t="s">
        <v>1250</v>
      </c>
      <c r="F262" s="29" t="s">
        <v>1251</v>
      </c>
      <c r="G262" s="20" t="str">
        <f>SUBSTITUTE(SUBSTITUTE(SUBSTITUTE(O262,"/@","_"),"/cac:","_"),"/cbc:","_")</f>
        <v>Invoice_AllowanceCharge_TaxCategory_TaxExemptionReason</v>
      </c>
      <c r="H262" s="19" t="s">
        <v>1252</v>
      </c>
      <c r="I262" s="25" t="s">
        <v>1253</v>
      </c>
      <c r="J262" s="25" t="s">
        <v>1254</v>
      </c>
      <c r="K262" s="35" t="s">
        <v>1255</v>
      </c>
      <c r="L262" s="25" t="s">
        <v>228</v>
      </c>
      <c r="M262" s="25" t="s">
        <v>64</v>
      </c>
      <c r="N262" s="26" t="str">
        <f>IF(O262="","",LEN(O262)-LEN(SUBSTITUTE(O262,"/",""))+IF(ISNUMBER(SEARCH("@",O262)),0,1))</f>
        <v>4</v>
      </c>
      <c r="O262" s="25" t="s">
        <v>1256</v>
      </c>
      <c r="P262" s="36"/>
      <c r="R262" s="25"/>
      <c r="S262" s="25" t="s">
        <v>1257</v>
      </c>
      <c r="T262" s="20"/>
      <c r="U262" s="20" t="s">
        <v>682</v>
      </c>
      <c r="V262" s="25" t="s">
        <v>68</v>
      </c>
      <c r="W262" s="20" t="str">
        <f>IF(ISBLANK(O262),"是","否")</f>
        <v>否</v>
      </c>
      <c r="Y262" s="35"/>
      <c r="Z262" s="35"/>
      <c r="AC262" s="20" t="s">
        <v>76</v>
      </c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</row>
    <row r="263" ht="29.59398496240601" customHeight="1" spans="1:52" x14ac:dyDescent="0.25">
      <c r="A263" s="19" t="s">
        <v>349</v>
      </c>
      <c r="B263" s="20" t="s">
        <v>57</v>
      </c>
      <c r="C263" s="21"/>
      <c r="D263" s="22"/>
      <c r="E263" s="21" t="s">
        <v>1258</v>
      </c>
      <c r="F263" s="29" t="s">
        <v>1259</v>
      </c>
      <c r="G263" s="20" t="str">
        <f>SUBSTITUTE(SUBSTITUTE(SUBSTITUTE(O263,"/@","_"),"/cac:","_"),"/cbc:","_")</f>
        <v>Invoice_AllowanceCharge_TaxCategory_TaxScheme_ID</v>
      </c>
      <c r="H263" s="19" t="s">
        <v>1260</v>
      </c>
      <c r="I263" s="25" t="s">
        <v>1261</v>
      </c>
      <c r="J263" s="25" t="s">
        <v>1262</v>
      </c>
      <c r="K263" s="35" t="s">
        <v>1263</v>
      </c>
      <c r="L263" s="25" t="s">
        <v>243</v>
      </c>
      <c r="M263" s="25">
        <v>1</v>
      </c>
      <c r="N263" s="26" t="str">
        <f>IF(O263="","",LEN(O263)-LEN(SUBSTITUTE(O263,"/",""))+IF(ISNUMBER(SEARCH("@",O263)),0,1))</f>
        <v>5</v>
      </c>
      <c r="O263" s="25" t="s">
        <v>1264</v>
      </c>
      <c r="P263" s="36"/>
      <c r="R263" s="25"/>
      <c r="S263" s="25" t="s">
        <v>791</v>
      </c>
      <c r="T263" s="20"/>
      <c r="U263" s="20" t="s">
        <v>682</v>
      </c>
      <c r="V263" s="25" t="s">
        <v>68</v>
      </c>
      <c r="W263" s="20" t="str">
        <f>IF(ISBLANK(O263),"是","否")</f>
        <v>否</v>
      </c>
      <c r="Y263" s="35"/>
      <c r="Z263" s="35"/>
      <c r="AC263" s="20" t="s">
        <v>76</v>
      </c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</row>
    <row r="264" ht="29.59398496240601" customHeight="1" spans="1:52" x14ac:dyDescent="0.25">
      <c r="A264" s="19" t="s">
        <v>109</v>
      </c>
      <c r="B264" s="20" t="s">
        <v>57</v>
      </c>
      <c r="C264" s="21"/>
      <c r="D264" s="22"/>
      <c r="E264" s="21" t="s">
        <v>1265</v>
      </c>
      <c r="F264" s="29" t="s">
        <v>1266</v>
      </c>
      <c r="G264" s="20" t="str">
        <f>SUBSTITUTE(SUBSTITUTE(SUBSTITUTE(O264,"/@","_"),"/cac:","_"),"/cbc:","_")</f>
        <v>Invoice_AllowanceCharge_TaxTotal_TaxAmount</v>
      </c>
      <c r="H264" s="19" t="s">
        <v>1267</v>
      </c>
      <c r="I264" s="25" t="s">
        <v>1268</v>
      </c>
      <c r="J264" s="25" t="s">
        <v>1269</v>
      </c>
      <c r="K264" s="35" t="s">
        <v>1139</v>
      </c>
      <c r="L264" s="25" t="s">
        <v>1000</v>
      </c>
      <c r="M264" s="25">
        <v>1</v>
      </c>
      <c r="N264" s="26" t="str">
        <f>IF(O264="","",LEN(O264)-LEN(SUBSTITUTE(O264,"/",""))+IF(ISNUMBER(SEARCH("@",O264)),0,1))</f>
        <v>4</v>
      </c>
      <c r="O264" s="25" t="s">
        <v>1270</v>
      </c>
      <c r="P264" s="36"/>
      <c r="R264" s="25"/>
      <c r="S264" s="25">
        <v>2.6</v>
      </c>
      <c r="T264" s="20"/>
      <c r="U264" s="20" t="s">
        <v>682</v>
      </c>
      <c r="V264" s="25" t="s">
        <v>68</v>
      </c>
      <c r="W264" s="20" t="str">
        <f>IF(ISBLANK(O264),"是","否")</f>
        <v>否</v>
      </c>
      <c r="Y264" s="35"/>
      <c r="Z264" s="35"/>
      <c r="AC264" s="20" t="s">
        <v>76</v>
      </c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</row>
    <row r="265" ht="39.879699248120296" customHeight="1" spans="1:52" x14ac:dyDescent="0.25">
      <c r="A265" s="19" t="s">
        <v>109</v>
      </c>
      <c r="B265" s="20" t="s">
        <v>57</v>
      </c>
      <c r="C265" s="21"/>
      <c r="D265" s="22"/>
      <c r="E265" s="21" t="s">
        <v>1271</v>
      </c>
      <c r="F265" s="29" t="s">
        <v>1272</v>
      </c>
      <c r="G265" s="20" t="str">
        <f>SUBSTITUTE(SUBSTITUTE(SUBSTITUTE(O265,"/@","_"),"/cac:","_"),"/cbc:","_")</f>
        <v>Invoice_AllowanceCharge_TaxTotal_TaxAmount_currencyID</v>
      </c>
      <c r="H265" s="19" t="s">
        <v>1273</v>
      </c>
      <c r="I265" s="25" t="s">
        <v>1055</v>
      </c>
      <c r="J265" s="25" t="s">
        <v>1274</v>
      </c>
      <c r="K265" s="35" t="s">
        <v>1036</v>
      </c>
      <c r="L265" s="25" t="s">
        <v>243</v>
      </c>
      <c r="M265" s="25" t="s">
        <v>64</v>
      </c>
      <c r="N265" s="26" t="str">
        <f>IF(O265="","",LEN(O265)-LEN(SUBSTITUTE(O265,"/",""))+IF(ISNUMBER(SEARCH("@",O265)),0,1))</f>
        <v>4</v>
      </c>
      <c r="O265" s="25" t="s">
        <v>1275</v>
      </c>
      <c r="P265" s="36"/>
      <c r="R265" s="25"/>
      <c r="S265" s="25" t="s">
        <v>993</v>
      </c>
      <c r="T265" s="20"/>
      <c r="U265" s="20" t="s">
        <v>682</v>
      </c>
      <c r="V265" s="25" t="s">
        <v>68</v>
      </c>
      <c r="W265" s="20" t="str">
        <f>IF(ISBLANK(O265),"是","否")</f>
        <v>否</v>
      </c>
      <c r="Y265" s="35"/>
      <c r="Z265" s="35"/>
      <c r="AC265" s="20" t="s">
        <v>76</v>
      </c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</row>
    <row r="266" ht="29.59398496240601" customHeight="1" spans="1:52" x14ac:dyDescent="0.25">
      <c r="A266" s="27"/>
      <c r="B266" s="20" t="s">
        <v>57</v>
      </c>
      <c r="C266" s="21"/>
      <c r="D266" s="22"/>
      <c r="E266" s="38"/>
      <c r="F266" s="39"/>
      <c r="G266" s="20" t="str">
        <f>SUBSTITUTE(SUBSTITUTE(SUBSTITUTE(O266,"/@","_"),"/cac:","_"),"/cbc:","_")</f>
        <v/>
      </c>
      <c r="H266" s="19" t="s">
        <v>1276</v>
      </c>
      <c r="I266" s="25"/>
      <c r="J266" s="25" t="s">
        <v>1277</v>
      </c>
      <c r="K266" s="25" t="s">
        <v>959</v>
      </c>
      <c r="L266" s="25" t="s">
        <v>681</v>
      </c>
      <c r="M266" s="25"/>
      <c r="N266" s="26" t="str">
        <f>IF(O266="","",LEN(O266)-LEN(SUBSTITUTE(O266,"/",""))+IF(ISNUMBER(SEARCH("@",O266)),0,1))</f>
        <v/>
      </c>
      <c r="O266" s="25"/>
      <c r="P266" s="20"/>
      <c r="Q266" s="20"/>
      <c r="R266" s="20"/>
      <c r="S266" s="25"/>
      <c r="T266" s="20"/>
      <c r="U266" s="20" t="s">
        <v>682</v>
      </c>
      <c r="V266" s="25"/>
      <c r="W266" s="20" t="str">
        <f>IF(ISBLANK(O266),"是","否")</f>
        <v>是</v>
      </c>
      <c r="X266" s="20"/>
      <c r="Y266" s="25"/>
      <c r="Z266" s="25"/>
      <c r="AC266" s="20" t="s">
        <v>653</v>
      </c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</row>
    <row r="267" ht="50.16541353383458" customHeight="1" spans="1:52" x14ac:dyDescent="0.25">
      <c r="A267" s="19" t="s">
        <v>139</v>
      </c>
      <c r="B267" s="20" t="s">
        <v>57</v>
      </c>
      <c r="C267" s="21"/>
      <c r="D267" s="22"/>
      <c r="E267" s="21"/>
      <c r="F267" s="23"/>
      <c r="G267" s="20" t="str">
        <f>SUBSTITUTE(SUBSTITUTE(SUBSTITUTE(O267,"/@","_"),"/cac:","_"),"/cbc:","_")</f>
        <v>Invoice_AdditionalDocumentReference_ID</v>
      </c>
      <c r="H267" s="19" t="s">
        <v>1278</v>
      </c>
      <c r="I267" s="19"/>
      <c r="J267" s="19" t="s">
        <v>172</v>
      </c>
      <c r="K267" s="20"/>
      <c r="L267" s="25"/>
      <c r="M267" s="20" t="s">
        <v>165</v>
      </c>
      <c r="N267" s="26" t="str">
        <f>IF(O267="","",LEN(O267)-LEN(SUBSTITUTE(O267,"/",""))+IF(ISNUMBER(SEARCH("@",O267)),0,1))</f>
        <v>3</v>
      </c>
      <c r="O267" s="19" t="s">
        <v>173</v>
      </c>
      <c r="P267" s="19" t="s">
        <v>1279</v>
      </c>
      <c r="Q267" s="20"/>
      <c r="R267" s="20"/>
      <c r="S267" s="20" t="s">
        <v>138</v>
      </c>
      <c r="T267" s="20"/>
      <c r="U267" s="20" t="s">
        <v>67</v>
      </c>
      <c r="V267" s="20" t="s">
        <v>68</v>
      </c>
      <c r="W267" s="20" t="str">
        <f>IF(ISBLANK(O267),"是","否")</f>
        <v>否</v>
      </c>
      <c r="X267" s="20" t="s">
        <v>76</v>
      </c>
      <c r="Y267" s="25"/>
      <c r="Z267" s="25"/>
      <c r="AA267" s="24"/>
      <c r="AB267" s="25"/>
      <c r="AC267" s="20" t="s">
        <v>1280</v>
      </c>
      <c r="AD267" s="24"/>
      <c r="AE267" s="25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</row>
    <row r="268" ht="132.45112781954887" customHeight="1" spans="1:52" x14ac:dyDescent="0.25">
      <c r="A268" s="27"/>
      <c r="B268" s="20" t="s">
        <v>57</v>
      </c>
      <c r="C268" s="21" t="s">
        <v>937</v>
      </c>
      <c r="D268" s="22" t="s">
        <v>938</v>
      </c>
      <c r="E268" s="21" t="s">
        <v>939</v>
      </c>
      <c r="F268" s="23" t="s">
        <v>939</v>
      </c>
      <c r="G268" s="20" t="str">
        <f>SUBSTITUTE(SUBSTITUTE(SUBSTITUTE(O268,"/@","_"),"/cac:","_"),"/cbc:","_")</f>
        <v/>
      </c>
      <c r="H268" s="19" t="s">
        <v>1281</v>
      </c>
      <c r="I268" s="19"/>
      <c r="J268" s="19"/>
      <c r="L268" s="25" t="s">
        <v>941</v>
      </c>
      <c r="M268" s="20"/>
      <c r="N268" s="26" t="str">
        <f>IF(O268="","",LEN(O268)-LEN(SUBSTITUTE(O268,"/",""))+IF(ISNUMBER(SEARCH("@",O268)),0,1))</f>
        <v/>
      </c>
      <c r="O268" s="19"/>
      <c r="P268" s="19" t="s">
        <v>1282</v>
      </c>
      <c r="R268" s="25" t="s">
        <v>1283</v>
      </c>
      <c r="S268" s="20"/>
      <c r="T268" s="20"/>
      <c r="U268" s="20" t="s">
        <v>67</v>
      </c>
      <c r="V268" s="20"/>
      <c r="W268" s="20" t="str">
        <f>IF(ISBLANK(O268),"是","否")</f>
        <v>是</v>
      </c>
      <c r="X268" s="20" t="s">
        <v>76</v>
      </c>
      <c r="Y268" s="35"/>
      <c r="Z268" s="35"/>
      <c r="AA268" s="37">
        <v>131</v>
      </c>
      <c r="AB268" s="25" t="s">
        <v>939</v>
      </c>
      <c r="AC268" s="20" t="s">
        <v>1280</v>
      </c>
      <c r="AD268" s="37"/>
      <c r="AE268" s="35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</row>
    <row r="269" ht="60.45112781954887" customHeight="1" spans="1:52" x14ac:dyDescent="0.25">
      <c r="A269" s="19" t="s">
        <v>139</v>
      </c>
      <c r="B269" s="20" t="s">
        <v>57</v>
      </c>
      <c r="C269" s="21" t="s">
        <v>937</v>
      </c>
      <c r="D269" s="22" t="s">
        <v>938</v>
      </c>
      <c r="E269" s="21" t="s">
        <v>944</v>
      </c>
      <c r="F269" s="23" t="s">
        <v>944</v>
      </c>
      <c r="G269" s="20" t="str">
        <f>SUBSTITUTE(SUBSTITUTE(SUBSTITUTE(O269,"/@","_"),"/cac:","_"),"/cbc:","_")</f>
        <v>Invoice_AdditionalDocumentReference_DocumentStatusCode</v>
      </c>
      <c r="H269" s="19" t="s">
        <v>1284</v>
      </c>
      <c r="I269" s="19"/>
      <c r="J269" s="19" t="s">
        <v>1285</v>
      </c>
      <c r="L269" s="25" t="s">
        <v>941</v>
      </c>
      <c r="M269" s="20" t="s">
        <v>64</v>
      </c>
      <c r="N269" s="26" t="str">
        <f>IF(O269="","",LEN(O269)-LEN(SUBSTITUTE(O269,"/",""))+IF(ISNUMBER(SEARCH("@",O269)),0,1))</f>
        <v>3</v>
      </c>
      <c r="O269" s="19" t="s">
        <v>1286</v>
      </c>
      <c r="P269" s="19" t="s">
        <v>1287</v>
      </c>
      <c r="R269" s="25" t="s">
        <v>1288</v>
      </c>
      <c r="S269" s="20"/>
      <c r="T269" s="20"/>
      <c r="U269" s="20" t="s">
        <v>67</v>
      </c>
      <c r="V269" s="20" t="s">
        <v>68</v>
      </c>
      <c r="W269" s="20" t="str">
        <f>IF(ISBLANK(O269),"是","否")</f>
        <v>否</v>
      </c>
      <c r="X269" s="20" t="s">
        <v>76</v>
      </c>
      <c r="Y269" s="35"/>
      <c r="Z269" s="35"/>
      <c r="AA269" s="37">
        <v>132</v>
      </c>
      <c r="AB269" s="25" t="s">
        <v>944</v>
      </c>
      <c r="AC269" s="20" t="s">
        <v>1280</v>
      </c>
      <c r="AD269" s="37"/>
      <c r="AE269" s="35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</row>
    <row r="270" ht="81.02255639097744" customHeight="1" spans="1:52" x14ac:dyDescent="0.25">
      <c r="A270" s="27"/>
      <c r="B270" s="20" t="s">
        <v>57</v>
      </c>
      <c r="C270" s="21" t="s">
        <v>937</v>
      </c>
      <c r="D270" s="22" t="s">
        <v>938</v>
      </c>
      <c r="E270" s="21" t="s">
        <v>948</v>
      </c>
      <c r="F270" s="23" t="s">
        <v>948</v>
      </c>
      <c r="G270" s="20" t="str">
        <f>SUBSTITUTE(SUBSTITUTE(SUBSTITUTE(O270,"/@","_"),"/cac:","_"),"/cbc:","_")</f>
        <v/>
      </c>
      <c r="H270" s="19" t="s">
        <v>1289</v>
      </c>
      <c r="I270" s="19"/>
      <c r="J270" s="19"/>
      <c r="L270" s="25" t="s">
        <v>941</v>
      </c>
      <c r="M270" s="20"/>
      <c r="N270" s="26" t="str">
        <f>IF(O270="","",LEN(O270)-LEN(SUBSTITUTE(O270,"/",""))+IF(ISNUMBER(SEARCH("@",O270)),0,1))</f>
        <v/>
      </c>
      <c r="O270" s="19"/>
      <c r="P270" s="19" t="s">
        <v>1290</v>
      </c>
      <c r="R270" s="25" t="s">
        <v>1291</v>
      </c>
      <c r="S270" s="20"/>
      <c r="T270" s="20"/>
      <c r="U270" s="20" t="s">
        <v>67</v>
      </c>
      <c r="V270" s="20"/>
      <c r="W270" s="20" t="str">
        <f>IF(ISBLANK(O270),"是","否")</f>
        <v>是</v>
      </c>
      <c r="X270" s="20" t="s">
        <v>76</v>
      </c>
      <c r="Y270" s="35"/>
      <c r="Z270" s="35"/>
      <c r="AA270" s="37">
        <v>133</v>
      </c>
      <c r="AB270" s="35" t="s">
        <v>948</v>
      </c>
      <c r="AC270" s="20" t="s">
        <v>1280</v>
      </c>
      <c r="AD270" s="37"/>
      <c r="AE270" s="35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</row>
    <row r="271" ht="60.45112781954887" customHeight="1" spans="1:52" x14ac:dyDescent="0.25">
      <c r="A271" s="19" t="s">
        <v>41</v>
      </c>
      <c r="B271" s="20" t="s">
        <v>57</v>
      </c>
      <c r="C271" s="21" t="s">
        <v>58</v>
      </c>
      <c r="D271" s="22" t="s">
        <v>59</v>
      </c>
      <c r="E271" s="21" t="s">
        <v>1292</v>
      </c>
      <c r="F271" s="23" t="s">
        <v>1292</v>
      </c>
      <c r="G271" s="20" t="str">
        <f>SUBSTITUTE(SUBSTITUTE(SUBSTITUTE(O271,"/@","_"),"/cac:","_"),"/cbc:","_")</f>
        <v>Invoice_Note</v>
      </c>
      <c r="H271" s="19" t="s">
        <v>1293</v>
      </c>
      <c r="I271" s="19"/>
      <c r="J271" s="19" t="s">
        <v>153</v>
      </c>
      <c r="K271" s="20"/>
      <c r="L271" s="25" t="s">
        <v>1294</v>
      </c>
      <c r="M271" s="20" t="s">
        <v>49</v>
      </c>
      <c r="N271" s="26" t="str">
        <f>IF(O271="","",LEN(O271)-LEN(SUBSTITUTE(O271,"/",""))+IF(ISNUMBER(SEARCH("@",O271)),0,1))</f>
        <v>2</v>
      </c>
      <c r="O271" s="19" t="s">
        <v>155</v>
      </c>
      <c r="P271" s="19" t="s">
        <v>1295</v>
      </c>
      <c r="Q271" s="20"/>
      <c r="R271" s="20"/>
      <c r="S271" s="20"/>
      <c r="T271" s="33"/>
      <c r="U271" s="20" t="s">
        <v>67</v>
      </c>
      <c r="V271" s="33" t="s">
        <v>68</v>
      </c>
      <c r="W271" s="20" t="str">
        <f>IF(ISBLANK(O271),"是","否")</f>
        <v>否</v>
      </c>
      <c r="X271" s="20" t="s">
        <v>76</v>
      </c>
      <c r="Y271" s="24">
        <v>55</v>
      </c>
      <c r="Z271" s="25" t="s">
        <v>1292</v>
      </c>
      <c r="AC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</row>
    <row r="272" ht="39.879699248120296" customHeight="1" spans="1:52" x14ac:dyDescent="0.25">
      <c r="A272" s="19" t="s">
        <v>41</v>
      </c>
      <c r="B272" s="20" t="s">
        <v>57</v>
      </c>
      <c r="C272" s="21" t="s">
        <v>58</v>
      </c>
      <c r="D272" s="22" t="s">
        <v>59</v>
      </c>
      <c r="E272" s="21" t="s">
        <v>1296</v>
      </c>
      <c r="F272" s="23" t="s">
        <v>1296</v>
      </c>
      <c r="G272" s="20" t="str">
        <f>SUBSTITUTE(SUBSTITUTE(SUBSTITUTE(O272,"/@","_"),"/cac:","_"),"/cbc:","_")</f>
        <v>Invoice_Note</v>
      </c>
      <c r="H272" s="19" t="s">
        <v>1297</v>
      </c>
      <c r="I272" s="19"/>
      <c r="J272" s="19" t="s">
        <v>153</v>
      </c>
      <c r="K272" s="20"/>
      <c r="L272" s="25" t="s">
        <v>1294</v>
      </c>
      <c r="M272" s="20" t="s">
        <v>49</v>
      </c>
      <c r="N272" s="26" t="str">
        <f>IF(O272="","",LEN(O272)-LEN(SUBSTITUTE(O272,"/",""))+IF(ISNUMBER(SEARCH("@",O272)),0,1))</f>
        <v>2</v>
      </c>
      <c r="O272" s="19" t="s">
        <v>155</v>
      </c>
      <c r="P272" s="19" t="s">
        <v>1298</v>
      </c>
      <c r="Q272" s="20"/>
      <c r="R272" s="20"/>
      <c r="S272" s="20"/>
      <c r="T272" s="33"/>
      <c r="U272" s="20" t="s">
        <v>67</v>
      </c>
      <c r="V272" s="33" t="s">
        <v>68</v>
      </c>
      <c r="W272" s="20" t="str">
        <f>IF(ISBLANK(O272),"是","否")</f>
        <v>否</v>
      </c>
      <c r="X272" s="20" t="s">
        <v>76</v>
      </c>
      <c r="Y272" s="24">
        <v>56</v>
      </c>
      <c r="Z272" s="25" t="s">
        <v>1296</v>
      </c>
      <c r="AC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</row>
    <row r="273" ht="39.879699248120296" customHeight="1" spans="1:52" x14ac:dyDescent="0.25">
      <c r="A273" s="19" t="s">
        <v>41</v>
      </c>
      <c r="B273" s="20" t="s">
        <v>57</v>
      </c>
      <c r="C273" s="21" t="s">
        <v>58</v>
      </c>
      <c r="D273" s="22" t="s">
        <v>59</v>
      </c>
      <c r="E273" s="21" t="s">
        <v>1299</v>
      </c>
      <c r="F273" s="23" t="s">
        <v>1299</v>
      </c>
      <c r="G273" s="20" t="str">
        <f>SUBSTITUTE(SUBSTITUTE(SUBSTITUTE(O273,"/@","_"),"/cac:","_"),"/cbc:","_")</f>
        <v>Invoice_Note</v>
      </c>
      <c r="H273" s="19" t="s">
        <v>1300</v>
      </c>
      <c r="I273" s="19"/>
      <c r="J273" s="19" t="s">
        <v>153</v>
      </c>
      <c r="K273" s="24"/>
      <c r="L273" s="25" t="s">
        <v>1294</v>
      </c>
      <c r="M273" s="20" t="s">
        <v>49</v>
      </c>
      <c r="N273" s="26" t="str">
        <f>IF(O273="","",LEN(O273)-LEN(SUBSTITUTE(O273,"/",""))+IF(ISNUMBER(SEARCH("@",O273)),0,1))</f>
        <v>2</v>
      </c>
      <c r="O273" s="19" t="s">
        <v>155</v>
      </c>
      <c r="P273" s="19" t="s">
        <v>1298</v>
      </c>
      <c r="Q273" s="20"/>
      <c r="R273" s="20"/>
      <c r="S273" s="20"/>
      <c r="T273" s="33"/>
      <c r="U273" s="20" t="s">
        <v>67</v>
      </c>
      <c r="V273" s="33" t="s">
        <v>68</v>
      </c>
      <c r="W273" s="20" t="str">
        <f>IF(ISBLANK(O273),"是","否")</f>
        <v>否</v>
      </c>
      <c r="X273" s="20" t="s">
        <v>76</v>
      </c>
      <c r="Y273" s="24">
        <v>57</v>
      </c>
      <c r="Z273" s="25" t="s">
        <v>1299</v>
      </c>
      <c r="AC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</row>
    <row r="274" ht="39.879699248120296" customHeight="1" spans="1:52" x14ac:dyDescent="0.25">
      <c r="A274" s="19" t="s">
        <v>41</v>
      </c>
      <c r="B274" s="20" t="s">
        <v>57</v>
      </c>
      <c r="C274" s="21" t="s">
        <v>58</v>
      </c>
      <c r="D274" s="22" t="s">
        <v>59</v>
      </c>
      <c r="E274" s="21" t="s">
        <v>1301</v>
      </c>
      <c r="F274" s="23" t="s">
        <v>1301</v>
      </c>
      <c r="G274" s="20" t="str">
        <f>SUBSTITUTE(SUBSTITUTE(SUBSTITUTE(O274,"/@","_"),"/cac:","_"),"/cbc:","_")</f>
        <v>Invoice_Note</v>
      </c>
      <c r="H274" s="19" t="s">
        <v>1302</v>
      </c>
      <c r="I274" s="19"/>
      <c r="J274" s="19" t="s">
        <v>153</v>
      </c>
      <c r="K274" s="20"/>
      <c r="L274" s="25" t="s">
        <v>1294</v>
      </c>
      <c r="M274" s="20" t="s">
        <v>49</v>
      </c>
      <c r="N274" s="26" t="str">
        <f>IF(O274="","",LEN(O274)-LEN(SUBSTITUTE(O274,"/",""))+IF(ISNUMBER(SEARCH("@",O274)),0,1))</f>
        <v>2</v>
      </c>
      <c r="O274" s="19" t="s">
        <v>155</v>
      </c>
      <c r="P274" s="19" t="s">
        <v>1298</v>
      </c>
      <c r="Q274" s="20"/>
      <c r="R274" s="20"/>
      <c r="S274" s="20"/>
      <c r="T274" s="20"/>
      <c r="U274" s="20" t="s">
        <v>67</v>
      </c>
      <c r="V274" s="20" t="s">
        <v>68</v>
      </c>
      <c r="W274" s="20" t="str">
        <f>IF(ISBLANK(O274),"是","否")</f>
        <v>否</v>
      </c>
      <c r="X274" s="20" t="s">
        <v>76</v>
      </c>
      <c r="Y274" s="24">
        <v>58</v>
      </c>
      <c r="Z274" s="25" t="s">
        <v>1301</v>
      </c>
      <c r="AC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</row>
    <row r="275" ht="50.16541353383458" customHeight="1" spans="1:52" x14ac:dyDescent="0.25">
      <c r="A275" s="19" t="s">
        <v>41</v>
      </c>
      <c r="B275" s="20" t="s">
        <v>57</v>
      </c>
      <c r="C275" s="21" t="s">
        <v>58</v>
      </c>
      <c r="D275" s="22" t="s">
        <v>59</v>
      </c>
      <c r="E275" s="21" t="s">
        <v>1303</v>
      </c>
      <c r="F275" s="23" t="s">
        <v>1303</v>
      </c>
      <c r="G275" s="20" t="str">
        <f>SUBSTITUTE(SUBSTITUTE(SUBSTITUTE(O275,"/@","_"),"/cac:","_"),"/cbc:","_")</f>
        <v>Invoice_Note</v>
      </c>
      <c r="H275" s="19" t="s">
        <v>1304</v>
      </c>
      <c r="I275" s="19"/>
      <c r="J275" s="19" t="s">
        <v>153</v>
      </c>
      <c r="K275" s="20"/>
      <c r="L275" s="25" t="s">
        <v>1294</v>
      </c>
      <c r="M275" s="20" t="s">
        <v>49</v>
      </c>
      <c r="N275" s="26" t="str">
        <f>IF(O275="","",LEN(O275)-LEN(SUBSTITUTE(O275,"/",""))+IF(ISNUMBER(SEARCH("@",O275)),0,1))</f>
        <v>2</v>
      </c>
      <c r="O275" s="19" t="s">
        <v>155</v>
      </c>
      <c r="P275" s="19" t="s">
        <v>1305</v>
      </c>
      <c r="Q275" s="20"/>
      <c r="R275" s="20"/>
      <c r="S275" s="20"/>
      <c r="T275" s="20"/>
      <c r="U275" s="20" t="s">
        <v>67</v>
      </c>
      <c r="V275" s="20" t="s">
        <v>68</v>
      </c>
      <c r="W275" s="20" t="str">
        <f>IF(ISBLANK(O275),"是","否")</f>
        <v>否</v>
      </c>
      <c r="X275" s="20" t="s">
        <v>76</v>
      </c>
      <c r="Y275" s="24">
        <v>59</v>
      </c>
      <c r="Z275" s="25" t="s">
        <v>1303</v>
      </c>
      <c r="AC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</row>
    <row r="276" ht="29.59398496240601" customHeight="1" spans="1:52" x14ac:dyDescent="0.25">
      <c r="A276" s="19" t="s">
        <v>1306</v>
      </c>
      <c r="B276" s="20" t="s">
        <v>57</v>
      </c>
      <c r="C276" s="21" t="s">
        <v>1307</v>
      </c>
      <c r="D276" s="22" t="s">
        <v>1308</v>
      </c>
      <c r="E276" s="21" t="s">
        <v>60</v>
      </c>
      <c r="F276" s="23" t="s">
        <v>60</v>
      </c>
      <c r="G276" s="20" t="str">
        <f>SUBSTITUTE(SUBSTITUTE(SUBSTITUTE(O276,"/@","_"),"/cac:","_"),"/cbc:","_")</f>
        <v>Invoice_InvoiceLine_UUID</v>
      </c>
      <c r="H276" s="19" t="s">
        <v>1309</v>
      </c>
      <c r="I276" s="19"/>
      <c r="J276" s="19" t="s">
        <v>1310</v>
      </c>
      <c r="K276" s="20"/>
      <c r="L276" s="25" t="s">
        <v>63</v>
      </c>
      <c r="M276" s="20" t="s">
        <v>64</v>
      </c>
      <c r="N276" s="26" t="str">
        <f>IF(O276="","",LEN(O276)-LEN(SUBSTITUTE(O276,"/",""))+IF(ISNUMBER(SEARCH("@",O276)),0,1))</f>
        <v>3</v>
      </c>
      <c r="O276" s="19" t="s">
        <v>1311</v>
      </c>
      <c r="P276" s="19" t="s">
        <v>1312</v>
      </c>
      <c r="Q276" s="20"/>
      <c r="R276" s="20"/>
      <c r="S276" s="20"/>
      <c r="T276" s="20"/>
      <c r="U276" s="20" t="s">
        <v>67</v>
      </c>
      <c r="V276" s="20" t="s">
        <v>68</v>
      </c>
      <c r="W276" s="20" t="str">
        <f>IF(ISBLANK(O276),"是","否")</f>
        <v>否</v>
      </c>
      <c r="X276" s="20" t="s">
        <v>76</v>
      </c>
      <c r="Y276" s="24">
        <v>77</v>
      </c>
      <c r="Z276" s="25" t="s">
        <v>60</v>
      </c>
      <c r="AA276" s="37">
        <v>149</v>
      </c>
      <c r="AB276" s="35" t="s">
        <v>1313</v>
      </c>
      <c r="AC276" s="20"/>
      <c r="AD276" s="37"/>
      <c r="AE276" s="35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</row>
    <row r="277" ht="39.879699248120296" customHeight="1" spans="1:52" x14ac:dyDescent="0.25">
      <c r="A277" s="19" t="s">
        <v>41</v>
      </c>
      <c r="B277" s="20" t="s">
        <v>57</v>
      </c>
      <c r="C277" s="21" t="s">
        <v>1307</v>
      </c>
      <c r="D277" s="22" t="s">
        <v>1308</v>
      </c>
      <c r="E277" s="21" t="s">
        <v>69</v>
      </c>
      <c r="F277" s="23" t="s">
        <v>69</v>
      </c>
      <c r="G277" s="20" t="str">
        <f>SUBSTITUTE(SUBSTITUTE(SUBSTITUTE(O277,"/@","_"),"/cac:","_"),"/cbc:","_")</f>
        <v>Invoice_ProfileExecutionID</v>
      </c>
      <c r="H277" s="19" t="s">
        <v>1314</v>
      </c>
      <c r="I277" s="19"/>
      <c r="J277" s="19" t="s">
        <v>71</v>
      </c>
      <c r="K277" s="24"/>
      <c r="L277" s="25" t="s">
        <v>72</v>
      </c>
      <c r="M277" s="20" t="s">
        <v>64</v>
      </c>
      <c r="N277" s="26" t="str">
        <f>IF(O277="","",LEN(O277)-LEN(SUBSTITUTE(O277,"/",""))+IF(ISNUMBER(SEARCH("@",O277)),0,1))</f>
        <v>2</v>
      </c>
      <c r="O277" s="19" t="s">
        <v>73</v>
      </c>
      <c r="P277" s="19" t="s">
        <v>1315</v>
      </c>
      <c r="Q277" s="20"/>
      <c r="R277" s="20"/>
      <c r="S277" s="20" t="s">
        <v>75</v>
      </c>
      <c r="T277" s="20"/>
      <c r="U277" s="20" t="s">
        <v>67</v>
      </c>
      <c r="V277" s="20" t="s">
        <v>68</v>
      </c>
      <c r="W277" s="20" t="str">
        <f>IF(ISBLANK(O277),"是","否")</f>
        <v>否</v>
      </c>
      <c r="X277" s="20" t="s">
        <v>76</v>
      </c>
      <c r="Y277" s="24">
        <v>78</v>
      </c>
      <c r="Z277" s="25" t="s">
        <v>69</v>
      </c>
      <c r="AC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</row>
    <row r="278" ht="29.59398496240601" customHeight="1" spans="1:52" x14ac:dyDescent="0.25">
      <c r="A278" s="19" t="s">
        <v>1306</v>
      </c>
      <c r="B278" s="20" t="s">
        <v>57</v>
      </c>
      <c r="C278" s="21"/>
      <c r="D278" s="22"/>
      <c r="E278" s="21" t="s">
        <v>81</v>
      </c>
      <c r="F278" s="29" t="s">
        <v>1316</v>
      </c>
      <c r="G278" s="20" t="str">
        <f>SUBSTITUTE(SUBSTITUTE(SUBSTITUTE(O278,"/@","_"),"/cac:","_"),"/cbc:","_")</f>
        <v>Invoice_InvoiceLine_ID</v>
      </c>
      <c r="H278" s="19" t="s">
        <v>1317</v>
      </c>
      <c r="I278" s="25" t="s">
        <v>1318</v>
      </c>
      <c r="J278" s="25" t="s">
        <v>1319</v>
      </c>
      <c r="K278" s="25" t="s">
        <v>1320</v>
      </c>
      <c r="L278" s="25" t="s">
        <v>228</v>
      </c>
      <c r="M278" s="25">
        <v>1</v>
      </c>
      <c r="N278" s="26" t="str">
        <f>IF(O278="","",LEN(O278)-LEN(SUBSTITUTE(O278,"/",""))+IF(ISNUMBER(SEARCH("@",O278)),0,1))</f>
        <v>3</v>
      </c>
      <c r="O278" s="19" t="s">
        <v>1321</v>
      </c>
      <c r="P278" s="20"/>
      <c r="Q278" s="20"/>
      <c r="R278" s="20"/>
      <c r="S278" s="25">
        <v>1</v>
      </c>
      <c r="T278" s="20"/>
      <c r="U278" s="20" t="s">
        <v>682</v>
      </c>
      <c r="V278" s="25" t="s">
        <v>68</v>
      </c>
      <c r="W278" s="20" t="str">
        <f>IF(ISBLANK(O278),"是","否")</f>
        <v>否</v>
      </c>
      <c r="X278" s="20"/>
      <c r="Y278" s="25"/>
      <c r="Z278" s="25"/>
      <c r="AC278" s="20" t="s">
        <v>76</v>
      </c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</row>
    <row r="279" ht="29.59398496240601" customHeight="1" spans="1:52" x14ac:dyDescent="0.25">
      <c r="A279" s="19" t="s">
        <v>1306</v>
      </c>
      <c r="B279" s="20" t="s">
        <v>57</v>
      </c>
      <c r="C279" s="21"/>
      <c r="D279" s="22"/>
      <c r="E279" s="21" t="s">
        <v>151</v>
      </c>
      <c r="F279" s="29" t="s">
        <v>1322</v>
      </c>
      <c r="G279" s="20" t="str">
        <f>SUBSTITUTE(SUBSTITUTE(SUBSTITUTE(O279,"/@","_"),"/cac:","_"),"/cbc:","_")</f>
        <v>Invoice_InvoiceLine_Note</v>
      </c>
      <c r="H279" s="19" t="s">
        <v>152</v>
      </c>
      <c r="I279" s="25" t="s">
        <v>1323</v>
      </c>
      <c r="J279" s="25" t="s">
        <v>1324</v>
      </c>
      <c r="K279" s="25" t="s">
        <v>1325</v>
      </c>
      <c r="L279" s="25" t="s">
        <v>228</v>
      </c>
      <c r="M279" s="25" t="s">
        <v>49</v>
      </c>
      <c r="N279" s="26" t="str">
        <f>IF(O279="","",LEN(O279)-LEN(SUBSTITUTE(O279,"/",""))+IF(ISNUMBER(SEARCH("@",O279)),0,1))</f>
        <v>3</v>
      </c>
      <c r="O279" s="19" t="s">
        <v>1326</v>
      </c>
      <c r="P279" s="20"/>
      <c r="Q279" s="20"/>
      <c r="R279" s="20"/>
      <c r="S279" s="25" t="s">
        <v>1327</v>
      </c>
      <c r="T279" s="20"/>
      <c r="U279" s="20" t="s">
        <v>682</v>
      </c>
      <c r="V279" s="25" t="s">
        <v>68</v>
      </c>
      <c r="W279" s="20" t="str">
        <f>IF(ISBLANK(O279),"是","否")</f>
        <v>否</v>
      </c>
      <c r="X279" s="20"/>
      <c r="Y279" s="25"/>
      <c r="Z279" s="25"/>
      <c r="AC279" s="20" t="s">
        <v>76</v>
      </c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</row>
    <row r="280" ht="50.16541353383458" customHeight="1" spans="1:52" x14ac:dyDescent="0.25">
      <c r="A280" s="19" t="s">
        <v>1306</v>
      </c>
      <c r="B280" s="20" t="s">
        <v>57</v>
      </c>
      <c r="C280" s="21"/>
      <c r="D280" s="22"/>
      <c r="E280" s="21" t="s">
        <v>1328</v>
      </c>
      <c r="F280" s="29" t="s">
        <v>1329</v>
      </c>
      <c r="G280" s="20" t="str">
        <f>SUBSTITUTE(SUBSTITUTE(SUBSTITUTE(O280,"/@","_"),"/cac:","_"),"/cbc:","_")</f>
        <v>Invoice_InvoiceLine_InvoicedQuantity</v>
      </c>
      <c r="H280" s="19" t="s">
        <v>1330</v>
      </c>
      <c r="I280" s="25" t="s">
        <v>1331</v>
      </c>
      <c r="J280" s="25" t="s">
        <v>1332</v>
      </c>
      <c r="K280" s="25" t="s">
        <v>1333</v>
      </c>
      <c r="L280" s="25" t="s">
        <v>1000</v>
      </c>
      <c r="M280" s="25" t="s">
        <v>64</v>
      </c>
      <c r="N280" s="26" t="str">
        <f>IF(O280="","",LEN(O280)-LEN(SUBSTITUTE(O280,"/",""))+IF(ISNUMBER(SEARCH("@",O280)),0,1))</f>
        <v>3</v>
      </c>
      <c r="O280" s="19" t="s">
        <v>1334</v>
      </c>
      <c r="P280" s="20"/>
      <c r="Q280" s="20"/>
      <c r="R280" s="20"/>
      <c r="S280" s="25">
        <v>10</v>
      </c>
      <c r="T280" s="20"/>
      <c r="U280" s="20" t="s">
        <v>682</v>
      </c>
      <c r="V280" s="25" t="s">
        <v>68</v>
      </c>
      <c r="W280" s="20" t="str">
        <f>IF(ISBLANK(O280),"是","否")</f>
        <v>否</v>
      </c>
      <c r="X280" s="20"/>
      <c r="Y280" s="25"/>
      <c r="Z280" s="25"/>
      <c r="AA280" s="24">
        <v>154</v>
      </c>
      <c r="AB280" s="25" t="s">
        <v>1335</v>
      </c>
      <c r="AC280" s="20" t="s">
        <v>76</v>
      </c>
      <c r="AD280" s="24"/>
      <c r="AE280" s="25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</row>
    <row r="281" ht="50.16541353383458" customHeight="1" spans="1:52" x14ac:dyDescent="0.25">
      <c r="A281" s="19" t="s">
        <v>1306</v>
      </c>
      <c r="B281" s="20" t="s">
        <v>57</v>
      </c>
      <c r="C281" s="21"/>
      <c r="D281" s="22"/>
      <c r="E281" s="21" t="s">
        <v>1336</v>
      </c>
      <c r="F281" s="29" t="s">
        <v>1337</v>
      </c>
      <c r="G281" s="20" t="str">
        <f>SUBSTITUTE(SUBSTITUTE(SUBSTITUTE(O281,"/@","_"),"/cac:","_"),"/cbc:","_")</f>
        <v>Invoice_InvoiceLine_InvoicedQuantity_unitCode</v>
      </c>
      <c r="H281" s="19" t="s">
        <v>1338</v>
      </c>
      <c r="I281" s="25" t="s">
        <v>1339</v>
      </c>
      <c r="J281" s="25" t="s">
        <v>1340</v>
      </c>
      <c r="K281" s="25" t="s">
        <v>1341</v>
      </c>
      <c r="L281" s="25" t="s">
        <v>243</v>
      </c>
      <c r="M281" s="25" t="s">
        <v>64</v>
      </c>
      <c r="N281" s="26" t="str">
        <f>IF(O281="","",LEN(O281)-LEN(SUBSTITUTE(O281,"/",""))+IF(ISNUMBER(SEARCH("@",O281)),0,1))</f>
        <v>3</v>
      </c>
      <c r="O281" s="19" t="s">
        <v>1342</v>
      </c>
      <c r="P281" s="20"/>
      <c r="Q281" s="20"/>
      <c r="R281" s="20"/>
      <c r="S281" s="25" t="s">
        <v>1343</v>
      </c>
      <c r="T281" s="20"/>
      <c r="U281" s="20" t="s">
        <v>682</v>
      </c>
      <c r="V281" s="25" t="s">
        <v>68</v>
      </c>
      <c r="W281" s="20" t="str">
        <f>IF(ISBLANK(O281),"是","否")</f>
        <v>否</v>
      </c>
      <c r="X281" s="20"/>
      <c r="Y281" s="25"/>
      <c r="Z281" s="25"/>
      <c r="AA281" s="37">
        <v>153</v>
      </c>
      <c r="AB281" s="35" t="s">
        <v>1344</v>
      </c>
      <c r="AC281" s="20" t="s">
        <v>76</v>
      </c>
      <c r="AD281" s="37"/>
      <c r="AE281" s="35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</row>
    <row r="282" ht="29.59398496240601" customHeight="1" spans="1:52" x14ac:dyDescent="0.25">
      <c r="A282" s="19" t="s">
        <v>1306</v>
      </c>
      <c r="B282" s="20" t="s">
        <v>57</v>
      </c>
      <c r="C282" s="21"/>
      <c r="D282" s="22"/>
      <c r="E282" s="21" t="s">
        <v>1345</v>
      </c>
      <c r="F282" s="29" t="s">
        <v>1346</v>
      </c>
      <c r="G282" s="20" t="str">
        <f>SUBSTITUTE(SUBSTITUTE(SUBSTITUTE(O282,"/@","_"),"/cac:","_"),"/cbc:","_")</f>
        <v>Invoice_InvoiceLine_LineExtensionAmount</v>
      </c>
      <c r="H282" s="19" t="s">
        <v>1347</v>
      </c>
      <c r="I282" s="25" t="s">
        <v>1348</v>
      </c>
      <c r="J282" s="25" t="s">
        <v>1349</v>
      </c>
      <c r="K282" s="25" t="s">
        <v>1350</v>
      </c>
      <c r="L282" s="25" t="s">
        <v>1000</v>
      </c>
      <c r="M282" s="25">
        <v>1</v>
      </c>
      <c r="N282" s="26" t="str">
        <f>IF(O282="","",LEN(O282)-LEN(SUBSTITUTE(O282,"/",""))+IF(ISNUMBER(SEARCH("@",O282)),0,1))</f>
        <v>3</v>
      </c>
      <c r="O282" s="19" t="s">
        <v>1351</v>
      </c>
      <c r="P282" s="20"/>
      <c r="Q282" s="20"/>
      <c r="R282" s="20"/>
      <c r="S282" s="25">
        <v>1000</v>
      </c>
      <c r="T282" s="20"/>
      <c r="U282" s="20" t="s">
        <v>682</v>
      </c>
      <c r="V282" s="25" t="s">
        <v>68</v>
      </c>
      <c r="W282" s="20" t="str">
        <f>IF(ISBLANK(O282),"是","否")</f>
        <v>否</v>
      </c>
      <c r="X282" s="20"/>
      <c r="Y282" s="25"/>
      <c r="Z282" s="25"/>
      <c r="AC282" s="20" t="s">
        <v>76</v>
      </c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</row>
    <row r="283" ht="39.879699248120296" customHeight="1" spans="1:52" x14ac:dyDescent="0.25">
      <c r="A283" s="19" t="s">
        <v>1306</v>
      </c>
      <c r="B283" s="20" t="s">
        <v>57</v>
      </c>
      <c r="C283" s="21"/>
      <c r="D283" s="22"/>
      <c r="E283" s="21" t="s">
        <v>1352</v>
      </c>
      <c r="F283" s="29" t="s">
        <v>1353</v>
      </c>
      <c r="G283" s="20" t="str">
        <f>SUBSTITUTE(SUBSTITUTE(SUBSTITUTE(O283,"/@","_"),"/cac:","_"),"/cbc:","_")</f>
        <v>Invoice_InvoiceLine_LineExtensionAmount_currencyID</v>
      </c>
      <c r="H283" s="19" t="s">
        <v>1354</v>
      </c>
      <c r="I283" s="25" t="s">
        <v>1055</v>
      </c>
      <c r="J283" s="25" t="s">
        <v>1355</v>
      </c>
      <c r="K283" s="25" t="s">
        <v>1057</v>
      </c>
      <c r="L283" s="25" t="s">
        <v>243</v>
      </c>
      <c r="M283" s="25" t="s">
        <v>64</v>
      </c>
      <c r="N283" s="26" t="str">
        <f>IF(O283="","",LEN(O283)-LEN(SUBSTITUTE(O283,"/",""))+IF(ISNUMBER(SEARCH("@",O283)),0,1))</f>
        <v>3</v>
      </c>
      <c r="O283" s="19" t="s">
        <v>1356</v>
      </c>
      <c r="P283" s="20"/>
      <c r="Q283" s="20"/>
      <c r="R283" s="20"/>
      <c r="S283" s="25" t="s">
        <v>993</v>
      </c>
      <c r="T283" s="20"/>
      <c r="U283" s="20" t="s">
        <v>682</v>
      </c>
      <c r="V283" s="25" t="s">
        <v>68</v>
      </c>
      <c r="W283" s="20" t="str">
        <f>IF(ISBLANK(O283),"是","否")</f>
        <v>否</v>
      </c>
      <c r="X283" s="20"/>
      <c r="Y283" s="25"/>
      <c r="Z283" s="25"/>
      <c r="AC283" s="20" t="s">
        <v>76</v>
      </c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</row>
    <row r="284" ht="29.59398496240601" customHeight="1" spans="1:52" x14ac:dyDescent="0.25">
      <c r="A284" s="19" t="s">
        <v>1306</v>
      </c>
      <c r="B284" s="20" t="s">
        <v>57</v>
      </c>
      <c r="C284" s="21"/>
      <c r="D284" s="22"/>
      <c r="E284" s="21" t="s">
        <v>1357</v>
      </c>
      <c r="F284" s="29" t="s">
        <v>1358</v>
      </c>
      <c r="G284" s="20" t="str">
        <f>SUBSTITUTE(SUBSTITUTE(SUBSTITUTE(O284,"/@","_"),"/cac:","_"),"/cbc:","_")</f>
        <v>Invoice_InvoiceLine_Item</v>
      </c>
      <c r="H284" s="19" t="s">
        <v>1359</v>
      </c>
      <c r="I284" s="25" t="s">
        <v>1360</v>
      </c>
      <c r="J284" s="25" t="s">
        <v>1361</v>
      </c>
      <c r="K284" s="25" t="s">
        <v>1362</v>
      </c>
      <c r="L284" s="25" t="s">
        <v>220</v>
      </c>
      <c r="M284" s="25">
        <v>1</v>
      </c>
      <c r="N284" s="26" t="str">
        <f>IF(O284="","",LEN(O284)-LEN(SUBSTITUTE(O284,"/",""))+IF(ISNUMBER(SEARCH("@",O284)),0,1))</f>
        <v>3</v>
      </c>
      <c r="O284" s="19" t="s">
        <v>1363</v>
      </c>
      <c r="P284" s="20"/>
      <c r="Q284" s="20"/>
      <c r="R284" s="20"/>
      <c r="S284" s="25" t="s">
        <v>681</v>
      </c>
      <c r="T284" s="20"/>
      <c r="U284" s="20" t="s">
        <v>682</v>
      </c>
      <c r="V284" s="25" t="s">
        <v>222</v>
      </c>
      <c r="W284" s="20" t="str">
        <f>IF(ISBLANK(O284),"是","否")</f>
        <v>否</v>
      </c>
      <c r="X284" s="20"/>
      <c r="Y284" s="25"/>
      <c r="Z284" s="25"/>
      <c r="AC284" s="20" t="s">
        <v>76</v>
      </c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</row>
    <row r="285" ht="29.59398496240601" customHeight="1" spans="1:52" x14ac:dyDescent="0.25">
      <c r="A285" s="19" t="s">
        <v>1357</v>
      </c>
      <c r="B285" s="20" t="s">
        <v>57</v>
      </c>
      <c r="C285" s="21"/>
      <c r="D285" s="22"/>
      <c r="E285" s="21" t="s">
        <v>1364</v>
      </c>
      <c r="F285" s="29" t="s">
        <v>1365</v>
      </c>
      <c r="G285" s="20" t="str">
        <f>SUBSTITUTE(SUBSTITUTE(SUBSTITUTE(O285,"/@","_"),"/cac:","_"),"/cbc:","_")</f>
        <v>Invoice_InvoiceLine_Item_Description</v>
      </c>
      <c r="H285" s="19" t="s">
        <v>1366</v>
      </c>
      <c r="I285" s="25" t="s">
        <v>1367</v>
      </c>
      <c r="J285" s="25" t="s">
        <v>1368</v>
      </c>
      <c r="K285" s="25" t="s">
        <v>1369</v>
      </c>
      <c r="L285" s="25" t="s">
        <v>228</v>
      </c>
      <c r="M285" s="25" t="s">
        <v>49</v>
      </c>
      <c r="N285" s="26" t="str">
        <f>IF(O285="","",LEN(O285)-LEN(SUBSTITUTE(O285,"/",""))+IF(ISNUMBER(SEARCH("@",O285)),0,1))</f>
        <v>4</v>
      </c>
      <c r="O285" s="19" t="s">
        <v>1370</v>
      </c>
      <c r="P285" s="20"/>
      <c r="Q285" s="20"/>
      <c r="R285" s="20"/>
      <c r="S285" s="25" t="s">
        <v>1371</v>
      </c>
      <c r="T285" s="20"/>
      <c r="U285" s="20" t="s">
        <v>682</v>
      </c>
      <c r="V285" s="25" t="s">
        <v>68</v>
      </c>
      <c r="W285" s="20" t="str">
        <f>IF(ISBLANK(O285),"是","否")</f>
        <v>否</v>
      </c>
      <c r="X285" s="20"/>
      <c r="Y285" s="25"/>
      <c r="Z285" s="25"/>
      <c r="AC285" s="20" t="s">
        <v>76</v>
      </c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</row>
    <row r="286" ht="29.59398496240601" customHeight="1" spans="1:52" x14ac:dyDescent="0.25">
      <c r="A286" s="19" t="s">
        <v>1357</v>
      </c>
      <c r="B286" s="20" t="s">
        <v>57</v>
      </c>
      <c r="C286" s="21"/>
      <c r="D286" s="22"/>
      <c r="E286" s="21" t="s">
        <v>273</v>
      </c>
      <c r="F286" s="29" t="s">
        <v>1372</v>
      </c>
      <c r="G286" s="20" t="str">
        <f>SUBSTITUTE(SUBSTITUTE(SUBSTITUTE(O286,"/@","_"),"/cac:","_"),"/cbc:","_")</f>
        <v>Invoice_InvoiceLine_Item_Name</v>
      </c>
      <c r="H286" s="19" t="s">
        <v>1373</v>
      </c>
      <c r="I286" s="25" t="s">
        <v>1374</v>
      </c>
      <c r="J286" s="25" t="s">
        <v>1375</v>
      </c>
      <c r="K286" s="25" t="s">
        <v>1376</v>
      </c>
      <c r="L286" s="25" t="s">
        <v>228</v>
      </c>
      <c r="M286" s="25" t="s">
        <v>64</v>
      </c>
      <c r="N286" s="26" t="str">
        <f>IF(O286="","",LEN(O286)-LEN(SUBSTITUTE(O286,"/",""))+IF(ISNUMBER(SEARCH("@",O286)),0,1))</f>
        <v>4</v>
      </c>
      <c r="O286" s="19" t="s">
        <v>1377</v>
      </c>
      <c r="P286" s="20"/>
      <c r="Q286" s="20"/>
      <c r="R286" s="20"/>
      <c r="S286" s="25" t="s">
        <v>1378</v>
      </c>
      <c r="T286" s="20"/>
      <c r="U286" s="20" t="s">
        <v>682</v>
      </c>
      <c r="V286" s="25" t="s">
        <v>68</v>
      </c>
      <c r="W286" s="20" t="str">
        <f>IF(ISBLANK(O286),"是","否")</f>
        <v>否</v>
      </c>
      <c r="X286" s="20"/>
      <c r="Y286" s="25"/>
      <c r="Z286" s="25"/>
      <c r="AC286" s="20" t="s">
        <v>76</v>
      </c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</row>
    <row r="287" ht="29.59398496240601" customHeight="1" spans="1:52" x14ac:dyDescent="0.25">
      <c r="A287" s="19" t="s">
        <v>1357</v>
      </c>
      <c r="B287" s="20" t="s">
        <v>57</v>
      </c>
      <c r="C287" s="21"/>
      <c r="D287" s="22"/>
      <c r="E287" s="21" t="s">
        <v>1379</v>
      </c>
      <c r="F287" s="29" t="s">
        <v>1380</v>
      </c>
      <c r="G287" s="20" t="str">
        <f>SUBSTITUTE(SUBSTITUTE(SUBSTITUTE(O287,"/@","_"),"/cac:","_"),"/cbc:","_")</f>
        <v>Invoice_InvoiceLine_Item_BuyersItemIdentification</v>
      </c>
      <c r="H287" s="19" t="s">
        <v>1381</v>
      </c>
      <c r="I287" s="25" t="s">
        <v>1382</v>
      </c>
      <c r="J287" s="25" t="s">
        <v>1383</v>
      </c>
      <c r="K287" s="25" t="s">
        <v>1384</v>
      </c>
      <c r="L287" s="25" t="s">
        <v>220</v>
      </c>
      <c r="M287" s="25" t="s">
        <v>64</v>
      </c>
      <c r="N287" s="26" t="str">
        <f>IF(O287="","",LEN(O287)-LEN(SUBSTITUTE(O287,"/",""))+IF(ISNUMBER(SEARCH("@",O287)),0,1))</f>
        <v>4</v>
      </c>
      <c r="O287" s="19" t="s">
        <v>1385</v>
      </c>
      <c r="P287" s="20"/>
      <c r="Q287" s="20"/>
      <c r="R287" s="20"/>
      <c r="S287" s="25" t="s">
        <v>681</v>
      </c>
      <c r="T287" s="20"/>
      <c r="U287" s="20" t="s">
        <v>682</v>
      </c>
      <c r="V287" s="25" t="s">
        <v>222</v>
      </c>
      <c r="W287" s="20" t="str">
        <f>IF(ISBLANK(O287),"是","否")</f>
        <v>否</v>
      </c>
      <c r="X287" s="20"/>
      <c r="Y287" s="25"/>
      <c r="Z287" s="25"/>
      <c r="AC287" s="20" t="s">
        <v>76</v>
      </c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</row>
    <row r="288" ht="29.59398496240601" customHeight="1" spans="1:52" x14ac:dyDescent="0.25">
      <c r="A288" s="19" t="s">
        <v>1386</v>
      </c>
      <c r="B288" s="20" t="s">
        <v>57</v>
      </c>
      <c r="C288" s="21"/>
      <c r="D288" s="22"/>
      <c r="E288" s="21" t="s">
        <v>1387</v>
      </c>
      <c r="F288" s="29" t="s">
        <v>1388</v>
      </c>
      <c r="G288" s="20" t="str">
        <f>SUBSTITUTE(SUBSTITUTE(SUBSTITUTE(O288,"/@","_"),"/cac:","_"),"/cbc:","_")</f>
        <v>Invoice_InvoiceLine_Item_BuyersItemIdentification_ID</v>
      </c>
      <c r="H288" s="19" t="s">
        <v>1389</v>
      </c>
      <c r="I288" s="25" t="s">
        <v>1390</v>
      </c>
      <c r="J288" s="25" t="s">
        <v>1391</v>
      </c>
      <c r="K288" s="25" t="s">
        <v>1392</v>
      </c>
      <c r="L288" s="25" t="s">
        <v>228</v>
      </c>
      <c r="M288" s="25">
        <v>1</v>
      </c>
      <c r="N288" s="26" t="str">
        <f>IF(O288="","",LEN(O288)-LEN(SUBSTITUTE(O288,"/",""))+IF(ISNUMBER(SEARCH("@",O288)),0,1))</f>
        <v>5</v>
      </c>
      <c r="O288" s="19" t="s">
        <v>1393</v>
      </c>
      <c r="P288" s="20"/>
      <c r="Q288" s="20"/>
      <c r="R288" s="20"/>
      <c r="S288" s="25" t="s">
        <v>1394</v>
      </c>
      <c r="T288" s="20"/>
      <c r="U288" s="20" t="s">
        <v>682</v>
      </c>
      <c r="V288" s="25" t="s">
        <v>68</v>
      </c>
      <c r="W288" s="20" t="str">
        <f>IF(ISBLANK(O288),"是","否")</f>
        <v>否</v>
      </c>
      <c r="X288" s="20"/>
      <c r="Y288" s="25"/>
      <c r="Z288" s="25"/>
      <c r="AC288" s="20" t="s">
        <v>76</v>
      </c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</row>
    <row r="289" ht="29.59398496240601" customHeight="1" spans="1:52" x14ac:dyDescent="0.25">
      <c r="A289" s="19" t="s">
        <v>1357</v>
      </c>
      <c r="B289" s="20" t="s">
        <v>57</v>
      </c>
      <c r="C289" s="21"/>
      <c r="D289" s="22"/>
      <c r="E289" s="21" t="s">
        <v>1395</v>
      </c>
      <c r="F289" s="29" t="s">
        <v>1396</v>
      </c>
      <c r="G289" s="20" t="str">
        <f>SUBSTITUTE(SUBSTITUTE(SUBSTITUTE(O289,"/@","_"),"/cac:","_"),"/cbc:","_")</f>
        <v>Invoice_InvoiceLine_Item_SellersItemIdentification</v>
      </c>
      <c r="H289" s="19" t="s">
        <v>1397</v>
      </c>
      <c r="I289" s="25" t="s">
        <v>1398</v>
      </c>
      <c r="J289" s="25" t="s">
        <v>1399</v>
      </c>
      <c r="K289" s="25" t="s">
        <v>1400</v>
      </c>
      <c r="L289" s="25" t="s">
        <v>220</v>
      </c>
      <c r="M289" s="25" t="s">
        <v>64</v>
      </c>
      <c r="N289" s="26" t="str">
        <f>IF(O289="","",LEN(O289)-LEN(SUBSTITUTE(O289,"/",""))+IF(ISNUMBER(SEARCH("@",O289)),0,1))</f>
        <v>4</v>
      </c>
      <c r="O289" s="19" t="s">
        <v>1401</v>
      </c>
      <c r="P289" s="20"/>
      <c r="Q289" s="20"/>
      <c r="R289" s="20"/>
      <c r="S289" s="25" t="s">
        <v>681</v>
      </c>
      <c r="T289" s="20"/>
      <c r="U289" s="20" t="s">
        <v>682</v>
      </c>
      <c r="V289" s="25" t="s">
        <v>222</v>
      </c>
      <c r="W289" s="20" t="str">
        <f>IF(ISBLANK(O289),"是","否")</f>
        <v>否</v>
      </c>
      <c r="X289" s="20"/>
      <c r="Y289" s="25"/>
      <c r="Z289" s="25"/>
      <c r="AC289" s="20" t="s">
        <v>76</v>
      </c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</row>
    <row r="290" ht="29.59398496240601" customHeight="1" spans="1:52" x14ac:dyDescent="0.25">
      <c r="A290" s="19" t="s">
        <v>1386</v>
      </c>
      <c r="B290" s="20" t="s">
        <v>57</v>
      </c>
      <c r="C290" s="21"/>
      <c r="D290" s="22"/>
      <c r="E290" s="21" t="s">
        <v>1402</v>
      </c>
      <c r="F290" s="29" t="s">
        <v>1403</v>
      </c>
      <c r="G290" s="20" t="str">
        <f>SUBSTITUTE(SUBSTITUTE(SUBSTITUTE(O290,"/@","_"),"/cac:","_"),"/cbc:","_")</f>
        <v>Invoice_InvoiceLine_Item_SellersItemIdentification_ID</v>
      </c>
      <c r="H290" s="19" t="s">
        <v>1404</v>
      </c>
      <c r="I290" s="25" t="s">
        <v>1405</v>
      </c>
      <c r="J290" s="25" t="s">
        <v>1406</v>
      </c>
      <c r="K290" s="25" t="s">
        <v>1392</v>
      </c>
      <c r="L290" s="25" t="s">
        <v>228</v>
      </c>
      <c r="M290" s="25">
        <v>1</v>
      </c>
      <c r="N290" s="26" t="str">
        <f>IF(O290="","",LEN(O290)-LEN(SUBSTITUTE(O290,"/",""))+IF(ISNUMBER(SEARCH("@",O290)),0,1))</f>
        <v>5</v>
      </c>
      <c r="O290" s="19" t="s">
        <v>1407</v>
      </c>
      <c r="P290" s="20"/>
      <c r="Q290" s="20"/>
      <c r="R290" s="20"/>
      <c r="S290" s="25" t="s">
        <v>1408</v>
      </c>
      <c r="T290" s="20"/>
      <c r="U290" s="20" t="s">
        <v>682</v>
      </c>
      <c r="V290" s="25" t="s">
        <v>68</v>
      </c>
      <c r="W290" s="20" t="str">
        <f>IF(ISBLANK(O290),"是","否")</f>
        <v>否</v>
      </c>
      <c r="X290" s="20"/>
      <c r="Y290" s="25"/>
      <c r="Z290" s="25"/>
      <c r="AC290" s="20" t="s">
        <v>76</v>
      </c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</row>
    <row r="291" ht="39.879699248120296" customHeight="1" spans="1:52" x14ac:dyDescent="0.25">
      <c r="A291" s="19" t="s">
        <v>1386</v>
      </c>
      <c r="B291" s="20" t="s">
        <v>57</v>
      </c>
      <c r="C291" s="21"/>
      <c r="D291" s="22"/>
      <c r="E291" s="21" t="s">
        <v>1409</v>
      </c>
      <c r="F291" s="29" t="s">
        <v>1410</v>
      </c>
      <c r="G291" s="20" t="str">
        <f>SUBSTITUTE(SUBSTITUTE(SUBSTITUTE(O291,"/@","_"),"/cac:","_"),"/cbc:","_")</f>
        <v>Invoice_InvoiceLine_Item_SellersItemIdentification_ExtendedID</v>
      </c>
      <c r="H291" s="19" t="s">
        <v>1411</v>
      </c>
      <c r="I291" s="25" t="s">
        <v>1412</v>
      </c>
      <c r="J291" s="25" t="s">
        <v>1413</v>
      </c>
      <c r="K291" s="25" t="s">
        <v>1414</v>
      </c>
      <c r="L291" s="25" t="s">
        <v>228</v>
      </c>
      <c r="M291" s="25" t="s">
        <v>64</v>
      </c>
      <c r="N291" s="26" t="str">
        <f>IF(O291="","",LEN(O291)-LEN(SUBSTITUTE(O291,"/",""))+IF(ISNUMBER(SEARCH("@",O291)),0,1))</f>
        <v>5</v>
      </c>
      <c r="O291" s="19" t="s">
        <v>1415</v>
      </c>
      <c r="P291" s="20"/>
      <c r="Q291" s="20"/>
      <c r="R291" s="20"/>
      <c r="S291" s="25" t="s">
        <v>1416</v>
      </c>
      <c r="T291" s="20"/>
      <c r="U291" s="20" t="s">
        <v>682</v>
      </c>
      <c r="V291" s="25" t="s">
        <v>68</v>
      </c>
      <c r="W291" s="20" t="str">
        <f>IF(ISBLANK(O291),"是","否")</f>
        <v>否</v>
      </c>
      <c r="X291" s="20"/>
      <c r="Y291" s="25"/>
      <c r="Z291" s="25"/>
      <c r="AC291" s="20" t="s">
        <v>76</v>
      </c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</row>
    <row r="292" ht="39.879699248120296" customHeight="1" spans="1:52" x14ac:dyDescent="0.25">
      <c r="A292" s="19" t="s">
        <v>1357</v>
      </c>
      <c r="B292" s="20" t="s">
        <v>57</v>
      </c>
      <c r="C292" s="21"/>
      <c r="D292" s="22"/>
      <c r="E292" s="21" t="s">
        <v>1417</v>
      </c>
      <c r="F292" s="29" t="s">
        <v>1418</v>
      </c>
      <c r="G292" s="20" t="str">
        <f>SUBSTITUTE(SUBSTITUTE(SUBSTITUTE(O292,"/@","_"),"/cac:","_"),"/cbc:","_")</f>
        <v>Invoice_InvoiceLine_Item_ManufacturersItemIdentification</v>
      </c>
      <c r="H292" s="19" t="s">
        <v>1419</v>
      </c>
      <c r="I292" s="25" t="s">
        <v>1420</v>
      </c>
      <c r="J292" s="25" t="s">
        <v>1421</v>
      </c>
      <c r="K292" s="25" t="s">
        <v>1422</v>
      </c>
      <c r="L292" s="25" t="s">
        <v>220</v>
      </c>
      <c r="M292" s="25" t="s">
        <v>64</v>
      </c>
      <c r="N292" s="26" t="str">
        <f>IF(O292="","",LEN(O292)-LEN(SUBSTITUTE(O292,"/",""))+IF(ISNUMBER(SEARCH("@",O292)),0,1))</f>
        <v>4</v>
      </c>
      <c r="O292" s="19" t="s">
        <v>1423</v>
      </c>
      <c r="P292" s="20"/>
      <c r="Q292" s="20"/>
      <c r="R292" s="20"/>
      <c r="S292" s="25" t="s">
        <v>681</v>
      </c>
      <c r="T292" s="20"/>
      <c r="U292" s="20" t="s">
        <v>682</v>
      </c>
      <c r="V292" s="25" t="s">
        <v>222</v>
      </c>
      <c r="W292" s="20" t="str">
        <f>IF(ISBLANK(O292),"是","否")</f>
        <v>否</v>
      </c>
      <c r="X292" s="20"/>
      <c r="Y292" s="25"/>
      <c r="Z292" s="25"/>
      <c r="AC292" s="20" t="s">
        <v>76</v>
      </c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</row>
    <row r="293" ht="39.879699248120296" customHeight="1" spans="1:52" x14ac:dyDescent="0.25">
      <c r="A293" s="19" t="s">
        <v>1386</v>
      </c>
      <c r="B293" s="20" t="s">
        <v>57</v>
      </c>
      <c r="C293" s="21"/>
      <c r="D293" s="22"/>
      <c r="E293" s="21" t="s">
        <v>1424</v>
      </c>
      <c r="F293" s="29" t="s">
        <v>1425</v>
      </c>
      <c r="G293" s="20" t="str">
        <f>SUBSTITUTE(SUBSTITUTE(SUBSTITUTE(O293,"/@","_"),"/cac:","_"),"/cbc:","_")</f>
        <v>Invoice_InvoiceLine_Item_ManufacturersItemIdentification_ID</v>
      </c>
      <c r="H293" s="19" t="s">
        <v>1426</v>
      </c>
      <c r="I293" s="25" t="s">
        <v>1427</v>
      </c>
      <c r="J293" s="25" t="s">
        <v>1428</v>
      </c>
      <c r="K293" s="25" t="s">
        <v>1392</v>
      </c>
      <c r="L293" s="25" t="s">
        <v>228</v>
      </c>
      <c r="M293" s="25">
        <v>1</v>
      </c>
      <c r="N293" s="26" t="str">
        <f>IF(O293="","",LEN(O293)-LEN(SUBSTITUTE(O293,"/",""))+IF(ISNUMBER(SEARCH("@",O293)),0,1))</f>
        <v>5</v>
      </c>
      <c r="O293" s="19" t="s">
        <v>1429</v>
      </c>
      <c r="P293" s="20"/>
      <c r="Q293" s="20"/>
      <c r="R293" s="20"/>
      <c r="S293" s="25" t="s">
        <v>1430</v>
      </c>
      <c r="T293" s="20"/>
      <c r="U293" s="20" t="s">
        <v>682</v>
      </c>
      <c r="V293" s="25" t="s">
        <v>68</v>
      </c>
      <c r="W293" s="20" t="str">
        <f>IF(ISBLANK(O293),"是","否")</f>
        <v>否</v>
      </c>
      <c r="X293" s="20"/>
      <c r="Y293" s="25"/>
      <c r="Z293" s="25"/>
      <c r="AC293" s="20" t="s">
        <v>76</v>
      </c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</row>
    <row r="294" ht="29.59398496240601" customHeight="1" spans="1:52" x14ac:dyDescent="0.25">
      <c r="A294" s="19" t="s">
        <v>1357</v>
      </c>
      <c r="B294" s="20" t="s">
        <v>57</v>
      </c>
      <c r="C294" s="21"/>
      <c r="D294" s="22"/>
      <c r="E294" s="21" t="s">
        <v>1431</v>
      </c>
      <c r="F294" s="29" t="s">
        <v>1432</v>
      </c>
      <c r="G294" s="20" t="str">
        <f>SUBSTITUTE(SUBSTITUTE(SUBSTITUTE(O294,"/@","_"),"/cac:","_"),"/cbc:","_")</f>
        <v>Invoice_InvoiceLine_Item_StandardItemIdentification</v>
      </c>
      <c r="H294" s="19" t="s">
        <v>1433</v>
      </c>
      <c r="I294" s="25" t="s">
        <v>1434</v>
      </c>
      <c r="J294" s="25" t="s">
        <v>1435</v>
      </c>
      <c r="K294" s="25" t="s">
        <v>1436</v>
      </c>
      <c r="L294" s="25" t="s">
        <v>220</v>
      </c>
      <c r="M294" s="25" t="s">
        <v>64</v>
      </c>
      <c r="N294" s="26" t="str">
        <f>IF(O294="","",LEN(O294)-LEN(SUBSTITUTE(O294,"/",""))+IF(ISNUMBER(SEARCH("@",O294)),0,1))</f>
        <v>4</v>
      </c>
      <c r="O294" s="19" t="s">
        <v>1437</v>
      </c>
      <c r="P294" s="20"/>
      <c r="Q294" s="20"/>
      <c r="R294" s="20"/>
      <c r="S294" s="25" t="s">
        <v>681</v>
      </c>
      <c r="T294" s="20"/>
      <c r="U294" s="20" t="s">
        <v>682</v>
      </c>
      <c r="V294" s="25" t="s">
        <v>222</v>
      </c>
      <c r="W294" s="20" t="str">
        <f>IF(ISBLANK(O294),"是","否")</f>
        <v>否</v>
      </c>
      <c r="X294" s="20"/>
      <c r="Y294" s="25"/>
      <c r="Z294" s="25"/>
      <c r="AC294" s="20" t="s">
        <v>76</v>
      </c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</row>
    <row r="295" ht="29.59398496240601" customHeight="1" spans="1:52" x14ac:dyDescent="0.25">
      <c r="A295" s="19" t="s">
        <v>1386</v>
      </c>
      <c r="B295" s="20" t="s">
        <v>57</v>
      </c>
      <c r="C295" s="21"/>
      <c r="D295" s="22"/>
      <c r="E295" s="21" t="s">
        <v>1438</v>
      </c>
      <c r="F295" s="29" t="s">
        <v>1439</v>
      </c>
      <c r="G295" s="20" t="str">
        <f>SUBSTITUTE(SUBSTITUTE(SUBSTITUTE(O295,"/@","_"),"/cac:","_"),"/cbc:","_")</f>
        <v>Invoice_InvoiceLine_Item_StandardItemIdentification_ID</v>
      </c>
      <c r="H295" s="19" t="s">
        <v>1440</v>
      </c>
      <c r="I295" s="25" t="s">
        <v>1441</v>
      </c>
      <c r="J295" s="25" t="s">
        <v>1442</v>
      </c>
      <c r="K295" s="25" t="s">
        <v>1443</v>
      </c>
      <c r="L295" s="25" t="s">
        <v>228</v>
      </c>
      <c r="M295" s="25">
        <v>1</v>
      </c>
      <c r="N295" s="26" t="str">
        <f>IF(O295="","",LEN(O295)-LEN(SUBSTITUTE(O295,"/",""))+IF(ISNUMBER(SEARCH("@",O295)),0,1))</f>
        <v>5</v>
      </c>
      <c r="O295" s="19" t="s">
        <v>1444</v>
      </c>
      <c r="P295" s="20"/>
      <c r="Q295" s="20"/>
      <c r="R295" s="20"/>
      <c r="S295" s="25">
        <v>6901230000000</v>
      </c>
      <c r="T295" s="20"/>
      <c r="U295" s="20" t="s">
        <v>682</v>
      </c>
      <c r="V295" s="25" t="s">
        <v>68</v>
      </c>
      <c r="W295" s="20" t="str">
        <f>IF(ISBLANK(O295),"是","否")</f>
        <v>否</v>
      </c>
      <c r="X295" s="20"/>
      <c r="Y295" s="25"/>
      <c r="Z295" s="25"/>
      <c r="AC295" s="20" t="s">
        <v>76</v>
      </c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</row>
    <row r="296" ht="39.879699248120296" customHeight="1" spans="1:52" x14ac:dyDescent="0.25">
      <c r="A296" s="19" t="s">
        <v>1386</v>
      </c>
      <c r="B296" s="20" t="s">
        <v>57</v>
      </c>
      <c r="C296" s="21"/>
      <c r="D296" s="22"/>
      <c r="E296" s="21" t="s">
        <v>1445</v>
      </c>
      <c r="F296" s="29" t="s">
        <v>1446</v>
      </c>
      <c r="G296" s="20" t="str">
        <f>SUBSTITUTE(SUBSTITUTE(SUBSTITUTE(O296,"/@","_"),"/cac:","_"),"/cbc:","_")</f>
        <v>Invoice_InvoiceLine_Item_StandardItemIdentification_ID_schemeID</v>
      </c>
      <c r="H296" s="19" t="s">
        <v>1447</v>
      </c>
      <c r="I296" s="25" t="s">
        <v>1448</v>
      </c>
      <c r="J296" s="25" t="s">
        <v>1449</v>
      </c>
      <c r="K296" s="25" t="s">
        <v>1450</v>
      </c>
      <c r="L296" s="25" t="s">
        <v>243</v>
      </c>
      <c r="M296" s="25" t="s">
        <v>64</v>
      </c>
      <c r="N296" s="26" t="str">
        <f>IF(O296="","",LEN(O296)-LEN(SUBSTITUTE(O296,"/",""))+IF(ISNUMBER(SEARCH("@",O296)),0,1))</f>
        <v>5</v>
      </c>
      <c r="O296" s="19" t="s">
        <v>1451</v>
      </c>
      <c r="P296" s="20"/>
      <c r="Q296" s="20"/>
      <c r="R296" s="20"/>
      <c r="S296" s="25" t="s">
        <v>1452</v>
      </c>
      <c r="T296" s="20"/>
      <c r="U296" s="20" t="s">
        <v>682</v>
      </c>
      <c r="V296" s="25" t="s">
        <v>68</v>
      </c>
      <c r="W296" s="20" t="str">
        <f>IF(ISBLANK(O296),"是","否")</f>
        <v>否</v>
      </c>
      <c r="X296" s="20"/>
      <c r="Y296" s="25"/>
      <c r="Z296" s="25"/>
      <c r="AC296" s="20" t="s">
        <v>76</v>
      </c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</row>
    <row r="297" ht="29.59398496240601" customHeight="1" spans="1:52" x14ac:dyDescent="0.25">
      <c r="A297" s="19" t="s">
        <v>1357</v>
      </c>
      <c r="B297" s="20" t="s">
        <v>57</v>
      </c>
      <c r="C297" s="21"/>
      <c r="D297" s="22"/>
      <c r="E297" s="21" t="s">
        <v>1453</v>
      </c>
      <c r="F297" s="29" t="s">
        <v>1454</v>
      </c>
      <c r="G297" s="20" t="str">
        <f>SUBSTITUTE(SUBSTITUTE(SUBSTITUTE(O297,"/@","_"),"/cac:","_"),"/cbc:","_")</f>
        <v>Invoice_InvoiceLine_Item_OriginCountry</v>
      </c>
      <c r="H297" s="19" t="s">
        <v>1455</v>
      </c>
      <c r="I297" s="25" t="s">
        <v>1456</v>
      </c>
      <c r="J297" s="25" t="s">
        <v>1457</v>
      </c>
      <c r="K297" s="25" t="s">
        <v>1458</v>
      </c>
      <c r="L297" s="25" t="s">
        <v>220</v>
      </c>
      <c r="M297" s="25" t="s">
        <v>64</v>
      </c>
      <c r="N297" s="26" t="str">
        <f>IF(O297="","",LEN(O297)-LEN(SUBSTITUTE(O297,"/",""))+IF(ISNUMBER(SEARCH("@",O297)),0,1))</f>
        <v>4</v>
      </c>
      <c r="O297" s="19" t="s">
        <v>1459</v>
      </c>
      <c r="P297" s="20"/>
      <c r="Q297" s="20"/>
      <c r="R297" s="20"/>
      <c r="S297" s="25" t="s">
        <v>681</v>
      </c>
      <c r="T297" s="20"/>
      <c r="U297" s="20" t="s">
        <v>682</v>
      </c>
      <c r="V297" s="25" t="s">
        <v>222</v>
      </c>
      <c r="W297" s="20" t="str">
        <f>IF(ISBLANK(O297),"是","否")</f>
        <v>否</v>
      </c>
      <c r="X297" s="20"/>
      <c r="Y297" s="25"/>
      <c r="Z297" s="25"/>
      <c r="AC297" s="20" t="s">
        <v>76</v>
      </c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</row>
    <row r="298" ht="39.879699248120296" customHeight="1" spans="1:52" x14ac:dyDescent="0.25">
      <c r="A298" s="19" t="s">
        <v>328</v>
      </c>
      <c r="B298" s="20" t="s">
        <v>57</v>
      </c>
      <c r="C298" s="21"/>
      <c r="D298" s="22"/>
      <c r="E298" s="21" t="s">
        <v>1460</v>
      </c>
      <c r="F298" s="29" t="s">
        <v>1461</v>
      </c>
      <c r="G298" s="20" t="str">
        <f>SUBSTITUTE(SUBSTITUTE(SUBSTITUTE(O298,"/@","_"),"/cac:","_"),"/cbc:","_")</f>
        <v>Invoice_InvoiceLine_Item_OriginCountry_IdentificationCode</v>
      </c>
      <c r="H298" s="19" t="s">
        <v>1462</v>
      </c>
      <c r="I298" s="25" t="s">
        <v>1463</v>
      </c>
      <c r="J298" s="25" t="s">
        <v>1464</v>
      </c>
      <c r="K298" s="25" t="s">
        <v>1465</v>
      </c>
      <c r="L298" s="25" t="s">
        <v>243</v>
      </c>
      <c r="M298" s="25" t="s">
        <v>64</v>
      </c>
      <c r="N298" s="26" t="str">
        <f>IF(O298="","",LEN(O298)-LEN(SUBSTITUTE(O298,"/",""))+IF(ISNUMBER(SEARCH("@",O298)),0,1))</f>
        <v>5</v>
      </c>
      <c r="O298" s="19" t="s">
        <v>1466</v>
      </c>
      <c r="P298" s="20"/>
      <c r="Q298" s="20"/>
      <c r="R298" s="20"/>
      <c r="S298" s="25" t="s">
        <v>773</v>
      </c>
      <c r="T298" s="20"/>
      <c r="U298" s="20" t="s">
        <v>682</v>
      </c>
      <c r="V298" s="25" t="s">
        <v>68</v>
      </c>
      <c r="W298" s="20" t="str">
        <f>IF(ISBLANK(O298),"是","否")</f>
        <v>否</v>
      </c>
      <c r="X298" s="20"/>
      <c r="Y298" s="25"/>
      <c r="Z298" s="25"/>
      <c r="AC298" s="20" t="s">
        <v>76</v>
      </c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</row>
    <row r="299" ht="60.45112781954887" customHeight="1" spans="1:52" x14ac:dyDescent="0.25">
      <c r="A299" s="19" t="s">
        <v>1357</v>
      </c>
      <c r="B299" s="20" t="s">
        <v>57</v>
      </c>
      <c r="C299" s="21"/>
      <c r="D299" s="22"/>
      <c r="E299" s="21" t="s">
        <v>1467</v>
      </c>
      <c r="F299" s="29" t="s">
        <v>1468</v>
      </c>
      <c r="G299" s="20" t="str">
        <f>SUBSTITUTE(SUBSTITUTE(SUBSTITUTE(O299,"/@","_"),"/cac:","_"),"/cbc:","_")</f>
        <v>Invoice_InvoiceLine_Item_CommodityClassification</v>
      </c>
      <c r="H299" s="19" t="s">
        <v>1469</v>
      </c>
      <c r="I299" s="25" t="s">
        <v>1470</v>
      </c>
      <c r="J299" s="25" t="s">
        <v>1471</v>
      </c>
      <c r="K299" s="25" t="s">
        <v>1472</v>
      </c>
      <c r="L299" s="25" t="s">
        <v>220</v>
      </c>
      <c r="M299" s="25" t="s">
        <v>49</v>
      </c>
      <c r="N299" s="26" t="str">
        <f>IF(O299="","",LEN(O299)-LEN(SUBSTITUTE(O299,"/",""))+IF(ISNUMBER(SEARCH("@",O299)),0,1))</f>
        <v>4</v>
      </c>
      <c r="O299" s="19" t="s">
        <v>1473</v>
      </c>
      <c r="P299" s="20"/>
      <c r="Q299" s="20"/>
      <c r="R299" s="20"/>
      <c r="S299" s="25" t="s">
        <v>681</v>
      </c>
      <c r="T299" s="20"/>
      <c r="U299" s="20" t="s">
        <v>682</v>
      </c>
      <c r="V299" s="25" t="s">
        <v>222</v>
      </c>
      <c r="W299" s="20" t="str">
        <f>IF(ISBLANK(O299),"是","否")</f>
        <v>否</v>
      </c>
      <c r="X299" s="20"/>
      <c r="Y299" s="25"/>
      <c r="Z299" s="25"/>
      <c r="AC299" s="20" t="s">
        <v>76</v>
      </c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</row>
    <row r="300" ht="50.16541353383458" customHeight="1" spans="1:52" x14ac:dyDescent="0.25">
      <c r="A300" s="19" t="s">
        <v>1474</v>
      </c>
      <c r="B300" s="20" t="s">
        <v>57</v>
      </c>
      <c r="C300" s="21"/>
      <c r="D300" s="22"/>
      <c r="E300" s="21" t="s">
        <v>1475</v>
      </c>
      <c r="F300" s="29" t="s">
        <v>1476</v>
      </c>
      <c r="G300" s="20" t="str">
        <f>SUBSTITUTE(SUBSTITUTE(SUBSTITUTE(O300,"/@","_"),"/cac:","_"),"/cbc:","_")</f>
        <v>Invoice_InvoiceLine_Item_CommodityClassification_ItemClassificationCode</v>
      </c>
      <c r="H300" s="19" t="s">
        <v>1477</v>
      </c>
      <c r="I300" s="25" t="s">
        <v>1478</v>
      </c>
      <c r="J300" s="25" t="s">
        <v>1479</v>
      </c>
      <c r="K300" s="25" t="s">
        <v>1480</v>
      </c>
      <c r="L300" s="25" t="s">
        <v>228</v>
      </c>
      <c r="M300" s="25" t="s">
        <v>64</v>
      </c>
      <c r="N300" s="26" t="str">
        <f>IF(O300="","",LEN(O300)-LEN(SUBSTITUTE(O300,"/",""))+IF(ISNUMBER(SEARCH("@",O300)),0,1))</f>
        <v>5</v>
      </c>
      <c r="O300" s="19" t="s">
        <v>1481</v>
      </c>
      <c r="P300" s="20"/>
      <c r="Q300" s="20"/>
      <c r="R300" s="20"/>
      <c r="S300" s="25">
        <v>1090100000000000000</v>
      </c>
      <c r="T300" s="20"/>
      <c r="U300" s="20" t="s">
        <v>682</v>
      </c>
      <c r="V300" s="25" t="s">
        <v>68</v>
      </c>
      <c r="W300" s="20" t="str">
        <f>IF(ISBLANK(O300),"是","否")</f>
        <v>否</v>
      </c>
      <c r="X300" s="20"/>
      <c r="Y300" s="25"/>
      <c r="Z300" s="25"/>
      <c r="AC300" s="20" t="s">
        <v>76</v>
      </c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</row>
    <row r="301" ht="50.16541353383458" customHeight="1" spans="1:52" x14ac:dyDescent="0.25">
      <c r="A301" s="19" t="s">
        <v>1474</v>
      </c>
      <c r="B301" s="20" t="s">
        <v>57</v>
      </c>
      <c r="C301" s="21"/>
      <c r="D301" s="22"/>
      <c r="E301" s="21" t="s">
        <v>1482</v>
      </c>
      <c r="F301" s="29" t="s">
        <v>1483</v>
      </c>
      <c r="G301" s="20" t="str">
        <f>SUBSTITUTE(SUBSTITUTE(SUBSTITUTE(O301,"/@","_"),"/cac:","_"),"/cbc:","_")</f>
        <v>Invoice_InvoiceLine_Item_CommodityClassification_ItemClassificationCode_listID</v>
      </c>
      <c r="H301" s="19" t="s">
        <v>1484</v>
      </c>
      <c r="I301" s="25" t="s">
        <v>1485</v>
      </c>
      <c r="J301" s="25" t="s">
        <v>1486</v>
      </c>
      <c r="K301" s="25" t="s">
        <v>1487</v>
      </c>
      <c r="L301" s="25" t="s">
        <v>228</v>
      </c>
      <c r="M301" s="25" t="s">
        <v>64</v>
      </c>
      <c r="N301" s="26" t="str">
        <f>IF(O301="","",LEN(O301)-LEN(SUBSTITUTE(O301,"/",""))+IF(ISNUMBER(SEARCH("@",O301)),0,1))</f>
        <v>5</v>
      </c>
      <c r="O301" s="19" t="s">
        <v>1488</v>
      </c>
      <c r="P301" s="20"/>
      <c r="Q301" s="20"/>
      <c r="R301" s="20"/>
      <c r="S301" s="25" t="s">
        <v>1489</v>
      </c>
      <c r="T301" s="20"/>
      <c r="U301" s="20" t="s">
        <v>682</v>
      </c>
      <c r="V301" s="25" t="s">
        <v>68</v>
      </c>
      <c r="W301" s="20" t="str">
        <f>IF(ISBLANK(O301),"是","否")</f>
        <v>否</v>
      </c>
      <c r="X301" s="20"/>
      <c r="Y301" s="25"/>
      <c r="Z301" s="25"/>
      <c r="AC301" s="20" t="s">
        <v>76</v>
      </c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</row>
    <row r="302" ht="60.45112781954887" customHeight="1" spans="1:52" x14ac:dyDescent="0.25">
      <c r="A302" s="19" t="s">
        <v>1474</v>
      </c>
      <c r="B302" s="20" t="s">
        <v>57</v>
      </c>
      <c r="C302" s="21"/>
      <c r="D302" s="22"/>
      <c r="E302" s="21" t="s">
        <v>1490</v>
      </c>
      <c r="F302" s="29" t="s">
        <v>1491</v>
      </c>
      <c r="G302" s="20" t="str">
        <f>SUBSTITUTE(SUBSTITUTE(SUBSTITUTE(O302,"/@","_"),"/cac:","_"),"/cbc:","_")</f>
        <v>Invoice_InvoiceLine_Item_CommodityClassification_ItemClassificationCode_listVersionID</v>
      </c>
      <c r="H302" s="19" t="s">
        <v>1492</v>
      </c>
      <c r="I302" s="25" t="s">
        <v>1493</v>
      </c>
      <c r="J302" s="25" t="s">
        <v>1494</v>
      </c>
      <c r="K302" s="25" t="s">
        <v>1495</v>
      </c>
      <c r="L302" s="25" t="s">
        <v>228</v>
      </c>
      <c r="M302" s="25" t="s">
        <v>64</v>
      </c>
      <c r="N302" s="26" t="str">
        <f>IF(O302="","",LEN(O302)-LEN(SUBSTITUTE(O302,"/",""))+IF(ISNUMBER(SEARCH("@",O302)),0,1))</f>
        <v>5</v>
      </c>
      <c r="O302" s="19" t="s">
        <v>1496</v>
      </c>
      <c r="P302" s="20"/>
      <c r="Q302" s="20"/>
      <c r="R302" s="20"/>
      <c r="S302" s="25">
        <v>35</v>
      </c>
      <c r="T302" s="20"/>
      <c r="U302" s="20" t="s">
        <v>682</v>
      </c>
      <c r="V302" s="25" t="s">
        <v>68</v>
      </c>
      <c r="W302" s="20" t="str">
        <f>IF(ISBLANK(O302),"是","否")</f>
        <v>否</v>
      </c>
      <c r="X302" s="20"/>
      <c r="Y302" s="25"/>
      <c r="Z302" s="25"/>
      <c r="AC302" s="20" t="s">
        <v>76</v>
      </c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</row>
    <row r="303" ht="29.59398496240601" customHeight="1" spans="1:52" x14ac:dyDescent="0.25">
      <c r="A303" s="19" t="s">
        <v>1357</v>
      </c>
      <c r="B303" s="20" t="s">
        <v>57</v>
      </c>
      <c r="C303" s="21"/>
      <c r="D303" s="22"/>
      <c r="E303" s="21" t="s">
        <v>1497</v>
      </c>
      <c r="F303" s="29" t="s">
        <v>1498</v>
      </c>
      <c r="G303" s="20" t="str">
        <f>SUBSTITUTE(SUBSTITUTE(SUBSTITUTE(O303,"/@","_"),"/cac:","_"),"/cbc:","_")</f>
        <v>Invoice_InvoiceLine_Item_ClassifiedTaxCategory</v>
      </c>
      <c r="H303" s="19" t="s">
        <v>1499</v>
      </c>
      <c r="I303" s="25" t="s">
        <v>1500</v>
      </c>
      <c r="J303" s="25" t="s">
        <v>1501</v>
      </c>
      <c r="K303" s="25" t="s">
        <v>1502</v>
      </c>
      <c r="L303" s="25" t="s">
        <v>220</v>
      </c>
      <c r="M303" s="25" t="s">
        <v>49</v>
      </c>
      <c r="N303" s="26" t="str">
        <f>IF(O303="","",LEN(O303)-LEN(SUBSTITUTE(O303,"/",""))+IF(ISNUMBER(SEARCH("@",O303)),0,1))</f>
        <v>4</v>
      </c>
      <c r="O303" s="19" t="s">
        <v>1503</v>
      </c>
      <c r="P303" s="20"/>
      <c r="Q303" s="20"/>
      <c r="R303" s="20"/>
      <c r="S303" s="25" t="s">
        <v>681</v>
      </c>
      <c r="T303" s="20"/>
      <c r="U303" s="20" t="s">
        <v>682</v>
      </c>
      <c r="V303" s="25" t="s">
        <v>222</v>
      </c>
      <c r="W303" s="20" t="str">
        <f>IF(ISBLANK(O303),"是","否")</f>
        <v>否</v>
      </c>
      <c r="X303" s="20"/>
      <c r="Y303" s="25"/>
      <c r="Z303" s="25"/>
      <c r="AC303" s="20" t="s">
        <v>76</v>
      </c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</row>
    <row r="304" ht="29.59398496240601" customHeight="1" spans="1:52" x14ac:dyDescent="0.25">
      <c r="A304" s="19" t="s">
        <v>1071</v>
      </c>
      <c r="B304" s="20" t="s">
        <v>57</v>
      </c>
      <c r="C304" s="21"/>
      <c r="D304" s="22"/>
      <c r="E304" s="21" t="s">
        <v>1504</v>
      </c>
      <c r="F304" s="29" t="s">
        <v>1505</v>
      </c>
      <c r="G304" s="20" t="str">
        <f>SUBSTITUTE(SUBSTITUTE(SUBSTITUTE(O304,"/@","_"),"/cac:","_"),"/cbc:","_")</f>
        <v>Invoice_InvoiceLine_Item_ClassifiedTaxCategory_ID</v>
      </c>
      <c r="H304" s="19" t="s">
        <v>1074</v>
      </c>
      <c r="I304" s="25" t="s">
        <v>1506</v>
      </c>
      <c r="J304" s="25" t="s">
        <v>1507</v>
      </c>
      <c r="K304" s="25" t="s">
        <v>1077</v>
      </c>
      <c r="L304" s="25" t="s">
        <v>243</v>
      </c>
      <c r="M304" s="25">
        <v>1</v>
      </c>
      <c r="N304" s="26" t="str">
        <f>IF(O304="","",LEN(O304)-LEN(SUBSTITUTE(O304,"/",""))+IF(ISNUMBER(SEARCH("@",O304)),0,1))</f>
        <v>5</v>
      </c>
      <c r="O304" s="19" t="s">
        <v>1508</v>
      </c>
      <c r="P304" s="20"/>
      <c r="Q304" s="20"/>
      <c r="R304" s="20"/>
      <c r="S304" s="25" t="s">
        <v>1079</v>
      </c>
      <c r="T304" s="20"/>
      <c r="U304" s="20" t="s">
        <v>682</v>
      </c>
      <c r="V304" s="25" t="s">
        <v>68</v>
      </c>
      <c r="W304" s="20" t="str">
        <f>IF(ISBLANK(O304),"是","否")</f>
        <v>否</v>
      </c>
      <c r="X304" s="20"/>
      <c r="Y304" s="25"/>
      <c r="Z304" s="25"/>
      <c r="AC304" s="20" t="s">
        <v>76</v>
      </c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</row>
    <row r="305" ht="39.879699248120296" customHeight="1" spans="1:52" x14ac:dyDescent="0.25">
      <c r="A305" s="19" t="s">
        <v>1071</v>
      </c>
      <c r="B305" s="20" t="s">
        <v>57</v>
      </c>
      <c r="C305" s="21"/>
      <c r="D305" s="22"/>
      <c r="E305" s="21" t="s">
        <v>1509</v>
      </c>
      <c r="F305" s="29" t="s">
        <v>1510</v>
      </c>
      <c r="G305" s="20" t="str">
        <f>SUBSTITUTE(SUBSTITUTE(SUBSTITUTE(O305,"/@","_"),"/cac:","_"),"/cbc:","_")</f>
        <v>Invoice_InvoiceLine_Item_ClassifiedTaxCategory_ID_schemeID</v>
      </c>
      <c r="H305" s="19" t="s">
        <v>1511</v>
      </c>
      <c r="I305" s="25" t="s">
        <v>1512</v>
      </c>
      <c r="J305" s="25" t="s">
        <v>1513</v>
      </c>
      <c r="K305" s="25" t="s">
        <v>1514</v>
      </c>
      <c r="L305" s="25" t="s">
        <v>243</v>
      </c>
      <c r="M305" s="25" t="s">
        <v>64</v>
      </c>
      <c r="N305" s="26" t="str">
        <f>IF(O305="","",LEN(O305)-LEN(SUBSTITUTE(O305,"/",""))+IF(ISNUMBER(SEARCH("@",O305)),0,1))</f>
        <v>5</v>
      </c>
      <c r="O305" s="19" t="s">
        <v>1515</v>
      </c>
      <c r="P305" s="20"/>
      <c r="Q305" s="20"/>
      <c r="R305" s="20"/>
      <c r="S305" s="25" t="s">
        <v>1516</v>
      </c>
      <c r="T305" s="20"/>
      <c r="U305" s="20" t="s">
        <v>682</v>
      </c>
      <c r="V305" s="25" t="s">
        <v>68</v>
      </c>
      <c r="W305" s="20" t="str">
        <f>IF(ISBLANK(O305),"是","否")</f>
        <v>否</v>
      </c>
      <c r="X305" s="20"/>
      <c r="Y305" s="25"/>
      <c r="Z305" s="25"/>
      <c r="AC305" s="20" t="s">
        <v>76</v>
      </c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</row>
    <row r="306" ht="39.879699248120296" customHeight="1" spans="1:52" x14ac:dyDescent="0.25">
      <c r="A306" s="19" t="s">
        <v>1071</v>
      </c>
      <c r="B306" s="20" t="s">
        <v>57</v>
      </c>
      <c r="C306" s="21"/>
      <c r="D306" s="22"/>
      <c r="E306" s="21" t="s">
        <v>1517</v>
      </c>
      <c r="F306" s="29" t="s">
        <v>1518</v>
      </c>
      <c r="G306" s="20" t="str">
        <f>SUBSTITUTE(SUBSTITUTE(SUBSTITUTE(O306,"/@","_"),"/cac:","_"),"/cbc:","_")</f>
        <v>Invoice_InvoiceLine_Item_ClassifiedTaxCategory_Percent</v>
      </c>
      <c r="H306" s="19" t="s">
        <v>1082</v>
      </c>
      <c r="I306" s="25" t="s">
        <v>1519</v>
      </c>
      <c r="J306" s="25" t="s">
        <v>1520</v>
      </c>
      <c r="K306" s="25" t="s">
        <v>1242</v>
      </c>
      <c r="L306" s="25" t="s">
        <v>1000</v>
      </c>
      <c r="M306" s="25" t="s">
        <v>64</v>
      </c>
      <c r="N306" s="26" t="str">
        <f>IF(O306="","",LEN(O306)-LEN(SUBSTITUTE(O306,"/",""))+IF(ISNUMBER(SEARCH("@",O306)),0,1))</f>
        <v>5</v>
      </c>
      <c r="O306" s="19" t="s">
        <v>1521</v>
      </c>
      <c r="P306" s="20"/>
      <c r="Q306" s="20"/>
      <c r="R306" s="20"/>
      <c r="S306" s="25">
        <v>13</v>
      </c>
      <c r="T306" s="20"/>
      <c r="U306" s="20" t="s">
        <v>682</v>
      </c>
      <c r="V306" s="25" t="s">
        <v>68</v>
      </c>
      <c r="W306" s="20" t="str">
        <f>IF(ISBLANK(O306),"是","否")</f>
        <v>否</v>
      </c>
      <c r="X306" s="20"/>
      <c r="Y306" s="25"/>
      <c r="Z306" s="25"/>
      <c r="AC306" s="20" t="s">
        <v>76</v>
      </c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</row>
    <row r="307" ht="50.16541353383458" customHeight="1" spans="1:52" x14ac:dyDescent="0.25">
      <c r="A307" s="19" t="s">
        <v>1071</v>
      </c>
      <c r="B307" s="20" t="s">
        <v>57</v>
      </c>
      <c r="C307" s="21"/>
      <c r="D307" s="22"/>
      <c r="E307" s="21" t="s">
        <v>1522</v>
      </c>
      <c r="F307" s="29" t="s">
        <v>1523</v>
      </c>
      <c r="G307" s="20" t="str">
        <f>SUBSTITUTE(SUBSTITUTE(SUBSTITUTE(O307,"/@","_"),"/cac:","_"),"/cbc:","_")</f>
        <v>Invoice_InvoiceLine_Item_ClassifiedTaxCategory_TaxExemptionReasonCode</v>
      </c>
      <c r="H307" s="19" t="s">
        <v>1090</v>
      </c>
      <c r="I307" s="25" t="s">
        <v>1091</v>
      </c>
      <c r="J307" s="25" t="s">
        <v>1246</v>
      </c>
      <c r="K307" s="25" t="s">
        <v>1524</v>
      </c>
      <c r="L307" s="25" t="s">
        <v>243</v>
      </c>
      <c r="M307" s="25" t="s">
        <v>64</v>
      </c>
      <c r="N307" s="26" t="str">
        <f>IF(O307="","",LEN(O307)-LEN(SUBSTITUTE(O307,"/",""))+IF(ISNUMBER(SEARCH("@",O307)),0,1))</f>
        <v>5</v>
      </c>
      <c r="O307" s="19" t="s">
        <v>1525</v>
      </c>
      <c r="P307" s="20"/>
      <c r="Q307" s="20"/>
      <c r="R307" s="20"/>
      <c r="S307" s="25" t="s">
        <v>1095</v>
      </c>
      <c r="T307" s="20"/>
      <c r="U307" s="20" t="s">
        <v>682</v>
      </c>
      <c r="V307" s="25" t="s">
        <v>68</v>
      </c>
      <c r="W307" s="20" t="str">
        <f>IF(ISBLANK(O307),"是","否")</f>
        <v>否</v>
      </c>
      <c r="X307" s="20"/>
      <c r="Y307" s="25"/>
      <c r="Z307" s="25"/>
      <c r="AC307" s="20" t="s">
        <v>76</v>
      </c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</row>
    <row r="308" ht="39.879699248120296" customHeight="1" spans="1:52" x14ac:dyDescent="0.25">
      <c r="A308" s="19" t="s">
        <v>1071</v>
      </c>
      <c r="B308" s="20" t="s">
        <v>57</v>
      </c>
      <c r="C308" s="21"/>
      <c r="D308" s="22"/>
      <c r="E308" s="21" t="s">
        <v>1526</v>
      </c>
      <c r="F308" s="29" t="s">
        <v>1527</v>
      </c>
      <c r="G308" s="20" t="str">
        <f>SUBSTITUTE(SUBSTITUTE(SUBSTITUTE(O308,"/@","_"),"/cac:","_"),"/cbc:","_")</f>
        <v>Invoice_InvoiceLine_Item_ClassifiedTaxCategory_TaxExemptionReason</v>
      </c>
      <c r="H308" s="19" t="s">
        <v>1098</v>
      </c>
      <c r="I308" s="25" t="s">
        <v>1253</v>
      </c>
      <c r="J308" s="25" t="s">
        <v>1252</v>
      </c>
      <c r="K308" s="25" t="s">
        <v>1255</v>
      </c>
      <c r="L308" s="25" t="s">
        <v>228</v>
      </c>
      <c r="M308" s="25" t="s">
        <v>64</v>
      </c>
      <c r="N308" s="26" t="str">
        <f>IF(O308="","",LEN(O308)-LEN(SUBSTITUTE(O308,"/",""))+IF(ISNUMBER(SEARCH("@",O308)),0,1))</f>
        <v>5</v>
      </c>
      <c r="O308" s="19" t="s">
        <v>1528</v>
      </c>
      <c r="P308" s="20"/>
      <c r="Q308" s="20"/>
      <c r="R308" s="20"/>
      <c r="S308" s="25" t="s">
        <v>1257</v>
      </c>
      <c r="T308" s="20"/>
      <c r="U308" s="20" t="s">
        <v>682</v>
      </c>
      <c r="V308" s="25" t="s">
        <v>68</v>
      </c>
      <c r="W308" s="20" t="str">
        <f>IF(ISBLANK(O308),"是","否")</f>
        <v>否</v>
      </c>
      <c r="X308" s="20"/>
      <c r="Y308" s="25"/>
      <c r="Z308" s="25"/>
      <c r="AC308" s="20" t="s">
        <v>76</v>
      </c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</row>
    <row r="309" ht="39.879699248120296" customHeight="1" spans="1:52" x14ac:dyDescent="0.25">
      <c r="A309" s="19" t="s">
        <v>349</v>
      </c>
      <c r="B309" s="20" t="s">
        <v>57</v>
      </c>
      <c r="C309" s="21"/>
      <c r="D309" s="22"/>
      <c r="E309" s="21" t="s">
        <v>1529</v>
      </c>
      <c r="F309" s="29" t="s">
        <v>1530</v>
      </c>
      <c r="G309" s="20" t="str">
        <f>SUBSTITUTE(SUBSTITUTE(SUBSTITUTE(O309,"/@","_"),"/cac:","_"),"/cbc:","_")</f>
        <v>Invoice_InvoiceLine_Item_ClassifiedTaxCategory_TaxScheme_ID</v>
      </c>
      <c r="H309" s="19" t="s">
        <v>529</v>
      </c>
      <c r="I309" s="25" t="s">
        <v>1531</v>
      </c>
      <c r="J309" s="25" t="s">
        <v>1532</v>
      </c>
      <c r="K309" s="25" t="s">
        <v>1533</v>
      </c>
      <c r="L309" s="25" t="s">
        <v>243</v>
      </c>
      <c r="M309" s="25" t="s">
        <v>64</v>
      </c>
      <c r="N309" s="26" t="str">
        <f>IF(O309="","",LEN(O309)-LEN(SUBSTITUTE(O309,"/",""))+IF(ISNUMBER(SEARCH("@",O309)),0,1))</f>
        <v>6</v>
      </c>
      <c r="O309" s="19" t="s">
        <v>1534</v>
      </c>
      <c r="P309" s="20"/>
      <c r="Q309" s="20"/>
      <c r="R309" s="20"/>
      <c r="S309" s="25" t="s">
        <v>791</v>
      </c>
      <c r="T309" s="20"/>
      <c r="U309" s="20" t="s">
        <v>682</v>
      </c>
      <c r="V309" s="25" t="s">
        <v>68</v>
      </c>
      <c r="W309" s="20" t="str">
        <f>IF(ISBLANK(O309),"是","否")</f>
        <v>否</v>
      </c>
      <c r="X309" s="20"/>
      <c r="Y309" s="25"/>
      <c r="Z309" s="25"/>
      <c r="AC309" s="20" t="s">
        <v>76</v>
      </c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</row>
    <row r="310" ht="39.879699248120296" customHeight="1" spans="1:52" x14ac:dyDescent="0.25">
      <c r="A310" s="19" t="s">
        <v>1357</v>
      </c>
      <c r="B310" s="20" t="s">
        <v>57</v>
      </c>
      <c r="C310" s="21"/>
      <c r="D310" s="22"/>
      <c r="E310" s="21" t="s">
        <v>1535</v>
      </c>
      <c r="F310" s="29" t="s">
        <v>1536</v>
      </c>
      <c r="G310" s="20" t="str">
        <f>SUBSTITUTE(SUBSTITUTE(SUBSTITUTE(O310,"/@","_"),"/cac:","_"),"/cbc:","_")</f>
        <v>Invoice_InvoiceLine_Item_AdditionalItemProperty</v>
      </c>
      <c r="H310" s="19" t="s">
        <v>1537</v>
      </c>
      <c r="I310" s="25" t="s">
        <v>1538</v>
      </c>
      <c r="J310" s="25" t="s">
        <v>1539</v>
      </c>
      <c r="K310" s="25" t="s">
        <v>1540</v>
      </c>
      <c r="L310" s="25" t="s">
        <v>220</v>
      </c>
      <c r="M310" s="25" t="s">
        <v>49</v>
      </c>
      <c r="N310" s="26" t="str">
        <f>IF(O310="","",LEN(O310)-LEN(SUBSTITUTE(O310,"/",""))+IF(ISNUMBER(SEARCH("@",O310)),0,1))</f>
        <v>4</v>
      </c>
      <c r="O310" s="19" t="s">
        <v>1541</v>
      </c>
      <c r="P310" s="20"/>
      <c r="Q310" s="20"/>
      <c r="R310" s="20"/>
      <c r="S310" s="25" t="s">
        <v>681</v>
      </c>
      <c r="T310" s="20"/>
      <c r="U310" s="20" t="s">
        <v>682</v>
      </c>
      <c r="V310" s="25" t="s">
        <v>222</v>
      </c>
      <c r="W310" s="20" t="str">
        <f>IF(ISBLANK(O310),"是","否")</f>
        <v>否</v>
      </c>
      <c r="X310" s="20"/>
      <c r="Y310" s="25"/>
      <c r="Z310" s="25"/>
      <c r="AC310" s="20" t="s">
        <v>76</v>
      </c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</row>
    <row r="311" ht="29.59398496240601" customHeight="1" spans="1:52" x14ac:dyDescent="0.25">
      <c r="A311" s="19" t="s">
        <v>1542</v>
      </c>
      <c r="B311" s="20" t="s">
        <v>57</v>
      </c>
      <c r="C311" s="21"/>
      <c r="D311" s="22"/>
      <c r="E311" s="21" t="s">
        <v>1543</v>
      </c>
      <c r="F311" s="29" t="s">
        <v>1544</v>
      </c>
      <c r="G311" s="20" t="str">
        <f>SUBSTITUTE(SUBSTITUTE(SUBSTITUTE(O311,"/@","_"),"/cac:","_"),"/cbc:","_")</f>
        <v>Invoice_InvoiceLine_Item_AdditionalItemProperty_Name</v>
      </c>
      <c r="H311" s="19" t="s">
        <v>1545</v>
      </c>
      <c r="I311" s="25" t="s">
        <v>1546</v>
      </c>
      <c r="J311" s="25" t="s">
        <v>1547</v>
      </c>
      <c r="K311" s="25" t="s">
        <v>1548</v>
      </c>
      <c r="L311" s="25" t="s">
        <v>228</v>
      </c>
      <c r="M311" s="25">
        <v>1</v>
      </c>
      <c r="N311" s="26" t="str">
        <f>IF(O311="","",LEN(O311)-LEN(SUBSTITUTE(O311,"/",""))+IF(ISNUMBER(SEARCH("@",O311)),0,1))</f>
        <v>5</v>
      </c>
      <c r="O311" s="19" t="s">
        <v>1549</v>
      </c>
      <c r="P311" s="20"/>
      <c r="Q311" s="20"/>
      <c r="R311" s="20"/>
      <c r="S311" s="25" t="s">
        <v>1550</v>
      </c>
      <c r="T311" s="20"/>
      <c r="U311" s="20" t="s">
        <v>682</v>
      </c>
      <c r="V311" s="25" t="s">
        <v>68</v>
      </c>
      <c r="W311" s="20" t="str">
        <f>IF(ISBLANK(O311),"是","否")</f>
        <v>否</v>
      </c>
      <c r="X311" s="20"/>
      <c r="Y311" s="25"/>
      <c r="Z311" s="25"/>
      <c r="AC311" s="20" t="s">
        <v>76</v>
      </c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</row>
    <row r="312" ht="29.59398496240601" customHeight="1" spans="1:52" x14ac:dyDescent="0.25">
      <c r="A312" s="19" t="s">
        <v>1542</v>
      </c>
      <c r="B312" s="20" t="s">
        <v>57</v>
      </c>
      <c r="C312" s="21"/>
      <c r="D312" s="22"/>
      <c r="E312" s="21" t="s">
        <v>1551</v>
      </c>
      <c r="F312" s="29" t="s">
        <v>1552</v>
      </c>
      <c r="G312" s="20" t="str">
        <f>SUBSTITUTE(SUBSTITUTE(SUBSTITUTE(O312,"/@","_"),"/cac:","_"),"/cbc:","_")</f>
        <v>Invoice_InvoiceLine_Item_AdditionalItemProperty_Value</v>
      </c>
      <c r="H312" s="19" t="s">
        <v>1553</v>
      </c>
      <c r="I312" s="25" t="s">
        <v>1554</v>
      </c>
      <c r="J312" s="25" t="s">
        <v>1555</v>
      </c>
      <c r="K312" s="25" t="s">
        <v>1556</v>
      </c>
      <c r="L312" s="25" t="s">
        <v>228</v>
      </c>
      <c r="M312" s="25">
        <v>1</v>
      </c>
      <c r="N312" s="26" t="str">
        <f>IF(O312="","",LEN(O312)-LEN(SUBSTITUTE(O312,"/",""))+IF(ISNUMBER(SEARCH("@",O312)),0,1))</f>
        <v>5</v>
      </c>
      <c r="O312" s="19" t="s">
        <v>1557</v>
      </c>
      <c r="P312" s="20"/>
      <c r="Q312" s="20"/>
      <c r="R312" s="20"/>
      <c r="S312" s="25" t="s">
        <v>1558</v>
      </c>
      <c r="T312" s="20"/>
      <c r="U312" s="20" t="s">
        <v>682</v>
      </c>
      <c r="V312" s="25" t="s">
        <v>68</v>
      </c>
      <c r="W312" s="20" t="str">
        <f>IF(ISBLANK(O312),"是","否")</f>
        <v>否</v>
      </c>
      <c r="X312" s="20"/>
      <c r="Y312" s="25"/>
      <c r="Z312" s="25"/>
      <c r="AC312" s="20" t="s">
        <v>76</v>
      </c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</row>
    <row r="313" ht="29.59398496240601" customHeight="1" spans="1:52" x14ac:dyDescent="0.25">
      <c r="A313" s="19" t="s">
        <v>1357</v>
      </c>
      <c r="B313" s="20" t="s">
        <v>57</v>
      </c>
      <c r="C313" s="21"/>
      <c r="D313" s="22"/>
      <c r="E313" s="21" t="s">
        <v>1559</v>
      </c>
      <c r="F313" s="29" t="s">
        <v>1560</v>
      </c>
      <c r="G313" s="20" t="str">
        <f>SUBSTITUTE(SUBSTITUTE(SUBSTITUTE(O313,"/@","_"),"/cac:","_"),"/cbc:","_")</f>
        <v>Invoice_InvoiceLine_Item_ItemInstance</v>
      </c>
      <c r="H313" s="19" t="s">
        <v>1561</v>
      </c>
      <c r="I313" s="25" t="s">
        <v>1562</v>
      </c>
      <c r="J313" s="25" t="s">
        <v>1563</v>
      </c>
      <c r="K313" s="25" t="s">
        <v>1564</v>
      </c>
      <c r="L313" s="25" t="s">
        <v>220</v>
      </c>
      <c r="M313" s="25" t="s">
        <v>49</v>
      </c>
      <c r="N313" s="26" t="str">
        <f>IF(O313="","",LEN(O313)-LEN(SUBSTITUTE(O313,"/",""))+IF(ISNUMBER(SEARCH("@",O313)),0,1))</f>
        <v>4</v>
      </c>
      <c r="O313" s="19" t="s">
        <v>1565</v>
      </c>
      <c r="P313" s="20"/>
      <c r="Q313" s="20"/>
      <c r="R313" s="20"/>
      <c r="S313" s="25" t="s">
        <v>681</v>
      </c>
      <c r="T313" s="20"/>
      <c r="U313" s="20" t="s">
        <v>682</v>
      </c>
      <c r="V313" s="25" t="s">
        <v>222</v>
      </c>
      <c r="W313" s="20" t="str">
        <f>IF(ISBLANK(O313),"是","否")</f>
        <v>否</v>
      </c>
      <c r="X313" s="20"/>
      <c r="Y313" s="25"/>
      <c r="Z313" s="25"/>
      <c r="AC313" s="20" t="s">
        <v>76</v>
      </c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</row>
    <row r="314" ht="39.879699248120296" customHeight="1" spans="1:52" x14ac:dyDescent="0.25">
      <c r="A314" s="19" t="s">
        <v>1559</v>
      </c>
      <c r="B314" s="20" t="s">
        <v>57</v>
      </c>
      <c r="C314" s="21"/>
      <c r="D314" s="22"/>
      <c r="E314" s="21" t="s">
        <v>1566</v>
      </c>
      <c r="F314" s="29" t="s">
        <v>1567</v>
      </c>
      <c r="G314" s="20" t="str">
        <f>SUBSTITUTE(SUBSTITUTE(SUBSTITUTE(O314,"/@","_"),"/cac:","_"),"/cbc:","_")</f>
        <v>Invoice_InvoiceLine_Item_ItemInstance_ManufactureDate</v>
      </c>
      <c r="H314" s="19" t="s">
        <v>1568</v>
      </c>
      <c r="I314" s="25" t="s">
        <v>1569</v>
      </c>
      <c r="J314" s="25" t="s">
        <v>1570</v>
      </c>
      <c r="K314" s="25" t="s">
        <v>1571</v>
      </c>
      <c r="L314" s="25" t="s">
        <v>1016</v>
      </c>
      <c r="M314" s="25" t="s">
        <v>64</v>
      </c>
      <c r="N314" s="26" t="str">
        <f>IF(O314="","",LEN(O314)-LEN(SUBSTITUTE(O314,"/",""))+IF(ISNUMBER(SEARCH("@",O314)),0,1))</f>
        <v>5</v>
      </c>
      <c r="O314" s="19" t="s">
        <v>1572</v>
      </c>
      <c r="P314" s="20"/>
      <c r="Q314" s="20"/>
      <c r="R314" s="20"/>
      <c r="S314" s="20" t="s">
        <v>1573</v>
      </c>
      <c r="T314" s="20"/>
      <c r="U314" s="20" t="s">
        <v>682</v>
      </c>
      <c r="V314" s="25" t="s">
        <v>68</v>
      </c>
      <c r="W314" s="20" t="str">
        <f>IF(ISBLANK(O314),"是","否")</f>
        <v>否</v>
      </c>
      <c r="X314" s="20"/>
      <c r="Y314" s="25"/>
      <c r="Z314" s="25"/>
      <c r="AC314" s="20" t="s">
        <v>76</v>
      </c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</row>
    <row r="315" ht="29.59398496240601" customHeight="1" spans="1:52" x14ac:dyDescent="0.25">
      <c r="A315" s="19" t="s">
        <v>1559</v>
      </c>
      <c r="B315" s="20" t="s">
        <v>57</v>
      </c>
      <c r="C315" s="21"/>
      <c r="D315" s="22"/>
      <c r="E315" s="21" t="s">
        <v>1574</v>
      </c>
      <c r="F315" s="29" t="s">
        <v>1575</v>
      </c>
      <c r="G315" s="20" t="str">
        <f>SUBSTITUTE(SUBSTITUTE(SUBSTITUTE(O315,"/@","_"),"/cac:","_"),"/cbc:","_")</f>
        <v>Invoice_InvoiceLine_Item_ItemInstance_BestBeforeDate</v>
      </c>
      <c r="H315" s="19" t="s">
        <v>1576</v>
      </c>
      <c r="I315" s="25" t="s">
        <v>1577</v>
      </c>
      <c r="J315" s="25" t="s">
        <v>1578</v>
      </c>
      <c r="K315" s="25" t="s">
        <v>1571</v>
      </c>
      <c r="L315" s="25" t="s">
        <v>1016</v>
      </c>
      <c r="M315" s="25" t="s">
        <v>64</v>
      </c>
      <c r="N315" s="26" t="str">
        <f>IF(O315="","",LEN(O315)-LEN(SUBSTITUTE(O315,"/",""))+IF(ISNUMBER(SEARCH("@",O315)),0,1))</f>
        <v>5</v>
      </c>
      <c r="O315" s="19" t="s">
        <v>1579</v>
      </c>
      <c r="P315" s="20"/>
      <c r="Q315" s="20"/>
      <c r="R315" s="20"/>
      <c r="S315" s="20" t="s">
        <v>1580</v>
      </c>
      <c r="T315" s="20"/>
      <c r="U315" s="20" t="s">
        <v>682</v>
      </c>
      <c r="V315" s="25" t="s">
        <v>68</v>
      </c>
      <c r="W315" s="20" t="str">
        <f>IF(ISBLANK(O315),"是","否")</f>
        <v>否</v>
      </c>
      <c r="X315" s="20"/>
      <c r="Y315" s="25"/>
      <c r="Z315" s="25"/>
      <c r="AC315" s="20" t="s">
        <v>76</v>
      </c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</row>
    <row r="316" ht="29.59398496240601" customHeight="1" spans="1:52" x14ac:dyDescent="0.25">
      <c r="A316" s="19" t="s">
        <v>1559</v>
      </c>
      <c r="B316" s="20" t="s">
        <v>57</v>
      </c>
      <c r="C316" s="21"/>
      <c r="D316" s="22"/>
      <c r="E316" s="21" t="s">
        <v>1581</v>
      </c>
      <c r="F316" s="29" t="s">
        <v>1582</v>
      </c>
      <c r="G316" s="20" t="str">
        <f>SUBSTITUTE(SUBSTITUTE(SUBSTITUTE(O316,"/@","_"),"/cac:","_"),"/cbc:","_")</f>
        <v>Invoice_InvoiceLine_Item_ItemInstance_SerialID</v>
      </c>
      <c r="H316" s="19" t="s">
        <v>1583</v>
      </c>
      <c r="I316" s="25" t="s">
        <v>1584</v>
      </c>
      <c r="J316" s="25" t="s">
        <v>1585</v>
      </c>
      <c r="K316" s="25" t="s">
        <v>1586</v>
      </c>
      <c r="L316" s="25" t="s">
        <v>228</v>
      </c>
      <c r="M316" s="25" t="s">
        <v>64</v>
      </c>
      <c r="N316" s="26" t="str">
        <f>IF(O316="","",LEN(O316)-LEN(SUBSTITUTE(O316,"/",""))+IF(ISNUMBER(SEARCH("@",O316)),0,1))</f>
        <v>5</v>
      </c>
      <c r="O316" s="19" t="s">
        <v>1587</v>
      </c>
      <c r="P316" s="20"/>
      <c r="Q316" s="20"/>
      <c r="R316" s="20"/>
      <c r="S316" s="25" t="s">
        <v>1588</v>
      </c>
      <c r="T316" s="20"/>
      <c r="U316" s="20" t="s">
        <v>682</v>
      </c>
      <c r="V316" s="25" t="s">
        <v>68</v>
      </c>
      <c r="W316" s="20" t="str">
        <f>IF(ISBLANK(O316),"是","否")</f>
        <v>否</v>
      </c>
      <c r="X316" s="20"/>
      <c r="Y316" s="25"/>
      <c r="Z316" s="25"/>
      <c r="AC316" s="20" t="s">
        <v>76</v>
      </c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</row>
    <row r="317" ht="39.879699248120296" customHeight="1" spans="1:52" x14ac:dyDescent="0.25">
      <c r="A317" s="19" t="s">
        <v>1589</v>
      </c>
      <c r="B317" s="20" t="s">
        <v>57</v>
      </c>
      <c r="C317" s="21"/>
      <c r="D317" s="22"/>
      <c r="E317" s="21" t="s">
        <v>1590</v>
      </c>
      <c r="F317" s="29" t="s">
        <v>1591</v>
      </c>
      <c r="G317" s="20" t="str">
        <f>SUBSTITUTE(SUBSTITUTE(SUBSTITUTE(O317,"/@","_"),"/cac:","_"),"/cbc:","_")</f>
        <v>Invoice_InvoiceLine_Item_ItemInstance_LotIdentification_LotNumberID</v>
      </c>
      <c r="H317" s="19" t="s">
        <v>1592</v>
      </c>
      <c r="I317" s="25" t="s">
        <v>1593</v>
      </c>
      <c r="J317" s="25" t="s">
        <v>1594</v>
      </c>
      <c r="K317" s="25" t="s">
        <v>1595</v>
      </c>
      <c r="L317" s="25" t="s">
        <v>228</v>
      </c>
      <c r="M317" s="25" t="s">
        <v>64</v>
      </c>
      <c r="N317" s="26" t="str">
        <f>IF(O317="","",LEN(O317)-LEN(SUBSTITUTE(O317,"/",""))+IF(ISNUMBER(SEARCH("@",O317)),0,1))</f>
        <v>6</v>
      </c>
      <c r="O317" s="19" t="s">
        <v>1596</v>
      </c>
      <c r="P317" s="20"/>
      <c r="Q317" s="20"/>
      <c r="R317" s="20"/>
      <c r="S317" s="25" t="s">
        <v>1597</v>
      </c>
      <c r="T317" s="20"/>
      <c r="U317" s="20" t="s">
        <v>682</v>
      </c>
      <c r="V317" s="25" t="s">
        <v>68</v>
      </c>
      <c r="W317" s="20" t="str">
        <f>IF(ISBLANK(O317),"是","否")</f>
        <v>否</v>
      </c>
      <c r="X317" s="20"/>
      <c r="Y317" s="25"/>
      <c r="Z317" s="25"/>
      <c r="AC317" s="20" t="s">
        <v>76</v>
      </c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</row>
    <row r="318" ht="39.879699248120296" customHeight="1" spans="1:52" x14ac:dyDescent="0.25">
      <c r="A318" s="19" t="s">
        <v>1589</v>
      </c>
      <c r="B318" s="20" t="s">
        <v>57</v>
      </c>
      <c r="C318" s="21"/>
      <c r="D318" s="22"/>
      <c r="E318" s="21" t="s">
        <v>1598</v>
      </c>
      <c r="F318" s="29" t="s">
        <v>1599</v>
      </c>
      <c r="G318" s="20" t="str">
        <f>SUBSTITUTE(SUBSTITUTE(SUBSTITUTE(O318,"/@","_"),"/cac:","_"),"/cbc:","_")</f>
        <v>Invoice_InvoiceLine_Item_ItemInstance_LotIdentification_ExpiryDate</v>
      </c>
      <c r="H318" s="19" t="s">
        <v>1600</v>
      </c>
      <c r="I318" s="25" t="s">
        <v>1601</v>
      </c>
      <c r="J318" s="25" t="s">
        <v>1602</v>
      </c>
      <c r="K318" s="25" t="s">
        <v>1571</v>
      </c>
      <c r="L318" s="25" t="s">
        <v>1016</v>
      </c>
      <c r="M318" s="25" t="s">
        <v>64</v>
      </c>
      <c r="N318" s="26" t="str">
        <f>IF(O318="","",LEN(O318)-LEN(SUBSTITUTE(O318,"/",""))+IF(ISNUMBER(SEARCH("@",O318)),0,1))</f>
        <v>6</v>
      </c>
      <c r="O318" s="19" t="s">
        <v>1603</v>
      </c>
      <c r="P318" s="20"/>
      <c r="Q318" s="20"/>
      <c r="R318" s="20"/>
      <c r="S318" s="20" t="s">
        <v>1604</v>
      </c>
      <c r="T318" s="20"/>
      <c r="U318" s="20" t="s">
        <v>682</v>
      </c>
      <c r="V318" s="25" t="s">
        <v>68</v>
      </c>
      <c r="W318" s="20" t="str">
        <f>IF(ISBLANK(O318),"是","否")</f>
        <v>否</v>
      </c>
      <c r="X318" s="20"/>
      <c r="Y318" s="25"/>
      <c r="Z318" s="25"/>
      <c r="AC318" s="20" t="s">
        <v>76</v>
      </c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</row>
    <row r="319" ht="19.308270676691727" customHeight="1" spans="1:52" x14ac:dyDescent="0.25">
      <c r="A319" s="19" t="s">
        <v>1306</v>
      </c>
      <c r="B319" s="20" t="s">
        <v>57</v>
      </c>
      <c r="C319" s="21"/>
      <c r="D319" s="22"/>
      <c r="E319" s="21" t="s">
        <v>1605</v>
      </c>
      <c r="F319" s="29" t="s">
        <v>1606</v>
      </c>
      <c r="G319" s="20" t="str">
        <f>SUBSTITUTE(SUBSTITUTE(SUBSTITUTE(O319,"/@","_"),"/cac:","_"),"/cbc:","_")</f>
        <v>Invoice_InvoiceLine_Price</v>
      </c>
      <c r="H319" s="19" t="s">
        <v>1607</v>
      </c>
      <c r="I319" s="25" t="s">
        <v>1608</v>
      </c>
      <c r="J319" s="25" t="s">
        <v>1609</v>
      </c>
      <c r="K319" s="25" t="s">
        <v>1610</v>
      </c>
      <c r="L319" s="25" t="s">
        <v>220</v>
      </c>
      <c r="M319" s="25" t="s">
        <v>64</v>
      </c>
      <c r="N319" s="26" t="str">
        <f>IF(O319="","",LEN(O319)-LEN(SUBSTITUTE(O319,"/",""))+IF(ISNUMBER(SEARCH("@",O319)),0,1))</f>
        <v>3</v>
      </c>
      <c r="O319" s="19" t="s">
        <v>1611</v>
      </c>
      <c r="P319" s="20"/>
      <c r="Q319" s="20"/>
      <c r="R319" s="20"/>
      <c r="S319" s="25" t="s">
        <v>681</v>
      </c>
      <c r="T319" s="20"/>
      <c r="U319" s="20" t="s">
        <v>682</v>
      </c>
      <c r="V319" s="25" t="s">
        <v>222</v>
      </c>
      <c r="W319" s="20" t="str">
        <f>IF(ISBLANK(O319),"是","否")</f>
        <v>否</v>
      </c>
      <c r="X319" s="20"/>
      <c r="Y319" s="25"/>
      <c r="Z319" s="25"/>
      <c r="AC319" s="20" t="s">
        <v>76</v>
      </c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</row>
    <row r="320" ht="39.879699248120296" customHeight="1" spans="1:52" x14ac:dyDescent="0.25">
      <c r="A320" s="19" t="s">
        <v>1605</v>
      </c>
      <c r="B320" s="20" t="s">
        <v>57</v>
      </c>
      <c r="C320" s="21"/>
      <c r="D320" s="22"/>
      <c r="E320" s="21" t="s">
        <v>1612</v>
      </c>
      <c r="F320" s="29" t="s">
        <v>1613</v>
      </c>
      <c r="G320" s="20" t="str">
        <f>SUBSTITUTE(SUBSTITUTE(SUBSTITUTE(O320,"/@","_"),"/cac:","_"),"/cbc:","_")</f>
        <v>Invoice_InvoiceLine_Price_PriceAmount</v>
      </c>
      <c r="H320" s="19" t="s">
        <v>1614</v>
      </c>
      <c r="I320" s="25" t="s">
        <v>1615</v>
      </c>
      <c r="J320" s="25" t="s">
        <v>1616</v>
      </c>
      <c r="K320" s="25" t="s">
        <v>1617</v>
      </c>
      <c r="L320" s="25" t="s">
        <v>1000</v>
      </c>
      <c r="M320" s="25">
        <v>1</v>
      </c>
      <c r="N320" s="26" t="str">
        <f>IF(O320="","",LEN(O320)-LEN(SUBSTITUTE(O320,"/",""))+IF(ISNUMBER(SEARCH("@",O320)),0,1))</f>
        <v>4</v>
      </c>
      <c r="O320" s="19" t="s">
        <v>1618</v>
      </c>
      <c r="P320" s="20"/>
      <c r="Q320" s="20"/>
      <c r="R320" s="20"/>
      <c r="S320" s="25">
        <v>100</v>
      </c>
      <c r="T320" s="20"/>
      <c r="U320" s="20" t="s">
        <v>682</v>
      </c>
      <c r="V320" s="25" t="s">
        <v>68</v>
      </c>
      <c r="W320" s="20" t="str">
        <f>IF(ISBLANK(O320),"是","否")</f>
        <v>否</v>
      </c>
      <c r="X320" s="20"/>
      <c r="Y320" s="25"/>
      <c r="Z320" s="25"/>
      <c r="AC320" s="20" t="s">
        <v>76</v>
      </c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</row>
    <row r="321" ht="29.59398496240601" customHeight="1" spans="1:52" x14ac:dyDescent="0.25">
      <c r="A321" s="19" t="s">
        <v>1605</v>
      </c>
      <c r="B321" s="20" t="s">
        <v>57</v>
      </c>
      <c r="C321" s="21"/>
      <c r="D321" s="22"/>
      <c r="E321" s="21" t="s">
        <v>1619</v>
      </c>
      <c r="F321" s="29" t="s">
        <v>1620</v>
      </c>
      <c r="G321" s="20" t="str">
        <f>SUBSTITUTE(SUBSTITUTE(SUBSTITUTE(O321,"/@","_"),"/cac:","_"),"/cbc:","_")</f>
        <v>Invoice_InvoiceLine_Price_PriceAmount_currencyID</v>
      </c>
      <c r="H321" s="19" t="s">
        <v>1621</v>
      </c>
      <c r="I321" s="25" t="s">
        <v>1055</v>
      </c>
      <c r="J321" s="25" t="s">
        <v>1622</v>
      </c>
      <c r="K321" s="25" t="s">
        <v>1057</v>
      </c>
      <c r="L321" s="25" t="s">
        <v>243</v>
      </c>
      <c r="M321" s="25" t="s">
        <v>64</v>
      </c>
      <c r="N321" s="26" t="str">
        <f>IF(O321="","",LEN(O321)-LEN(SUBSTITUTE(O321,"/",""))+IF(ISNUMBER(SEARCH("@",O321)),0,1))</f>
        <v>4</v>
      </c>
      <c r="O321" s="19" t="s">
        <v>1623</v>
      </c>
      <c r="P321" s="20"/>
      <c r="Q321" s="20"/>
      <c r="R321" s="20"/>
      <c r="S321" s="25" t="s">
        <v>993</v>
      </c>
      <c r="T321" s="20"/>
      <c r="U321" s="20" t="s">
        <v>682</v>
      </c>
      <c r="V321" s="25" t="s">
        <v>68</v>
      </c>
      <c r="W321" s="20" t="str">
        <f>IF(ISBLANK(O321),"是","否")</f>
        <v>否</v>
      </c>
      <c r="X321" s="20"/>
      <c r="Y321" s="25"/>
      <c r="Z321" s="25"/>
      <c r="AC321" s="20" t="s">
        <v>76</v>
      </c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</row>
    <row r="322" ht="39.879699248120296" customHeight="1" spans="1:52" x14ac:dyDescent="0.25">
      <c r="A322" s="19" t="s">
        <v>1605</v>
      </c>
      <c r="B322" s="20" t="s">
        <v>57</v>
      </c>
      <c r="C322" s="21"/>
      <c r="D322" s="22"/>
      <c r="E322" s="21" t="s">
        <v>1624</v>
      </c>
      <c r="F322" s="29" t="s">
        <v>1625</v>
      </c>
      <c r="G322" s="20" t="str">
        <f>SUBSTITUTE(SUBSTITUTE(SUBSTITUTE(O322,"/@","_"),"/cac:","_"),"/cbc:","_")</f>
        <v>Invoice_InvoiceLine_Price_BaseQuantity</v>
      </c>
      <c r="H322" s="19" t="s">
        <v>1626</v>
      </c>
      <c r="I322" s="25" t="s">
        <v>1627</v>
      </c>
      <c r="J322" s="25" t="s">
        <v>1628</v>
      </c>
      <c r="K322" s="25" t="s">
        <v>1629</v>
      </c>
      <c r="L322" s="25" t="s">
        <v>1000</v>
      </c>
      <c r="M322" s="25" t="s">
        <v>64</v>
      </c>
      <c r="N322" s="26" t="str">
        <f>IF(O322="","",LEN(O322)-LEN(SUBSTITUTE(O322,"/",""))+IF(ISNUMBER(SEARCH("@",O322)),0,1))</f>
        <v>4</v>
      </c>
      <c r="O322" s="19" t="s">
        <v>1630</v>
      </c>
      <c r="P322" s="20"/>
      <c r="Q322" s="20"/>
      <c r="R322" s="20"/>
      <c r="S322" s="25">
        <v>1</v>
      </c>
      <c r="T322" s="20"/>
      <c r="U322" s="20" t="s">
        <v>682</v>
      </c>
      <c r="V322" s="25" t="s">
        <v>68</v>
      </c>
      <c r="W322" s="20" t="str">
        <f>IF(ISBLANK(O322),"是","否")</f>
        <v>否</v>
      </c>
      <c r="X322" s="20"/>
      <c r="Y322" s="25"/>
      <c r="Z322" s="25"/>
      <c r="AC322" s="20" t="s">
        <v>76</v>
      </c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</row>
    <row r="323" ht="29.59398496240601" customHeight="1" spans="1:52" x14ac:dyDescent="0.25">
      <c r="A323" s="19" t="s">
        <v>1605</v>
      </c>
      <c r="B323" s="20" t="s">
        <v>57</v>
      </c>
      <c r="C323" s="21"/>
      <c r="D323" s="22"/>
      <c r="E323" s="21" t="s">
        <v>1631</v>
      </c>
      <c r="F323" s="29" t="s">
        <v>1632</v>
      </c>
      <c r="G323" s="20" t="str">
        <f>SUBSTITUTE(SUBSTITUTE(SUBSTITUTE(O323,"/@","_"),"/cac:","_"),"/cbc:","_")</f>
        <v>Invoice_InvoiceLine_Price_BaseQuantity_unitCode</v>
      </c>
      <c r="H323" s="19" t="s">
        <v>1633</v>
      </c>
      <c r="I323" s="25" t="s">
        <v>1634</v>
      </c>
      <c r="J323" s="25" t="s">
        <v>1635</v>
      </c>
      <c r="K323" s="25" t="s">
        <v>1636</v>
      </c>
      <c r="L323" s="25" t="s">
        <v>243</v>
      </c>
      <c r="M323" s="25" t="s">
        <v>64</v>
      </c>
      <c r="N323" s="26" t="str">
        <f>IF(O323="","",LEN(O323)-LEN(SUBSTITUTE(O323,"/",""))+IF(ISNUMBER(SEARCH("@",O323)),0,1))</f>
        <v>4</v>
      </c>
      <c r="O323" s="19" t="s">
        <v>1637</v>
      </c>
      <c r="P323" s="20"/>
      <c r="Q323" s="20"/>
      <c r="R323" s="20"/>
      <c r="S323" s="25" t="s">
        <v>1343</v>
      </c>
      <c r="T323" s="20"/>
      <c r="U323" s="20" t="s">
        <v>682</v>
      </c>
      <c r="V323" s="25" t="s">
        <v>68</v>
      </c>
      <c r="W323" s="20" t="str">
        <f>IF(ISBLANK(O323),"是","否")</f>
        <v>否</v>
      </c>
      <c r="X323" s="20"/>
      <c r="Y323" s="25"/>
      <c r="Z323" s="25"/>
      <c r="AC323" s="20" t="s">
        <v>76</v>
      </c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</row>
    <row r="324" ht="39.879699248120296" customHeight="1" spans="1:52" x14ac:dyDescent="0.25">
      <c r="A324" s="19" t="s">
        <v>1605</v>
      </c>
      <c r="B324" s="20" t="s">
        <v>57</v>
      </c>
      <c r="C324" s="21"/>
      <c r="D324" s="22"/>
      <c r="E324" s="21" t="s">
        <v>1169</v>
      </c>
      <c r="F324" s="29" t="s">
        <v>1638</v>
      </c>
      <c r="G324" s="20" t="str">
        <f>SUBSTITUTE(SUBSTITUTE(SUBSTITUTE(O324,"/@","_"),"/cac:","_"),"/cbc:","_")</f>
        <v>Invoice_InvoiceLine_Price_AllowanceCharge</v>
      </c>
      <c r="H324" s="19" t="s">
        <v>1639</v>
      </c>
      <c r="I324" s="25" t="s">
        <v>1640</v>
      </c>
      <c r="J324" s="25" t="s">
        <v>1641</v>
      </c>
      <c r="K324" s="25" t="s">
        <v>1642</v>
      </c>
      <c r="L324" s="25" t="s">
        <v>220</v>
      </c>
      <c r="M324" s="25" t="s">
        <v>49</v>
      </c>
      <c r="N324" s="26" t="str">
        <f>IF(O324="","",LEN(O324)-LEN(SUBSTITUTE(O324,"/",""))+IF(ISNUMBER(SEARCH("@",O324)),0,1))</f>
        <v>4</v>
      </c>
      <c r="O324" s="19" t="s">
        <v>1643</v>
      </c>
      <c r="P324" s="20"/>
      <c r="Q324" s="20"/>
      <c r="R324" s="20"/>
      <c r="S324" s="25" t="s">
        <v>681</v>
      </c>
      <c r="T324" s="20"/>
      <c r="U324" s="20" t="s">
        <v>682</v>
      </c>
      <c r="V324" s="25" t="s">
        <v>222</v>
      </c>
      <c r="W324" s="20" t="str">
        <f>IF(ISBLANK(O324),"是","否")</f>
        <v>否</v>
      </c>
      <c r="X324" s="20"/>
      <c r="Y324" s="25"/>
      <c r="Z324" s="25"/>
      <c r="AC324" s="20" t="s">
        <v>76</v>
      </c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</row>
    <row r="325" ht="39.879699248120296" customHeight="1" spans="1:52" x14ac:dyDescent="0.25">
      <c r="A325" s="19" t="s">
        <v>1169</v>
      </c>
      <c r="B325" s="20" t="s">
        <v>57</v>
      </c>
      <c r="C325" s="21"/>
      <c r="D325" s="22"/>
      <c r="E325" s="21" t="s">
        <v>1644</v>
      </c>
      <c r="F325" s="29" t="s">
        <v>1645</v>
      </c>
      <c r="G325" s="20" t="str">
        <f>SUBSTITUTE(SUBSTITUTE(SUBSTITUTE(O325,"/@","_"),"/cac:","_"),"/cbc:","_")</f>
        <v>Invoice_InvoiceLine_Price_AllowanceCharge_ChargeIndicator</v>
      </c>
      <c r="H325" s="19" t="s">
        <v>1646</v>
      </c>
      <c r="I325" s="25" t="s">
        <v>1647</v>
      </c>
      <c r="J325" s="25" t="s">
        <v>1648</v>
      </c>
      <c r="K325" s="25" t="s">
        <v>1649</v>
      </c>
      <c r="L325" s="25" t="s">
        <v>1182</v>
      </c>
      <c r="M325" s="25">
        <v>1</v>
      </c>
      <c r="N325" s="26" t="str">
        <f>IF(O325="","",LEN(O325)-LEN(SUBSTITUTE(O325,"/",""))+IF(ISNUMBER(SEARCH("@",O325)),0,1))</f>
        <v>5</v>
      </c>
      <c r="O325" s="19" t="s">
        <v>1650</v>
      </c>
      <c r="P325" s="20"/>
      <c r="Q325" s="20"/>
      <c r="R325" s="20"/>
      <c r="S325" s="25" t="s">
        <v>1184</v>
      </c>
      <c r="T325" s="20"/>
      <c r="U325" s="20" t="s">
        <v>682</v>
      </c>
      <c r="V325" s="25" t="s">
        <v>68</v>
      </c>
      <c r="W325" s="20" t="str">
        <f>IF(ISBLANK(O325),"是","否")</f>
        <v>否</v>
      </c>
      <c r="X325" s="20"/>
      <c r="Y325" s="25"/>
      <c r="Z325" s="25"/>
      <c r="AC325" s="20" t="s">
        <v>76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</row>
    <row r="326" ht="29.59398496240601" customHeight="1" spans="1:52" x14ac:dyDescent="0.25">
      <c r="A326" s="19" t="s">
        <v>1169</v>
      </c>
      <c r="B326" s="20" t="s">
        <v>57</v>
      </c>
      <c r="C326" s="21"/>
      <c r="D326" s="22"/>
      <c r="E326" s="21" t="s">
        <v>1651</v>
      </c>
      <c r="F326" s="29" t="s">
        <v>1652</v>
      </c>
      <c r="G326" s="20" t="str">
        <f>SUBSTITUTE(SUBSTITUTE(SUBSTITUTE(O326,"/@","_"),"/cac:","_"),"/cbc:","_")</f>
        <v>Invoice_InvoiceLine_Price_AllowanceCharge_Amount</v>
      </c>
      <c r="H326" s="19" t="s">
        <v>1209</v>
      </c>
      <c r="I326" s="25" t="s">
        <v>1653</v>
      </c>
      <c r="J326" s="25" t="s">
        <v>1654</v>
      </c>
      <c r="K326" s="25" t="s">
        <v>1139</v>
      </c>
      <c r="L326" s="25" t="s">
        <v>1000</v>
      </c>
      <c r="M326" s="25">
        <v>1</v>
      </c>
      <c r="N326" s="26" t="str">
        <f>IF(O326="","",LEN(O326)-LEN(SUBSTITUTE(O326,"/",""))+IF(ISNUMBER(SEARCH("@",O326)),0,1))</f>
        <v>5</v>
      </c>
      <c r="O326" s="19" t="s">
        <v>1655</v>
      </c>
      <c r="P326" s="20"/>
      <c r="Q326" s="20"/>
      <c r="R326" s="20"/>
      <c r="S326" s="25">
        <v>10</v>
      </c>
      <c r="T326" s="20"/>
      <c r="U326" s="20" t="s">
        <v>682</v>
      </c>
      <c r="V326" s="25" t="s">
        <v>68</v>
      </c>
      <c r="W326" s="20" t="str">
        <f>IF(ISBLANK(O326),"是","否")</f>
        <v>否</v>
      </c>
      <c r="X326" s="20"/>
      <c r="Y326" s="25"/>
      <c r="Z326" s="25"/>
      <c r="AC326" s="20" t="s">
        <v>76</v>
      </c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</row>
    <row r="327" ht="39.879699248120296" customHeight="1" spans="1:52" x14ac:dyDescent="0.25">
      <c r="A327" s="19" t="s">
        <v>1169</v>
      </c>
      <c r="B327" s="20" t="s">
        <v>57</v>
      </c>
      <c r="C327" s="21"/>
      <c r="D327" s="22"/>
      <c r="E327" s="21" t="s">
        <v>1656</v>
      </c>
      <c r="F327" s="29" t="s">
        <v>1657</v>
      </c>
      <c r="G327" s="20" t="str">
        <f>SUBSTITUTE(SUBSTITUTE(SUBSTITUTE(O327,"/@","_"),"/cac:","_"),"/cbc:","_")</f>
        <v>Invoice_InvoiceLine_Price_AllowanceCharge_Amount_currencyID</v>
      </c>
      <c r="H327" s="19" t="s">
        <v>1217</v>
      </c>
      <c r="I327" s="25" t="s">
        <v>1658</v>
      </c>
      <c r="J327" s="25" t="s">
        <v>1659</v>
      </c>
      <c r="K327" s="25" t="s">
        <v>1660</v>
      </c>
      <c r="L327" s="25" t="s">
        <v>1661</v>
      </c>
      <c r="M327" s="25" t="s">
        <v>64</v>
      </c>
      <c r="N327" s="26" t="str">
        <f>IF(O327="","",LEN(O327)-LEN(SUBSTITUTE(O327,"/",""))+IF(ISNUMBER(SEARCH("@",O327)),0,1))</f>
        <v>5</v>
      </c>
      <c r="O327" s="26" t="s">
        <v>1662</v>
      </c>
      <c r="P327" s="20"/>
      <c r="Q327" s="20"/>
      <c r="R327" s="20"/>
      <c r="S327" s="25" t="s">
        <v>993</v>
      </c>
      <c r="T327" s="20"/>
      <c r="U327" s="25" t="s">
        <v>1663</v>
      </c>
      <c r="V327" s="25" t="s">
        <v>68</v>
      </c>
      <c r="W327" s="20" t="str">
        <f>IF(ISBLANK(O327),"是","否")</f>
        <v>否</v>
      </c>
      <c r="X327" s="20"/>
      <c r="Y327" s="25"/>
      <c r="Z327" s="25"/>
      <c r="AC327" s="20" t="s">
        <v>76</v>
      </c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</row>
    <row r="328" ht="39.879699248120296" customHeight="1" spans="1:52" x14ac:dyDescent="0.25">
      <c r="A328" s="19" t="s">
        <v>1169</v>
      </c>
      <c r="B328" s="20" t="s">
        <v>57</v>
      </c>
      <c r="C328" s="21"/>
      <c r="D328" s="22"/>
      <c r="E328" s="21" t="s">
        <v>1664</v>
      </c>
      <c r="F328" s="29" t="s">
        <v>1665</v>
      </c>
      <c r="G328" s="20" t="str">
        <f>SUBSTITUTE(SUBSTITUTE(SUBSTITUTE(O328,"/@","_"),"/cac:","_"),"/cbc:","_")</f>
        <v>Invoice_InvoiceLine_Price_AllowanceCharge_BaseAmount</v>
      </c>
      <c r="H328" s="19" t="s">
        <v>1222</v>
      </c>
      <c r="I328" s="25" t="s">
        <v>1666</v>
      </c>
      <c r="J328" s="25" t="s">
        <v>1667</v>
      </c>
      <c r="K328" s="25" t="s">
        <v>1668</v>
      </c>
      <c r="L328" s="25" t="s">
        <v>1000</v>
      </c>
      <c r="M328" s="25" t="s">
        <v>64</v>
      </c>
      <c r="N328" s="26" t="str">
        <f>IF(O328="","",LEN(O328)-LEN(SUBSTITUTE(O328,"/",""))+IF(ISNUMBER(SEARCH("@",O328)),0,1))</f>
        <v>5</v>
      </c>
      <c r="O328" s="26" t="s">
        <v>1669</v>
      </c>
      <c r="P328" s="20"/>
      <c r="Q328" s="20"/>
      <c r="R328" s="20"/>
      <c r="S328" s="25">
        <v>100</v>
      </c>
      <c r="T328" s="20"/>
      <c r="U328" s="25" t="s">
        <v>1663</v>
      </c>
      <c r="V328" s="25" t="s">
        <v>68</v>
      </c>
      <c r="W328" s="20" t="str">
        <f>IF(ISBLANK(O328),"是","否")</f>
        <v>否</v>
      </c>
      <c r="X328" s="20"/>
      <c r="Y328" s="25"/>
      <c r="Z328" s="25"/>
      <c r="AC328" s="20" t="s">
        <v>76</v>
      </c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</row>
    <row r="329" ht="39.879699248120296" customHeight="1" spans="1:52" x14ac:dyDescent="0.25">
      <c r="A329" s="19" t="s">
        <v>1169</v>
      </c>
      <c r="B329" s="20" t="s">
        <v>57</v>
      </c>
      <c r="C329" s="21"/>
      <c r="D329" s="22"/>
      <c r="E329" s="21" t="s">
        <v>1670</v>
      </c>
      <c r="F329" s="29" t="s">
        <v>1671</v>
      </c>
      <c r="G329" s="20" t="str">
        <f>SUBSTITUTE(SUBSTITUTE(SUBSTITUTE(O329,"/@","_"),"/cac:","_"),"/cbc:","_")</f>
        <v>Invoice_InvoiceLine_Price_AllowanceCharge_BaseAmount_currencyID</v>
      </c>
      <c r="H329" s="19" t="s">
        <v>1228</v>
      </c>
      <c r="I329" s="25" t="s">
        <v>1672</v>
      </c>
      <c r="J329" s="25" t="s">
        <v>1673</v>
      </c>
      <c r="K329" s="25" t="s">
        <v>1674</v>
      </c>
      <c r="L329" s="25" t="s">
        <v>1661</v>
      </c>
      <c r="M329" s="25" t="s">
        <v>64</v>
      </c>
      <c r="N329" s="26" t="str">
        <f>IF(O329="","",LEN(O329)-LEN(SUBSTITUTE(O329,"/",""))+IF(ISNUMBER(SEARCH("@",O329)),0,1))</f>
        <v>5</v>
      </c>
      <c r="O329" s="26" t="s">
        <v>1675</v>
      </c>
      <c r="P329" s="20"/>
      <c r="Q329" s="20"/>
      <c r="R329" s="20"/>
      <c r="S329" s="25" t="s">
        <v>993</v>
      </c>
      <c r="T329" s="20"/>
      <c r="U329" s="25" t="s">
        <v>1663</v>
      </c>
      <c r="V329" s="25" t="s">
        <v>68</v>
      </c>
      <c r="W329" s="20" t="str">
        <f>IF(ISBLANK(O329),"是","否")</f>
        <v>否</v>
      </c>
      <c r="X329" s="20"/>
      <c r="Y329" s="25"/>
      <c r="Z329" s="25"/>
      <c r="AC329" s="20" t="s">
        <v>76</v>
      </c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</row>
    <row r="330" ht="29.59398496240601" customHeight="1" spans="1:52" x14ac:dyDescent="0.25">
      <c r="A330" s="19" t="s">
        <v>1306</v>
      </c>
      <c r="B330" s="20" t="s">
        <v>57</v>
      </c>
      <c r="C330" s="21"/>
      <c r="D330" s="22"/>
      <c r="E330" s="21" t="s">
        <v>1169</v>
      </c>
      <c r="F330" s="29" t="s">
        <v>1676</v>
      </c>
      <c r="G330" s="20" t="str">
        <f>SUBSTITUTE(SUBSTITUTE(SUBSTITUTE(O330,"/@","_"),"/cac:","_"),"/cbc:","_")</f>
        <v>Invoice_InvoiceLine_AllowanceCharge</v>
      </c>
      <c r="H330" s="19" t="s">
        <v>1677</v>
      </c>
      <c r="I330" s="25" t="s">
        <v>1678</v>
      </c>
      <c r="J330" s="25" t="s">
        <v>1679</v>
      </c>
      <c r="K330" s="25" t="s">
        <v>1680</v>
      </c>
      <c r="L330" s="25" t="s">
        <v>220</v>
      </c>
      <c r="M330" s="25" t="s">
        <v>49</v>
      </c>
      <c r="N330" s="26" t="str">
        <f>IF(O330="","",LEN(O330)-LEN(SUBSTITUTE(O330,"/",""))+IF(ISNUMBER(SEARCH("@",O330)),0,1))</f>
        <v>3</v>
      </c>
      <c r="O330" s="26" t="s">
        <v>1681</v>
      </c>
      <c r="P330" s="20"/>
      <c r="Q330" s="20"/>
      <c r="R330" s="20"/>
      <c r="S330" s="25" t="s">
        <v>681</v>
      </c>
      <c r="T330" s="20"/>
      <c r="U330" s="25" t="s">
        <v>1663</v>
      </c>
      <c r="V330" s="25" t="s">
        <v>222</v>
      </c>
      <c r="W330" s="20" t="str">
        <f>IF(ISBLANK(O330),"是","否")</f>
        <v>否</v>
      </c>
      <c r="X330" s="20"/>
      <c r="Y330" s="25"/>
      <c r="Z330" s="25"/>
      <c r="AC330" s="20" t="s">
        <v>76</v>
      </c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</row>
    <row r="331" ht="39.879699248120296" customHeight="1" spans="1:52" x14ac:dyDescent="0.25">
      <c r="A331" s="19" t="s">
        <v>1169</v>
      </c>
      <c r="B331" s="20" t="s">
        <v>57</v>
      </c>
      <c r="C331" s="21"/>
      <c r="D331" s="22"/>
      <c r="E331" s="21" t="s">
        <v>1176</v>
      </c>
      <c r="F331" s="29" t="s">
        <v>1682</v>
      </c>
      <c r="G331" s="20" t="str">
        <f>SUBSTITUTE(SUBSTITUTE(SUBSTITUTE(O331,"/@","_"),"/cac:","_"),"/cbc:","_")</f>
        <v>Invoice_InvoiceLine_AllowanceCharge_ChargeIndicator</v>
      </c>
      <c r="H331" s="19" t="s">
        <v>1646</v>
      </c>
      <c r="I331" s="25" t="s">
        <v>1179</v>
      </c>
      <c r="J331" s="25" t="s">
        <v>1683</v>
      </c>
      <c r="K331" s="25" t="s">
        <v>1684</v>
      </c>
      <c r="L331" s="25" t="s">
        <v>1182</v>
      </c>
      <c r="M331" s="25">
        <v>1</v>
      </c>
      <c r="N331" s="26" t="str">
        <f>IF(O331="","",LEN(O331)-LEN(SUBSTITUTE(O331,"/",""))+IF(ISNUMBER(SEARCH("@",O331)),0,1))</f>
        <v>4</v>
      </c>
      <c r="O331" s="26" t="s">
        <v>1685</v>
      </c>
      <c r="P331" s="20"/>
      <c r="Q331" s="20"/>
      <c r="R331" s="20"/>
      <c r="S331" s="25"/>
      <c r="T331" s="20"/>
      <c r="U331" s="25" t="s">
        <v>1663</v>
      </c>
      <c r="V331" s="25" t="s">
        <v>68</v>
      </c>
      <c r="W331" s="20" t="str">
        <f>IF(ISBLANK(O331),"是","否")</f>
        <v>否</v>
      </c>
      <c r="X331" s="20"/>
      <c r="Y331" s="25"/>
      <c r="Z331" s="25"/>
      <c r="AC331" s="20" t="s">
        <v>76</v>
      </c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</row>
    <row r="332" ht="39.879699248120296" customHeight="1" spans="1:52" x14ac:dyDescent="0.25">
      <c r="A332" s="19" t="s">
        <v>1169</v>
      </c>
      <c r="B332" s="20" t="s">
        <v>57</v>
      </c>
      <c r="C332" s="21"/>
      <c r="D332" s="22"/>
      <c r="E332" s="21" t="s">
        <v>1185</v>
      </c>
      <c r="F332" s="29" t="s">
        <v>1686</v>
      </c>
      <c r="G332" s="20" t="str">
        <f>SUBSTITUTE(SUBSTITUTE(SUBSTITUTE(O332,"/@","_"),"/cac:","_"),"/cbc:","_")</f>
        <v>Invoice_InvoiceLine_AllowanceCharge_AllowanceChargeReasonCode</v>
      </c>
      <c r="H332" s="19" t="s">
        <v>1687</v>
      </c>
      <c r="I332" s="25" t="s">
        <v>1188</v>
      </c>
      <c r="J332" s="25" t="s">
        <v>1688</v>
      </c>
      <c r="K332" s="25" t="s">
        <v>1190</v>
      </c>
      <c r="L332" s="25" t="s">
        <v>1661</v>
      </c>
      <c r="M332" s="25" t="s">
        <v>64</v>
      </c>
      <c r="N332" s="26" t="str">
        <f>IF(O332="","",LEN(O332)-LEN(SUBSTITUTE(O332,"/",""))+IF(ISNUMBER(SEARCH("@",O332)),0,1))</f>
        <v>4</v>
      </c>
      <c r="O332" s="26" t="s">
        <v>1689</v>
      </c>
      <c r="P332" s="20"/>
      <c r="Q332" s="20"/>
      <c r="R332" s="20"/>
      <c r="S332" s="25">
        <v>95</v>
      </c>
      <c r="T332" s="20"/>
      <c r="U332" s="25" t="s">
        <v>1663</v>
      </c>
      <c r="V332" s="25" t="s">
        <v>68</v>
      </c>
      <c r="W332" s="20" t="str">
        <f>IF(ISBLANK(O332),"是","否")</f>
        <v>否</v>
      </c>
      <c r="X332" s="20"/>
      <c r="Y332" s="25"/>
      <c r="Z332" s="25"/>
      <c r="AC332" s="20" t="s">
        <v>76</v>
      </c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</row>
    <row r="333" ht="29.59398496240601" customHeight="1" spans="1:52" x14ac:dyDescent="0.25">
      <c r="A333" s="19" t="s">
        <v>1169</v>
      </c>
      <c r="B333" s="20" t="s">
        <v>57</v>
      </c>
      <c r="C333" s="21"/>
      <c r="D333" s="22"/>
      <c r="E333" s="21" t="s">
        <v>1192</v>
      </c>
      <c r="F333" s="29" t="s">
        <v>1690</v>
      </c>
      <c r="G333" s="20" t="str">
        <f>SUBSTITUTE(SUBSTITUTE(SUBSTITUTE(O333,"/@","_"),"/cac:","_"),"/cbc:","_")</f>
        <v>Invoice_InvoiceLine_AllowanceCharge_AllowanceChargeReason</v>
      </c>
      <c r="H333" s="19" t="s">
        <v>1691</v>
      </c>
      <c r="I333" s="25" t="s">
        <v>1195</v>
      </c>
      <c r="J333" s="25" t="s">
        <v>1692</v>
      </c>
      <c r="K333" s="25" t="s">
        <v>1693</v>
      </c>
      <c r="L333" s="25" t="s">
        <v>228</v>
      </c>
      <c r="M333" s="25" t="s">
        <v>64</v>
      </c>
      <c r="N333" s="26" t="str">
        <f>IF(O333="","",LEN(O333)-LEN(SUBSTITUTE(O333,"/",""))+IF(ISNUMBER(SEARCH("@",O333)),0,1))</f>
        <v>4</v>
      </c>
      <c r="O333" s="26" t="s">
        <v>1694</v>
      </c>
      <c r="P333" s="20"/>
      <c r="Q333" s="20"/>
      <c r="R333" s="20"/>
      <c r="S333" s="25" t="s">
        <v>1695</v>
      </c>
      <c r="T333" s="20"/>
      <c r="U333" s="25" t="s">
        <v>1663</v>
      </c>
      <c r="V333" s="25" t="s">
        <v>68</v>
      </c>
      <c r="W333" s="20" t="str">
        <f>IF(ISBLANK(O333),"是","否")</f>
        <v>否</v>
      </c>
      <c r="X333" s="20"/>
      <c r="Y333" s="25"/>
      <c r="Z333" s="25"/>
      <c r="AC333" s="20" t="s">
        <v>76</v>
      </c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</row>
    <row r="334" ht="29.59398496240601" customHeight="1" spans="1:52" x14ac:dyDescent="0.25">
      <c r="A334" s="19" t="s">
        <v>1169</v>
      </c>
      <c r="B334" s="20" t="s">
        <v>57</v>
      </c>
      <c r="C334" s="21"/>
      <c r="D334" s="22"/>
      <c r="E334" s="21" t="s">
        <v>1200</v>
      </c>
      <c r="F334" s="29" t="s">
        <v>1696</v>
      </c>
      <c r="G334" s="20" t="str">
        <f>SUBSTITUTE(SUBSTITUTE(SUBSTITUTE(O334,"/@","_"),"/cac:","_"),"/cbc:","_")</f>
        <v>Invoice_InvoiceLine_AllowanceCharge_MultiplierFactorNumeric</v>
      </c>
      <c r="H334" s="19" t="s">
        <v>1697</v>
      </c>
      <c r="I334" s="25" t="s">
        <v>1698</v>
      </c>
      <c r="J334" s="25" t="s">
        <v>1699</v>
      </c>
      <c r="K334" s="25" t="s">
        <v>1700</v>
      </c>
      <c r="L334" s="25" t="s">
        <v>1000</v>
      </c>
      <c r="M334" s="25" t="s">
        <v>64</v>
      </c>
      <c r="N334" s="26" t="str">
        <f>IF(O334="","",LEN(O334)-LEN(SUBSTITUTE(O334,"/",""))+IF(ISNUMBER(SEARCH("@",O334)),0,1))</f>
        <v>4</v>
      </c>
      <c r="O334" s="26" t="s">
        <v>1701</v>
      </c>
      <c r="P334" s="20"/>
      <c r="Q334" s="20"/>
      <c r="R334" s="20"/>
      <c r="S334" s="25">
        <v>10</v>
      </c>
      <c r="T334" s="20"/>
      <c r="U334" s="25" t="s">
        <v>1663</v>
      </c>
      <c r="V334" s="25" t="s">
        <v>68</v>
      </c>
      <c r="W334" s="20" t="str">
        <f>IF(ISBLANK(O334),"是","否")</f>
        <v>否</v>
      </c>
      <c r="X334" s="20"/>
      <c r="Y334" s="25"/>
      <c r="Z334" s="25"/>
      <c r="AC334" s="20" t="s">
        <v>76</v>
      </c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</row>
    <row r="335" ht="29.59398496240601" customHeight="1" spans="1:52" x14ac:dyDescent="0.25">
      <c r="A335" s="19" t="s">
        <v>1169</v>
      </c>
      <c r="B335" s="20" t="s">
        <v>57</v>
      </c>
      <c r="C335" s="21"/>
      <c r="D335" s="22"/>
      <c r="E335" s="21" t="s">
        <v>1207</v>
      </c>
      <c r="F335" s="29" t="s">
        <v>1702</v>
      </c>
      <c r="G335" s="20" t="str">
        <f>SUBSTITUTE(SUBSTITUTE(SUBSTITUTE(O335,"/@","_"),"/cac:","_"),"/cbc:","_")</f>
        <v>Invoice_InvoiceLine_AllowanceCharge_Amount</v>
      </c>
      <c r="H335" s="19" t="s">
        <v>1209</v>
      </c>
      <c r="I335" s="25" t="s">
        <v>1210</v>
      </c>
      <c r="J335" s="25" t="s">
        <v>1703</v>
      </c>
      <c r="K335" s="25" t="s">
        <v>1704</v>
      </c>
      <c r="L335" s="25" t="s">
        <v>1000</v>
      </c>
      <c r="M335" s="25">
        <v>1</v>
      </c>
      <c r="N335" s="26" t="str">
        <f>IF(O335="","",LEN(O335)-LEN(SUBSTITUTE(O335,"/",""))+IF(ISNUMBER(SEARCH("@",O335)),0,1))</f>
        <v>4</v>
      </c>
      <c r="O335" s="26" t="s">
        <v>1705</v>
      </c>
      <c r="P335" s="20"/>
      <c r="Q335" s="20"/>
      <c r="R335" s="20"/>
      <c r="S335" s="25">
        <v>5</v>
      </c>
      <c r="T335" s="20"/>
      <c r="U335" s="25" t="s">
        <v>1663</v>
      </c>
      <c r="V335" s="25" t="s">
        <v>68</v>
      </c>
      <c r="W335" s="20" t="str">
        <f>IF(ISBLANK(O335),"是","否")</f>
        <v>否</v>
      </c>
      <c r="X335" s="20"/>
      <c r="Y335" s="25"/>
      <c r="Z335" s="25"/>
      <c r="AC335" s="20" t="s">
        <v>76</v>
      </c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</row>
    <row r="336" ht="29.59398496240601" customHeight="1" spans="1:52" x14ac:dyDescent="0.25">
      <c r="A336" s="19" t="s">
        <v>1169</v>
      </c>
      <c r="B336" s="20" t="s">
        <v>57</v>
      </c>
      <c r="C336" s="21"/>
      <c r="D336" s="22"/>
      <c r="E336" s="21" t="s">
        <v>1215</v>
      </c>
      <c r="F336" s="29" t="s">
        <v>1706</v>
      </c>
      <c r="G336" s="20" t="str">
        <f>SUBSTITUTE(SUBSTITUTE(SUBSTITUTE(O336,"/@","_"),"/cac:","_"),"/cbc:","_")</f>
        <v>Invoice_InvoiceLine_AllowanceCharge_Amount_currencyID</v>
      </c>
      <c r="H336" s="19" t="s">
        <v>1217</v>
      </c>
      <c r="I336" s="25" t="s">
        <v>1055</v>
      </c>
      <c r="J336" s="25" t="s">
        <v>1707</v>
      </c>
      <c r="K336" s="25" t="s">
        <v>1674</v>
      </c>
      <c r="L336" s="25" t="s">
        <v>1661</v>
      </c>
      <c r="M336" s="25" t="s">
        <v>64</v>
      </c>
      <c r="N336" s="26" t="str">
        <f>IF(O336="","",LEN(O336)-LEN(SUBSTITUTE(O336,"/",""))+IF(ISNUMBER(SEARCH("@",O336)),0,1))</f>
        <v>4</v>
      </c>
      <c r="O336" s="26" t="s">
        <v>1708</v>
      </c>
      <c r="P336" s="20"/>
      <c r="Q336" s="20"/>
      <c r="R336" s="20"/>
      <c r="S336" s="25" t="s">
        <v>993</v>
      </c>
      <c r="T336" s="20"/>
      <c r="U336" s="25" t="s">
        <v>1663</v>
      </c>
      <c r="V336" s="25" t="s">
        <v>68</v>
      </c>
      <c r="W336" s="20" t="str">
        <f>IF(ISBLANK(O336),"是","否")</f>
        <v>否</v>
      </c>
      <c r="X336" s="20"/>
      <c r="Y336" s="25"/>
      <c r="Z336" s="25"/>
      <c r="AC336" s="20" t="s">
        <v>76</v>
      </c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</row>
    <row r="337" ht="50.16541353383458" customHeight="1" spans="1:52" x14ac:dyDescent="0.25">
      <c r="A337" s="19" t="s">
        <v>1169</v>
      </c>
      <c r="B337" s="20" t="s">
        <v>57</v>
      </c>
      <c r="C337" s="21"/>
      <c r="D337" s="22"/>
      <c r="E337" s="21" t="s">
        <v>1220</v>
      </c>
      <c r="F337" s="29" t="s">
        <v>1709</v>
      </c>
      <c r="G337" s="20" t="str">
        <f>SUBSTITUTE(SUBSTITUTE(SUBSTITUTE(O337,"/@","_"),"/cac:","_"),"/cbc:","_")</f>
        <v>Invoice_InvoiceLine_AllowanceCharge_BaseAmount</v>
      </c>
      <c r="H337" s="19" t="s">
        <v>1222</v>
      </c>
      <c r="I337" s="25" t="s">
        <v>1223</v>
      </c>
      <c r="J337" s="25" t="s">
        <v>1710</v>
      </c>
      <c r="K337" s="25" t="s">
        <v>1711</v>
      </c>
      <c r="L337" s="25" t="s">
        <v>1000</v>
      </c>
      <c r="M337" s="25" t="s">
        <v>64</v>
      </c>
      <c r="N337" s="26" t="str">
        <f>IF(O337="","",LEN(O337)-LEN(SUBSTITUTE(O337,"/",""))+IF(ISNUMBER(SEARCH("@",O337)),0,1))</f>
        <v>4</v>
      </c>
      <c r="O337" s="26" t="s">
        <v>1712</v>
      </c>
      <c r="P337" s="20"/>
      <c r="Q337" s="20"/>
      <c r="R337" s="20"/>
      <c r="S337" s="25">
        <v>50</v>
      </c>
      <c r="T337" s="20"/>
      <c r="U337" s="25" t="s">
        <v>1663</v>
      </c>
      <c r="V337" s="25" t="s">
        <v>68</v>
      </c>
      <c r="W337" s="20" t="str">
        <f>IF(ISBLANK(O337),"是","否")</f>
        <v>否</v>
      </c>
      <c r="X337" s="20"/>
      <c r="Y337" s="25"/>
      <c r="Z337" s="25"/>
      <c r="AC337" s="20" t="s">
        <v>76</v>
      </c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</row>
    <row r="338" ht="29.59398496240601" customHeight="1" spans="1:52" x14ac:dyDescent="0.25">
      <c r="A338" s="19" t="s">
        <v>1169</v>
      </c>
      <c r="B338" s="20" t="s">
        <v>57</v>
      </c>
      <c r="C338" s="21"/>
      <c r="D338" s="22"/>
      <c r="E338" s="21" t="s">
        <v>1226</v>
      </c>
      <c r="F338" s="29" t="s">
        <v>1713</v>
      </c>
      <c r="G338" s="20" t="str">
        <f>SUBSTITUTE(SUBSTITUTE(SUBSTITUTE(O338,"/@","_"),"/cac:","_"),"/cbc:","_")</f>
        <v>Invoice_InvoiceLine_AllowanceCharge_BaseAmount_currencyID</v>
      </c>
      <c r="H338" s="19" t="s">
        <v>1228</v>
      </c>
      <c r="I338" s="25" t="s">
        <v>1714</v>
      </c>
      <c r="J338" s="25" t="s">
        <v>1715</v>
      </c>
      <c r="K338" s="25" t="s">
        <v>1674</v>
      </c>
      <c r="L338" s="25" t="s">
        <v>1661</v>
      </c>
      <c r="M338" s="25" t="s">
        <v>64</v>
      </c>
      <c r="N338" s="26" t="str">
        <f>IF(O338="","",LEN(O338)-LEN(SUBSTITUTE(O338,"/",""))+IF(ISNUMBER(SEARCH("@",O338)),0,1))</f>
        <v>4</v>
      </c>
      <c r="O338" s="26" t="s">
        <v>1716</v>
      </c>
      <c r="P338" s="20"/>
      <c r="Q338" s="20"/>
      <c r="R338" s="20"/>
      <c r="S338" s="25" t="s">
        <v>993</v>
      </c>
      <c r="T338" s="20"/>
      <c r="U338" s="25" t="s">
        <v>1663</v>
      </c>
      <c r="V338" s="25" t="s">
        <v>68</v>
      </c>
      <c r="W338" s="20" t="str">
        <f>IF(ISBLANK(O338),"是","否")</f>
        <v>否</v>
      </c>
      <c r="X338" s="20"/>
      <c r="Y338" s="25"/>
      <c r="Z338" s="25"/>
      <c r="AC338" s="20" t="s">
        <v>76</v>
      </c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</row>
    <row r="339" ht="29.59398496240601" customHeight="1" spans="1:52" x14ac:dyDescent="0.25">
      <c r="A339" s="19" t="s">
        <v>1306</v>
      </c>
      <c r="B339" s="20" t="s">
        <v>57</v>
      </c>
      <c r="C339" s="21"/>
      <c r="D339" s="22"/>
      <c r="E339" s="21" t="s">
        <v>109</v>
      </c>
      <c r="F339" s="29" t="s">
        <v>1717</v>
      </c>
      <c r="G339" s="20" t="str">
        <f>SUBSTITUTE(SUBSTITUTE(SUBSTITUTE(O339,"/@","_"),"/cac:","_"),"/cbc:","_")</f>
        <v>Invoice_InvoiceLine_TaxTotal</v>
      </c>
      <c r="H339" s="19" t="s">
        <v>1718</v>
      </c>
      <c r="I339" s="25" t="s">
        <v>1719</v>
      </c>
      <c r="J339" s="25" t="s">
        <v>1720</v>
      </c>
      <c r="K339" s="25" t="s">
        <v>1721</v>
      </c>
      <c r="L339" s="25" t="s">
        <v>220</v>
      </c>
      <c r="M339" s="25" t="s">
        <v>49</v>
      </c>
      <c r="N339" s="26" t="str">
        <f>IF(O339="","",LEN(O339)-LEN(SUBSTITUTE(O339,"/",""))+IF(ISNUMBER(SEARCH("@",O339)),0,1))</f>
        <v>3</v>
      </c>
      <c r="O339" s="26" t="s">
        <v>1722</v>
      </c>
      <c r="P339" s="20"/>
      <c r="Q339" s="20"/>
      <c r="R339" s="20"/>
      <c r="S339" s="25" t="s">
        <v>681</v>
      </c>
      <c r="T339" s="20"/>
      <c r="U339" s="25" t="s">
        <v>1663</v>
      </c>
      <c r="V339" s="25" t="s">
        <v>222</v>
      </c>
      <c r="W339" s="20" t="str">
        <f>IF(ISBLANK(O339),"是","否")</f>
        <v>否</v>
      </c>
      <c r="X339" s="20"/>
      <c r="Y339" s="25"/>
      <c r="Z339" s="25"/>
      <c r="AC339" s="20" t="s">
        <v>76</v>
      </c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</row>
    <row r="340" ht="39.879699248120296" customHeight="1" spans="1:52" x14ac:dyDescent="0.25">
      <c r="A340" s="19" t="s">
        <v>109</v>
      </c>
      <c r="B340" s="20" t="s">
        <v>57</v>
      </c>
      <c r="C340" s="21"/>
      <c r="D340" s="22"/>
      <c r="E340" s="21" t="s">
        <v>1026</v>
      </c>
      <c r="F340" s="29" t="s">
        <v>1723</v>
      </c>
      <c r="G340" s="20" t="str">
        <f>SUBSTITUTE(SUBSTITUTE(SUBSTITUTE(O340,"/@","_"),"/cac:","_"),"/cbc:","_")</f>
        <v>Invoice_InvoiceLine_TaxTotal_TaxAmount</v>
      </c>
      <c r="H340" s="19" t="s">
        <v>1724</v>
      </c>
      <c r="I340" s="25" t="s">
        <v>1725</v>
      </c>
      <c r="J340" s="25" t="s">
        <v>1726</v>
      </c>
      <c r="K340" s="25" t="s">
        <v>1727</v>
      </c>
      <c r="L340" s="25" t="s">
        <v>1000</v>
      </c>
      <c r="M340" s="25">
        <v>1</v>
      </c>
      <c r="N340" s="26" t="str">
        <f>IF(O340="","",LEN(O340)-LEN(SUBSTITUTE(O340,"/",""))+IF(ISNUMBER(SEARCH("@",O340)),0,1))</f>
        <v>4</v>
      </c>
      <c r="O340" s="26" t="s">
        <v>1728</v>
      </c>
      <c r="P340" s="20"/>
      <c r="Q340" s="20"/>
      <c r="R340" s="20"/>
      <c r="S340" s="25">
        <v>6.5</v>
      </c>
      <c r="T340" s="20"/>
      <c r="U340" s="25" t="s">
        <v>1663</v>
      </c>
      <c r="V340" s="25" t="s">
        <v>68</v>
      </c>
      <c r="W340" s="20" t="str">
        <f>IF(ISBLANK(O340),"是","否")</f>
        <v>否</v>
      </c>
      <c r="X340" s="20"/>
      <c r="Y340" s="25"/>
      <c r="Z340" s="25"/>
      <c r="AC340" s="20" t="s">
        <v>76</v>
      </c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</row>
    <row r="341" ht="29.59398496240601" customHeight="1" spans="1:52" x14ac:dyDescent="0.25">
      <c r="A341" s="19" t="s">
        <v>109</v>
      </c>
      <c r="B341" s="20" t="s">
        <v>57</v>
      </c>
      <c r="C341" s="21"/>
      <c r="D341" s="22"/>
      <c r="E341" s="21" t="s">
        <v>1031</v>
      </c>
      <c r="F341" s="29" t="s">
        <v>1729</v>
      </c>
      <c r="G341" s="20" t="str">
        <f>SUBSTITUTE(SUBSTITUTE(SUBSTITUTE(O341,"/@","_"),"/cac:","_"),"/cbc:","_")</f>
        <v>Invoice_InvoiceLine_TaxTotal_TaxAmount_currencyID</v>
      </c>
      <c r="H341" s="19" t="s">
        <v>1730</v>
      </c>
      <c r="I341" s="25" t="s">
        <v>1055</v>
      </c>
      <c r="J341" s="25" t="s">
        <v>1731</v>
      </c>
      <c r="K341" s="25" t="s">
        <v>1674</v>
      </c>
      <c r="L341" s="25" t="s">
        <v>1661</v>
      </c>
      <c r="M341" s="25" t="s">
        <v>64</v>
      </c>
      <c r="N341" s="26" t="str">
        <f>IF(O341="","",LEN(O341)-LEN(SUBSTITUTE(O341,"/",""))+IF(ISNUMBER(SEARCH("@",O341)),0,1))</f>
        <v>4</v>
      </c>
      <c r="O341" s="26" t="s">
        <v>1732</v>
      </c>
      <c r="P341" s="20"/>
      <c r="Q341" s="20"/>
      <c r="R341" s="20"/>
      <c r="S341" s="25" t="s">
        <v>993</v>
      </c>
      <c r="T341" s="20"/>
      <c r="U341" s="25" t="s">
        <v>1663</v>
      </c>
      <c r="V341" s="25" t="s">
        <v>68</v>
      </c>
      <c r="W341" s="20" t="str">
        <f>IF(ISBLANK(O341),"是","否")</f>
        <v>否</v>
      </c>
      <c r="X341" s="20"/>
      <c r="Y341" s="25"/>
      <c r="Z341" s="25"/>
      <c r="AC341" s="20" t="s">
        <v>76</v>
      </c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</row>
    <row r="342" ht="29.59398496240601" customHeight="1" spans="1:52" x14ac:dyDescent="0.25">
      <c r="A342" s="19" t="s">
        <v>109</v>
      </c>
      <c r="B342" s="20" t="s">
        <v>57</v>
      </c>
      <c r="C342" s="21"/>
      <c r="D342" s="22"/>
      <c r="E342" s="21" t="s">
        <v>1038</v>
      </c>
      <c r="F342" s="29" t="s">
        <v>1733</v>
      </c>
      <c r="G342" s="20" t="str">
        <f>SUBSTITUTE(SUBSTITUTE(SUBSTITUTE(O342,"/@","_"),"/cac:","_"),"/cbc:","_")</f>
        <v>Invoice_InvoiceLine_TaxTotal_TaxSubtotal</v>
      </c>
      <c r="H342" s="19" t="s">
        <v>1040</v>
      </c>
      <c r="I342" s="25" t="s">
        <v>1734</v>
      </c>
      <c r="J342" s="25" t="s">
        <v>1735</v>
      </c>
      <c r="K342" s="25" t="s">
        <v>1736</v>
      </c>
      <c r="L342" s="25" t="s">
        <v>220</v>
      </c>
      <c r="M342" s="25" t="s">
        <v>1024</v>
      </c>
      <c r="N342" s="26" t="str">
        <f>IF(O342="","",LEN(O342)-LEN(SUBSTITUTE(O342,"/",""))+IF(ISNUMBER(SEARCH("@",O342)),0,1))</f>
        <v>4</v>
      </c>
      <c r="O342" s="26" t="s">
        <v>1737</v>
      </c>
      <c r="P342" s="20"/>
      <c r="Q342" s="20"/>
      <c r="R342" s="20"/>
      <c r="S342" s="25" t="s">
        <v>681</v>
      </c>
      <c r="T342" s="20"/>
      <c r="U342" s="25" t="s">
        <v>1663</v>
      </c>
      <c r="V342" s="25" t="s">
        <v>222</v>
      </c>
      <c r="W342" s="20" t="str">
        <f>IF(ISBLANK(O342),"是","否")</f>
        <v>否</v>
      </c>
      <c r="X342" s="20"/>
      <c r="Y342" s="25"/>
      <c r="Z342" s="25"/>
      <c r="AC342" s="20" t="s">
        <v>76</v>
      </c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</row>
    <row r="343" ht="29.59398496240601" customHeight="1" spans="1:52" x14ac:dyDescent="0.25">
      <c r="A343" s="19" t="s">
        <v>1038</v>
      </c>
      <c r="B343" s="20" t="s">
        <v>57</v>
      </c>
      <c r="C343" s="21"/>
      <c r="D343" s="22"/>
      <c r="E343" s="21" t="s">
        <v>1134</v>
      </c>
      <c r="F343" s="29" t="s">
        <v>1738</v>
      </c>
      <c r="G343" s="20" t="str">
        <f>SUBSTITUTE(SUBSTITUTE(SUBSTITUTE(O343,"/@","_"),"/cac:","_"),"/cbc:","_")</f>
        <v>Invoice_InvoiceLine_TaxTotal_TaxSubtotal_TaxableAmount</v>
      </c>
      <c r="H343" s="19" t="s">
        <v>1739</v>
      </c>
      <c r="I343" s="25" t="s">
        <v>1740</v>
      </c>
      <c r="J343" s="25" t="s">
        <v>1049</v>
      </c>
      <c r="K343" s="25" t="s">
        <v>1741</v>
      </c>
      <c r="L343" s="25" t="s">
        <v>1000</v>
      </c>
      <c r="M343" s="25">
        <v>1</v>
      </c>
      <c r="N343" s="26" t="str">
        <f>IF(O343="","",LEN(O343)-LEN(SUBSTITUTE(O343,"/",""))+IF(ISNUMBER(SEARCH("@",O343)),0,1))</f>
        <v>5</v>
      </c>
      <c r="O343" s="26" t="s">
        <v>1742</v>
      </c>
      <c r="P343" s="20"/>
      <c r="Q343" s="20"/>
      <c r="R343" s="20"/>
      <c r="S343" s="25">
        <v>50</v>
      </c>
      <c r="T343" s="20"/>
      <c r="U343" s="25" t="s">
        <v>1663</v>
      </c>
      <c r="V343" s="25" t="s">
        <v>68</v>
      </c>
      <c r="W343" s="20" t="str">
        <f>IF(ISBLANK(O343),"是","否")</f>
        <v>否</v>
      </c>
      <c r="X343" s="20"/>
      <c r="Y343" s="25"/>
      <c r="Z343" s="25"/>
      <c r="AC343" s="20" t="s">
        <v>76</v>
      </c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</row>
    <row r="344" ht="39.879699248120296" customHeight="1" spans="1:52" x14ac:dyDescent="0.25">
      <c r="A344" s="19" t="s">
        <v>1038</v>
      </c>
      <c r="B344" s="20" t="s">
        <v>57</v>
      </c>
      <c r="C344" s="21"/>
      <c r="D344" s="22"/>
      <c r="E344" s="21" t="s">
        <v>1743</v>
      </c>
      <c r="F344" s="29" t="s">
        <v>1744</v>
      </c>
      <c r="G344" s="20" t="str">
        <f>SUBSTITUTE(SUBSTITUTE(SUBSTITUTE(O344,"/@","_"),"/cac:","_"),"/cbc:","_")</f>
        <v>Invoice_InvoiceLine_TaxTotal_TaxSubtotal_TaxableAmount_currencyID</v>
      </c>
      <c r="H344" s="19" t="s">
        <v>1054</v>
      </c>
      <c r="I344" s="25" t="s">
        <v>1055</v>
      </c>
      <c r="J344" s="25" t="s">
        <v>1745</v>
      </c>
      <c r="K344" s="25" t="s">
        <v>1674</v>
      </c>
      <c r="L344" s="25" t="s">
        <v>1661</v>
      </c>
      <c r="M344" s="25" t="s">
        <v>64</v>
      </c>
      <c r="N344" s="26" t="str">
        <f>IF(O344="","",LEN(O344)-LEN(SUBSTITUTE(O344,"/",""))+IF(ISNUMBER(SEARCH("@",O344)),0,1))</f>
        <v>5</v>
      </c>
      <c r="O344" s="26" t="s">
        <v>1746</v>
      </c>
      <c r="P344" s="20"/>
      <c r="Q344" s="20"/>
      <c r="R344" s="20"/>
      <c r="S344" s="25" t="s">
        <v>993</v>
      </c>
      <c r="T344" s="20"/>
      <c r="U344" s="25" t="s">
        <v>1663</v>
      </c>
      <c r="V344" s="25" t="s">
        <v>68</v>
      </c>
      <c r="W344" s="20" t="str">
        <f>IF(ISBLANK(O344),"是","否")</f>
        <v>否</v>
      </c>
      <c r="X344" s="20"/>
      <c r="Y344" s="25"/>
      <c r="Z344" s="25"/>
      <c r="AC344" s="20" t="s">
        <v>76</v>
      </c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</row>
    <row r="345" ht="39.879699248120296" customHeight="1" spans="1:52" x14ac:dyDescent="0.25">
      <c r="A345" s="19" t="s">
        <v>1038</v>
      </c>
      <c r="B345" s="20" t="s">
        <v>57</v>
      </c>
      <c r="C345" s="21"/>
      <c r="D345" s="22"/>
      <c r="E345" s="21" t="s">
        <v>1059</v>
      </c>
      <c r="F345" s="29" t="s">
        <v>1747</v>
      </c>
      <c r="G345" s="20" t="str">
        <f>SUBSTITUTE(SUBSTITUTE(SUBSTITUTE(O345,"/@","_"),"/cac:","_"),"/cbc:","_")</f>
        <v>Invoice_InvoiceLine_TaxTotal_TaxSubtotal_TaxAmount</v>
      </c>
      <c r="H345" s="19" t="s">
        <v>1724</v>
      </c>
      <c r="I345" s="25" t="s">
        <v>1748</v>
      </c>
      <c r="J345" s="25" t="s">
        <v>1749</v>
      </c>
      <c r="K345" s="25" t="s">
        <v>1750</v>
      </c>
      <c r="L345" s="25" t="s">
        <v>1000</v>
      </c>
      <c r="M345" s="25">
        <v>1</v>
      </c>
      <c r="N345" s="26" t="str">
        <f>IF(O345="","",LEN(O345)-LEN(SUBSTITUTE(O345,"/",""))+IF(ISNUMBER(SEARCH("@",O345)),0,1))</f>
        <v>5</v>
      </c>
      <c r="O345" s="26" t="s">
        <v>1751</v>
      </c>
      <c r="P345" s="20"/>
      <c r="Q345" s="20"/>
      <c r="R345" s="20"/>
      <c r="S345" s="25">
        <v>6.5</v>
      </c>
      <c r="T345" s="20"/>
      <c r="U345" s="25" t="s">
        <v>1663</v>
      </c>
      <c r="V345" s="25" t="s">
        <v>68</v>
      </c>
      <c r="W345" s="20" t="str">
        <f>IF(ISBLANK(O345),"是","否")</f>
        <v>否</v>
      </c>
      <c r="X345" s="20"/>
      <c r="Y345" s="25"/>
      <c r="Z345" s="25"/>
      <c r="AC345" s="20" t="s">
        <v>76</v>
      </c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</row>
    <row r="346" ht="39.879699248120296" customHeight="1" spans="1:52" x14ac:dyDescent="0.25">
      <c r="A346" s="19" t="s">
        <v>1038</v>
      </c>
      <c r="B346" s="20" t="s">
        <v>57</v>
      </c>
      <c r="C346" s="21"/>
      <c r="D346" s="22"/>
      <c r="E346" s="21" t="s">
        <v>1066</v>
      </c>
      <c r="F346" s="29" t="s">
        <v>1752</v>
      </c>
      <c r="G346" s="20" t="str">
        <f>SUBSTITUTE(SUBSTITUTE(SUBSTITUTE(O346,"/@","_"),"/cac:","_"),"/cbc:","_")</f>
        <v>Invoice_InvoiceLine_TaxTotal_TaxSubtotal_TaxAmount_currencyID</v>
      </c>
      <c r="H346" s="19" t="s">
        <v>1730</v>
      </c>
      <c r="I346" s="25" t="s">
        <v>1055</v>
      </c>
      <c r="J346" s="25" t="s">
        <v>1753</v>
      </c>
      <c r="K346" s="25" t="s">
        <v>1674</v>
      </c>
      <c r="L346" s="25" t="s">
        <v>1661</v>
      </c>
      <c r="M346" s="25" t="s">
        <v>64</v>
      </c>
      <c r="N346" s="26" t="str">
        <f>IF(O346="","",LEN(O346)-LEN(SUBSTITUTE(O346,"/",""))+IF(ISNUMBER(SEARCH("@",O346)),0,1))</f>
        <v>5</v>
      </c>
      <c r="O346" s="26" t="s">
        <v>1754</v>
      </c>
      <c r="P346" s="20"/>
      <c r="Q346" s="20"/>
      <c r="R346" s="20"/>
      <c r="S346" s="25" t="s">
        <v>993</v>
      </c>
      <c r="T346" s="20"/>
      <c r="U346" s="25" t="s">
        <v>1663</v>
      </c>
      <c r="V346" s="25" t="s">
        <v>68</v>
      </c>
      <c r="W346" s="20" t="str">
        <f>IF(ISBLANK(O346),"是","否")</f>
        <v>否</v>
      </c>
      <c r="X346" s="20"/>
      <c r="Y346" s="25"/>
      <c r="Z346" s="25"/>
      <c r="AC346" s="20" t="s">
        <v>76</v>
      </c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</row>
    <row r="347" ht="29.59398496240601" customHeight="1" spans="1:52" x14ac:dyDescent="0.25">
      <c r="A347" s="19" t="s">
        <v>1071</v>
      </c>
      <c r="B347" s="20" t="s">
        <v>57</v>
      </c>
      <c r="C347" s="21"/>
      <c r="D347" s="22"/>
      <c r="E347" s="21" t="s">
        <v>1072</v>
      </c>
      <c r="F347" s="29" t="s">
        <v>1755</v>
      </c>
      <c r="G347" s="20" t="str">
        <f>SUBSTITUTE(SUBSTITUTE(SUBSTITUTE(O347,"/@","_"),"/cac:","_"),"/cbc:","_")</f>
        <v>Invoice_InvoiceLine_TaxTotal_TaxSubtotal_TaxCategory_ID</v>
      </c>
      <c r="H347" s="19" t="s">
        <v>1233</v>
      </c>
      <c r="I347" s="25" t="s">
        <v>1756</v>
      </c>
      <c r="J347" s="25" t="s">
        <v>1757</v>
      </c>
      <c r="K347" s="25" t="s">
        <v>1077</v>
      </c>
      <c r="L347" s="25" t="s">
        <v>1661</v>
      </c>
      <c r="M347" s="25">
        <v>1</v>
      </c>
      <c r="N347" s="26" t="str">
        <f>IF(O347="","",LEN(O347)-LEN(SUBSTITUTE(O347,"/",""))+IF(ISNUMBER(SEARCH("@",O347)),0,1))</f>
        <v>6</v>
      </c>
      <c r="O347" s="26" t="s">
        <v>1758</v>
      </c>
      <c r="P347" s="20"/>
      <c r="Q347" s="20"/>
      <c r="R347" s="20"/>
      <c r="S347" s="25" t="s">
        <v>1079</v>
      </c>
      <c r="T347" s="20"/>
      <c r="U347" s="25" t="s">
        <v>1663</v>
      </c>
      <c r="V347" s="25" t="s">
        <v>68</v>
      </c>
      <c r="W347" s="20" t="str">
        <f>IF(ISBLANK(O347),"是","否")</f>
        <v>否</v>
      </c>
      <c r="X347" s="20"/>
      <c r="Y347" s="25"/>
      <c r="Z347" s="25"/>
      <c r="AC347" s="20" t="s">
        <v>76</v>
      </c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</row>
    <row r="348" ht="39.879699248120296" customHeight="1" spans="1:52" x14ac:dyDescent="0.25">
      <c r="A348" s="19" t="s">
        <v>1071</v>
      </c>
      <c r="B348" s="20" t="s">
        <v>57</v>
      </c>
      <c r="C348" s="21"/>
      <c r="D348" s="22"/>
      <c r="E348" s="21" t="s">
        <v>1080</v>
      </c>
      <c r="F348" s="29" t="s">
        <v>1759</v>
      </c>
      <c r="G348" s="20" t="str">
        <f>SUBSTITUTE(SUBSTITUTE(SUBSTITUTE(O348,"/@","_"),"/cac:","_"),"/cbc:","_")</f>
        <v>Invoice_InvoiceLine_TaxTotal_TaxSubtotal_TaxCategory_Percent</v>
      </c>
      <c r="H348" s="19" t="s">
        <v>1082</v>
      </c>
      <c r="I348" s="25" t="s">
        <v>1083</v>
      </c>
      <c r="J348" s="25" t="s">
        <v>1084</v>
      </c>
      <c r="K348" s="25" t="s">
        <v>1242</v>
      </c>
      <c r="L348" s="25" t="s">
        <v>1000</v>
      </c>
      <c r="M348" s="25" t="s">
        <v>64</v>
      </c>
      <c r="N348" s="26" t="str">
        <f>IF(O348="","",LEN(O348)-LEN(SUBSTITUTE(O348,"/",""))+IF(ISNUMBER(SEARCH("@",O348)),0,1))</f>
        <v>6</v>
      </c>
      <c r="O348" s="26" t="s">
        <v>1760</v>
      </c>
      <c r="P348" s="20"/>
      <c r="Q348" s="20"/>
      <c r="R348" s="20"/>
      <c r="S348" s="25">
        <v>13</v>
      </c>
      <c r="T348" s="20"/>
      <c r="U348" s="25" t="s">
        <v>1663</v>
      </c>
      <c r="V348" s="25" t="s">
        <v>68</v>
      </c>
      <c r="W348" s="20" t="str">
        <f>IF(ISBLANK(O348),"是","否")</f>
        <v>否</v>
      </c>
      <c r="X348" s="20"/>
      <c r="Y348" s="25"/>
      <c r="Z348" s="25"/>
      <c r="AC348" s="20" t="s">
        <v>76</v>
      </c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</row>
    <row r="349" ht="50.16541353383458" customHeight="1" spans="1:52" x14ac:dyDescent="0.25">
      <c r="A349" s="19" t="s">
        <v>1071</v>
      </c>
      <c r="B349" s="20" t="s">
        <v>57</v>
      </c>
      <c r="C349" s="21"/>
      <c r="D349" s="22"/>
      <c r="E349" s="21" t="s">
        <v>1088</v>
      </c>
      <c r="F349" s="29" t="s">
        <v>1761</v>
      </c>
      <c r="G349" s="20" t="str">
        <f>SUBSTITUTE(SUBSTITUTE(SUBSTITUTE(O349,"/@","_"),"/cac:","_"),"/cbc:","_")</f>
        <v>Invoice_InvoiceLine_TaxTotal_TaxSubtotal_TaxCategory_TaxExemptionReasonCode</v>
      </c>
      <c r="H349" s="19" t="s">
        <v>1762</v>
      </c>
      <c r="I349" s="25" t="s">
        <v>1091</v>
      </c>
      <c r="J349" s="25" t="s">
        <v>1246</v>
      </c>
      <c r="K349" s="25" t="s">
        <v>1524</v>
      </c>
      <c r="L349" s="25" t="s">
        <v>1661</v>
      </c>
      <c r="M349" s="25" t="s">
        <v>64</v>
      </c>
      <c r="N349" s="26" t="str">
        <f>IF(O349="","",LEN(O349)-LEN(SUBSTITUTE(O349,"/",""))+IF(ISNUMBER(SEARCH("@",O349)),0,1))</f>
        <v>6</v>
      </c>
      <c r="O349" s="26" t="s">
        <v>1763</v>
      </c>
      <c r="P349" s="20"/>
      <c r="Q349" s="20"/>
      <c r="R349" s="20"/>
      <c r="S349" s="25" t="s">
        <v>1095</v>
      </c>
      <c r="T349" s="20"/>
      <c r="U349" s="25" t="s">
        <v>1663</v>
      </c>
      <c r="V349" s="25" t="s">
        <v>68</v>
      </c>
      <c r="W349" s="20" t="str">
        <f>IF(ISBLANK(O349),"是","否")</f>
        <v>否</v>
      </c>
      <c r="X349" s="20"/>
      <c r="Y349" s="25"/>
      <c r="Z349" s="25"/>
      <c r="AC349" s="20" t="s">
        <v>76</v>
      </c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</row>
    <row r="350" ht="50.16541353383458" customHeight="1" spans="1:52" x14ac:dyDescent="0.25">
      <c r="A350" s="19" t="s">
        <v>1071</v>
      </c>
      <c r="B350" s="20" t="s">
        <v>57</v>
      </c>
      <c r="C350" s="21"/>
      <c r="D350" s="22"/>
      <c r="E350" s="21" t="s">
        <v>1096</v>
      </c>
      <c r="F350" s="29" t="s">
        <v>1764</v>
      </c>
      <c r="G350" s="20" t="str">
        <f>SUBSTITUTE(SUBSTITUTE(SUBSTITUTE(O350,"/@","_"),"/cac:","_"),"/cbc:","_")</f>
        <v>Invoice_InvoiceLine_TaxTotal_TaxSubtotal_TaxCategory_TaxExemptionReason</v>
      </c>
      <c r="H350" s="19" t="s">
        <v>1765</v>
      </c>
      <c r="I350" s="25" t="s">
        <v>1766</v>
      </c>
      <c r="J350" s="25" t="s">
        <v>1767</v>
      </c>
      <c r="K350" s="25" t="s">
        <v>1768</v>
      </c>
      <c r="L350" s="25" t="s">
        <v>228</v>
      </c>
      <c r="M350" s="25" t="s">
        <v>64</v>
      </c>
      <c r="N350" s="26" t="str">
        <f>IF(O350="","",LEN(O350)-LEN(SUBSTITUTE(O350,"/",""))+IF(ISNUMBER(SEARCH("@",O350)),0,1))</f>
        <v>6</v>
      </c>
      <c r="O350" s="26" t="s">
        <v>1769</v>
      </c>
      <c r="P350" s="20"/>
      <c r="Q350" s="20"/>
      <c r="R350" s="20"/>
      <c r="S350" s="25" t="s">
        <v>1770</v>
      </c>
      <c r="T350" s="20"/>
      <c r="U350" s="25" t="s">
        <v>1663</v>
      </c>
      <c r="V350" s="25" t="s">
        <v>68</v>
      </c>
      <c r="W350" s="20" t="str">
        <f>IF(ISBLANK(O350),"是","否")</f>
        <v>否</v>
      </c>
      <c r="X350" s="20"/>
      <c r="Y350" s="25"/>
      <c r="Z350" s="25"/>
      <c r="AC350" s="20" t="s">
        <v>76</v>
      </c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</row>
    <row r="351" ht="39.879699248120296" customHeight="1" spans="1:52" x14ac:dyDescent="0.25">
      <c r="A351" s="19" t="s">
        <v>349</v>
      </c>
      <c r="B351" s="20" t="s">
        <v>57</v>
      </c>
      <c r="C351" s="21"/>
      <c r="D351" s="22"/>
      <c r="E351" s="21" t="s">
        <v>1104</v>
      </c>
      <c r="F351" s="29" t="s">
        <v>1771</v>
      </c>
      <c r="G351" s="20" t="str">
        <f>SUBSTITUTE(SUBSTITUTE(SUBSTITUTE(O351,"/@","_"),"/cac:","_"),"/cbc:","_")</f>
        <v>Invoice_InvoiceLine_TaxTotal_TaxSubtotal_TaxCategory_TaxScheme_ID</v>
      </c>
      <c r="H351" s="19" t="s">
        <v>1074</v>
      </c>
      <c r="I351" s="25" t="s">
        <v>1772</v>
      </c>
      <c r="J351" s="25" t="s">
        <v>1773</v>
      </c>
      <c r="K351" s="25" t="s">
        <v>1774</v>
      </c>
      <c r="L351" s="25" t="s">
        <v>1661</v>
      </c>
      <c r="M351" s="25" t="s">
        <v>64</v>
      </c>
      <c r="N351" s="26" t="str">
        <f>IF(O351="","",LEN(O351)-LEN(SUBSTITUTE(O351,"/",""))+IF(ISNUMBER(SEARCH("@",O351)),0,1))</f>
        <v>7</v>
      </c>
      <c r="O351" s="26" t="s">
        <v>1775</v>
      </c>
      <c r="P351" s="20"/>
      <c r="Q351" s="20"/>
      <c r="R351" s="20"/>
      <c r="S351" s="25" t="s">
        <v>791</v>
      </c>
      <c r="T351" s="20"/>
      <c r="U351" s="25" t="s">
        <v>1663</v>
      </c>
      <c r="V351" s="25" t="s">
        <v>68</v>
      </c>
      <c r="W351" s="20" t="str">
        <f>IF(ISBLANK(O351),"是","否")</f>
        <v>否</v>
      </c>
      <c r="X351" s="20"/>
      <c r="Y351" s="25"/>
      <c r="Z351" s="25"/>
      <c r="AC351" s="20" t="s">
        <v>76</v>
      </c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</row>
    <row r="352" ht="29.59398496240601" customHeight="1" spans="1:52" x14ac:dyDescent="0.25">
      <c r="A352" s="19" t="s">
        <v>1306</v>
      </c>
      <c r="B352" s="20" t="s">
        <v>57</v>
      </c>
      <c r="C352" s="21"/>
      <c r="D352" s="22"/>
      <c r="E352" s="21" t="s">
        <v>1118</v>
      </c>
      <c r="F352" s="29" t="s">
        <v>1776</v>
      </c>
      <c r="G352" s="20" t="str">
        <f>SUBSTITUTE(SUBSTITUTE(SUBSTITUTE(O352,"/@","_"),"/cac:","_"),"/cbc:","_")</f>
        <v>Invoice_InvoiceLine_WithholdingTaxTotal</v>
      </c>
      <c r="H352" s="19" t="s">
        <v>1120</v>
      </c>
      <c r="I352" s="25" t="s">
        <v>1777</v>
      </c>
      <c r="J352" s="25" t="s">
        <v>1778</v>
      </c>
      <c r="K352" s="25" t="s">
        <v>1779</v>
      </c>
      <c r="L352" s="25" t="s">
        <v>220</v>
      </c>
      <c r="M352" s="25" t="s">
        <v>49</v>
      </c>
      <c r="N352" s="26" t="str">
        <f>IF(O352="","",LEN(O352)-LEN(SUBSTITUTE(O352,"/",""))+IF(ISNUMBER(SEARCH("@",O352)),0,1))</f>
        <v>3</v>
      </c>
      <c r="O352" s="26" t="s">
        <v>1780</v>
      </c>
      <c r="P352" s="20"/>
      <c r="Q352" s="20"/>
      <c r="R352" s="20"/>
      <c r="S352" s="25" t="s">
        <v>681</v>
      </c>
      <c r="T352" s="20"/>
      <c r="U352" s="25" t="s">
        <v>1663</v>
      </c>
      <c r="V352" s="25" t="s">
        <v>222</v>
      </c>
      <c r="W352" s="20" t="str">
        <f>IF(ISBLANK(O352),"是","否")</f>
        <v>否</v>
      </c>
      <c r="X352" s="20"/>
      <c r="Y352" s="25"/>
      <c r="Z352" s="25"/>
      <c r="AC352" s="20" t="s">
        <v>76</v>
      </c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</row>
    <row r="353" ht="29.59398496240601" customHeight="1" spans="1:52" x14ac:dyDescent="0.25">
      <c r="A353" s="19" t="s">
        <v>109</v>
      </c>
      <c r="B353" s="20" t="s">
        <v>57</v>
      </c>
      <c r="C353" s="21"/>
      <c r="D353" s="22"/>
      <c r="E353" s="21" t="s">
        <v>1026</v>
      </c>
      <c r="F353" s="29" t="s">
        <v>1781</v>
      </c>
      <c r="G353" s="20" t="str">
        <f>SUBSTITUTE(SUBSTITUTE(SUBSTITUTE(O353,"/@","_"),"/cac:","_"),"/cbc:","_")</f>
        <v>Invoice_InvoiceLine_WithholdingTaxTotal_TaxAmount</v>
      </c>
      <c r="H353" s="19" t="s">
        <v>1782</v>
      </c>
      <c r="I353" s="25" t="s">
        <v>1783</v>
      </c>
      <c r="J353" s="25" t="s">
        <v>1784</v>
      </c>
      <c r="K353" s="25" t="s">
        <v>1139</v>
      </c>
      <c r="L353" s="25" t="s">
        <v>1000</v>
      </c>
      <c r="M353" s="25">
        <v>1</v>
      </c>
      <c r="N353" s="26" t="str">
        <f>IF(O353="","",LEN(O353)-LEN(SUBSTITUTE(O353,"/",""))+IF(ISNUMBER(SEARCH("@",O353)),0,1))</f>
        <v>4</v>
      </c>
      <c r="O353" s="26" t="s">
        <v>1785</v>
      </c>
      <c r="P353" s="20"/>
      <c r="Q353" s="20"/>
      <c r="R353" s="20"/>
      <c r="S353" s="25">
        <v>5</v>
      </c>
      <c r="T353" s="20"/>
      <c r="U353" s="25" t="s">
        <v>1663</v>
      </c>
      <c r="V353" s="25" t="s">
        <v>68</v>
      </c>
      <c r="W353" s="20" t="str">
        <f>IF(ISBLANK(O353),"是","否")</f>
        <v>否</v>
      </c>
      <c r="X353" s="20"/>
      <c r="Y353" s="25"/>
      <c r="Z353" s="25"/>
      <c r="AC353" s="20" t="s">
        <v>76</v>
      </c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</row>
    <row r="354" ht="29.59398496240601" customHeight="1" spans="1:52" x14ac:dyDescent="0.25">
      <c r="A354" s="19" t="s">
        <v>109</v>
      </c>
      <c r="B354" s="20" t="s">
        <v>57</v>
      </c>
      <c r="C354" s="21"/>
      <c r="D354" s="22"/>
      <c r="E354" s="21" t="s">
        <v>1031</v>
      </c>
      <c r="F354" s="29" t="s">
        <v>1786</v>
      </c>
      <c r="G354" s="20" t="str">
        <f>SUBSTITUTE(SUBSTITUTE(SUBSTITUTE(O354,"/@","_"),"/cac:","_"),"/cbc:","_")</f>
        <v>Invoice_InvoiceLine_WithholdingTaxTotal_TaxAmount_currencyID</v>
      </c>
      <c r="H354" s="19" t="s">
        <v>1787</v>
      </c>
      <c r="I354" s="25" t="s">
        <v>1055</v>
      </c>
      <c r="J354" s="25" t="s">
        <v>1788</v>
      </c>
      <c r="K354" s="25" t="s">
        <v>1674</v>
      </c>
      <c r="L354" s="25" t="s">
        <v>1661</v>
      </c>
      <c r="M354" s="25" t="s">
        <v>64</v>
      </c>
      <c r="N354" s="26" t="str">
        <f>IF(O354="","",LEN(O354)-LEN(SUBSTITUTE(O354,"/",""))+IF(ISNUMBER(SEARCH("@",O354)),0,1))</f>
        <v>4</v>
      </c>
      <c r="O354" s="26" t="s">
        <v>1789</v>
      </c>
      <c r="P354" s="20"/>
      <c r="Q354" s="20"/>
      <c r="R354" s="20"/>
      <c r="S354" s="25" t="s">
        <v>993</v>
      </c>
      <c r="T354" s="20"/>
      <c r="U354" s="25" t="s">
        <v>1663</v>
      </c>
      <c r="V354" s="25" t="s">
        <v>68</v>
      </c>
      <c r="W354" s="20" t="str">
        <f>IF(ISBLANK(O354),"是","否")</f>
        <v>否</v>
      </c>
      <c r="X354" s="20"/>
      <c r="Y354" s="25"/>
      <c r="Z354" s="25"/>
      <c r="AC354" s="20" t="s">
        <v>76</v>
      </c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</row>
    <row r="355" ht="39.879699248120296" customHeight="1" spans="1:52" x14ac:dyDescent="0.25">
      <c r="A355" s="19" t="s">
        <v>1038</v>
      </c>
      <c r="B355" s="20" t="s">
        <v>57</v>
      </c>
      <c r="C355" s="21"/>
      <c r="D355" s="22"/>
      <c r="E355" s="21" t="s">
        <v>1134</v>
      </c>
      <c r="F355" s="29" t="s">
        <v>1790</v>
      </c>
      <c r="G355" s="20" t="str">
        <f>SUBSTITUTE(SUBSTITUTE(SUBSTITUTE(O355,"/@","_"),"/cac:","_"),"/cbc:","_")</f>
        <v>Invoice_InvoiceLine_WithholdingTaxTotal_TaxSubtotal_TaxableAmount</v>
      </c>
      <c r="H355" s="19" t="s">
        <v>1791</v>
      </c>
      <c r="I355" s="25" t="s">
        <v>1792</v>
      </c>
      <c r="J355" s="25" t="s">
        <v>1138</v>
      </c>
      <c r="K355" s="25" t="s">
        <v>1139</v>
      </c>
      <c r="L355" s="25" t="s">
        <v>1000</v>
      </c>
      <c r="M355" s="25">
        <v>1</v>
      </c>
      <c r="N355" s="26" t="str">
        <f>IF(O355="","",LEN(O355)-LEN(SUBSTITUTE(O355,"/",""))+IF(ISNUMBER(SEARCH("@",O355)),0,1))</f>
        <v>5</v>
      </c>
      <c r="O355" s="26" t="s">
        <v>1793</v>
      </c>
      <c r="P355" s="20"/>
      <c r="Q355" s="20"/>
      <c r="R355" s="20"/>
      <c r="S355" s="25">
        <v>50</v>
      </c>
      <c r="T355" s="20"/>
      <c r="U355" s="25" t="s">
        <v>1663</v>
      </c>
      <c r="V355" s="25" t="s">
        <v>68</v>
      </c>
      <c r="W355" s="20" t="str">
        <f>IF(ISBLANK(O355),"是","否")</f>
        <v>否</v>
      </c>
      <c r="X355" s="20"/>
      <c r="Y355" s="25"/>
      <c r="Z355" s="25"/>
      <c r="AC355" s="20" t="s">
        <v>76</v>
      </c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</row>
    <row r="356" ht="39.879699248120296" customHeight="1" spans="1:52" x14ac:dyDescent="0.25">
      <c r="A356" s="19" t="s">
        <v>1038</v>
      </c>
      <c r="B356" s="20" t="s">
        <v>57</v>
      </c>
      <c r="C356" s="21"/>
      <c r="D356" s="22"/>
      <c r="E356" s="21" t="s">
        <v>1743</v>
      </c>
      <c r="F356" s="29" t="s">
        <v>1794</v>
      </c>
      <c r="G356" s="20" t="str">
        <f>SUBSTITUTE(SUBSTITUTE(SUBSTITUTE(O356,"/@","_"),"/cac:","_"),"/cbc:","_")</f>
        <v>Invoice_InvoiceLine_WithholdingTaxTotal_TaxSubtotal_TaxableAmount_currencyID</v>
      </c>
      <c r="H356" s="19" t="s">
        <v>1795</v>
      </c>
      <c r="I356" s="25" t="s">
        <v>1055</v>
      </c>
      <c r="J356" s="25" t="s">
        <v>1796</v>
      </c>
      <c r="K356" s="25" t="s">
        <v>1674</v>
      </c>
      <c r="L356" s="25" t="s">
        <v>1661</v>
      </c>
      <c r="M356" s="25" t="s">
        <v>64</v>
      </c>
      <c r="N356" s="26" t="str">
        <f>IF(O356="","",LEN(O356)-LEN(SUBSTITUTE(O356,"/",""))+IF(ISNUMBER(SEARCH("@",O356)),0,1))</f>
        <v>5</v>
      </c>
      <c r="O356" s="26" t="s">
        <v>1797</v>
      </c>
      <c r="P356" s="20"/>
      <c r="Q356" s="20"/>
      <c r="R356" s="20"/>
      <c r="S356" s="25" t="s">
        <v>993</v>
      </c>
      <c r="T356" s="20"/>
      <c r="U356" s="25" t="s">
        <v>1663</v>
      </c>
      <c r="V356" s="25" t="s">
        <v>68</v>
      </c>
      <c r="W356" s="20" t="str">
        <f>IF(ISBLANK(O356),"是","否")</f>
        <v>否</v>
      </c>
      <c r="X356" s="20"/>
      <c r="Y356" s="25"/>
      <c r="Z356" s="25"/>
      <c r="AC356" s="20" t="s">
        <v>76</v>
      </c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</row>
    <row r="357" ht="29.59398496240601" customHeight="1" spans="1:52" x14ac:dyDescent="0.25">
      <c r="A357" s="19" t="s">
        <v>1038</v>
      </c>
      <c r="B357" s="20" t="s">
        <v>57</v>
      </c>
      <c r="C357" s="21"/>
      <c r="D357" s="22"/>
      <c r="E357" s="21" t="s">
        <v>1059</v>
      </c>
      <c r="F357" s="29" t="s">
        <v>1798</v>
      </c>
      <c r="G357" s="20" t="str">
        <f>SUBSTITUTE(SUBSTITUTE(SUBSTITUTE(O357,"/@","_"),"/cac:","_"),"/cbc:","_")</f>
        <v>Invoice_InvoiceLine_WithholdingTaxTotal_TaxSubtotal_TaxAmount</v>
      </c>
      <c r="H357" s="19" t="s">
        <v>111</v>
      </c>
      <c r="I357" s="25" t="s">
        <v>1799</v>
      </c>
      <c r="J357" s="25" t="s">
        <v>1800</v>
      </c>
      <c r="K357" s="25" t="s">
        <v>1139</v>
      </c>
      <c r="L357" s="25" t="s">
        <v>1000</v>
      </c>
      <c r="M357" s="25">
        <v>1</v>
      </c>
      <c r="N357" s="26" t="str">
        <f>IF(O357="","",LEN(O357)-LEN(SUBSTITUTE(O357,"/",""))+IF(ISNUMBER(SEARCH("@",O357)),0,1))</f>
        <v>5</v>
      </c>
      <c r="O357" s="26" t="s">
        <v>1801</v>
      </c>
      <c r="P357" s="20"/>
      <c r="Q357" s="20"/>
      <c r="R357" s="20"/>
      <c r="S357" s="25">
        <v>5</v>
      </c>
      <c r="T357" s="20"/>
      <c r="U357" s="25" t="s">
        <v>1663</v>
      </c>
      <c r="V357" s="25" t="s">
        <v>68</v>
      </c>
      <c r="W357" s="20" t="str">
        <f>IF(ISBLANK(O357),"是","否")</f>
        <v>否</v>
      </c>
      <c r="X357" s="20"/>
      <c r="Y357" s="25"/>
      <c r="Z357" s="25"/>
      <c r="AC357" s="20" t="s">
        <v>76</v>
      </c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</row>
    <row r="358" ht="39.879699248120296" customHeight="1" spans="1:52" x14ac:dyDescent="0.25">
      <c r="A358" s="19" t="s">
        <v>1038</v>
      </c>
      <c r="B358" s="20" t="s">
        <v>57</v>
      </c>
      <c r="C358" s="21"/>
      <c r="D358" s="22"/>
      <c r="E358" s="21" t="s">
        <v>1066</v>
      </c>
      <c r="F358" s="29" t="s">
        <v>1802</v>
      </c>
      <c r="G358" s="20" t="str">
        <f>SUBSTITUTE(SUBSTITUTE(SUBSTITUTE(O358,"/@","_"),"/cac:","_"),"/cbc:","_")</f>
        <v>Invoice_InvoiceLine_WithholdingTaxTotal_TaxSubtotal_TaxAmount_currencyID</v>
      </c>
      <c r="H358" s="19" t="s">
        <v>1803</v>
      </c>
      <c r="I358" s="25" t="s">
        <v>1055</v>
      </c>
      <c r="J358" s="25" t="s">
        <v>1804</v>
      </c>
      <c r="K358" s="25" t="s">
        <v>1674</v>
      </c>
      <c r="L358" s="25" t="s">
        <v>1661</v>
      </c>
      <c r="M358" s="25" t="s">
        <v>64</v>
      </c>
      <c r="N358" s="26" t="str">
        <f>IF(O358="","",LEN(O358)-LEN(SUBSTITUTE(O358,"/",""))+IF(ISNUMBER(SEARCH("@",O358)),0,1))</f>
        <v>5</v>
      </c>
      <c r="O358" s="26" t="s">
        <v>1805</v>
      </c>
      <c r="P358" s="20"/>
      <c r="Q358" s="20"/>
      <c r="R358" s="20"/>
      <c r="S358" s="25" t="s">
        <v>993</v>
      </c>
      <c r="T358" s="20"/>
      <c r="U358" s="25" t="s">
        <v>1663</v>
      </c>
      <c r="V358" s="25" t="s">
        <v>68</v>
      </c>
      <c r="W358" s="20" t="str">
        <f>IF(ISBLANK(O358),"是","否")</f>
        <v>否</v>
      </c>
      <c r="X358" s="20"/>
      <c r="Y358" s="25"/>
      <c r="Z358" s="25"/>
      <c r="AC358" s="20" t="s">
        <v>76</v>
      </c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</row>
    <row r="359" ht="39.879699248120296" customHeight="1" spans="1:52" x14ac:dyDescent="0.25">
      <c r="A359" s="19" t="s">
        <v>1071</v>
      </c>
      <c r="B359" s="20" t="s">
        <v>57</v>
      </c>
      <c r="C359" s="21"/>
      <c r="D359" s="22"/>
      <c r="E359" s="21" t="s">
        <v>1072</v>
      </c>
      <c r="F359" s="29" t="s">
        <v>1806</v>
      </c>
      <c r="G359" s="20" t="str">
        <f>SUBSTITUTE(SUBSTITUTE(SUBSTITUTE(O359,"/@","_"),"/cac:","_"),"/cbc:","_")</f>
        <v>Invoice_InvoiceLine_WithholdingTaxTotal_TaxSubtotal_TaxCategory_ID</v>
      </c>
      <c r="H359" s="19" t="s">
        <v>1807</v>
      </c>
      <c r="I359" s="25" t="s">
        <v>1808</v>
      </c>
      <c r="J359" s="25" t="s">
        <v>1809</v>
      </c>
      <c r="K359" s="25" t="s">
        <v>1810</v>
      </c>
      <c r="L359" s="25" t="s">
        <v>1661</v>
      </c>
      <c r="M359" s="25">
        <v>1</v>
      </c>
      <c r="N359" s="26" t="str">
        <f>IF(O359="","",LEN(O359)-LEN(SUBSTITUTE(O359,"/",""))+IF(ISNUMBER(SEARCH("@",O359)),0,1))</f>
        <v>6</v>
      </c>
      <c r="O359" s="26" t="s">
        <v>1811</v>
      </c>
      <c r="P359" s="20"/>
      <c r="Q359" s="20"/>
      <c r="R359" s="20"/>
      <c r="S359" s="25" t="s">
        <v>1079</v>
      </c>
      <c r="T359" s="20"/>
      <c r="U359" s="25" t="s">
        <v>1663</v>
      </c>
      <c r="V359" s="25" t="s">
        <v>68</v>
      </c>
      <c r="W359" s="20" t="str">
        <f>IF(ISBLANK(O359),"是","否")</f>
        <v>否</v>
      </c>
      <c r="X359" s="20"/>
      <c r="Y359" s="25"/>
      <c r="Z359" s="25"/>
      <c r="AC359" s="20" t="s">
        <v>76</v>
      </c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</row>
    <row r="360" ht="39.879699248120296" customHeight="1" spans="1:52" x14ac:dyDescent="0.25">
      <c r="A360" s="19" t="s">
        <v>1071</v>
      </c>
      <c r="B360" s="20" t="s">
        <v>57</v>
      </c>
      <c r="C360" s="21"/>
      <c r="D360" s="22"/>
      <c r="E360" s="21" t="s">
        <v>1080</v>
      </c>
      <c r="F360" s="29" t="s">
        <v>1812</v>
      </c>
      <c r="G360" s="20" t="str">
        <f>SUBSTITUTE(SUBSTITUTE(SUBSTITUTE(O360,"/@","_"),"/cac:","_"),"/cbc:","_")</f>
        <v>Invoice_InvoiceLine_WithholdingTaxTotal_TaxSubtotal_TaxCategory_Percent</v>
      </c>
      <c r="H360" s="19" t="s">
        <v>1082</v>
      </c>
      <c r="I360" s="25" t="s">
        <v>1813</v>
      </c>
      <c r="J360" s="25" t="s">
        <v>1154</v>
      </c>
      <c r="K360" s="25" t="s">
        <v>1814</v>
      </c>
      <c r="L360" s="25" t="s">
        <v>1000</v>
      </c>
      <c r="M360" s="25" t="s">
        <v>64</v>
      </c>
      <c r="N360" s="26" t="str">
        <f>IF(O360="","",LEN(O360)-LEN(SUBSTITUTE(O360,"/",""))+IF(ISNUMBER(SEARCH("@",O360)),0,1))</f>
        <v>6</v>
      </c>
      <c r="O360" s="26" t="s">
        <v>1815</v>
      </c>
      <c r="P360" s="20"/>
      <c r="Q360" s="20"/>
      <c r="R360" s="20"/>
      <c r="S360" s="25">
        <v>10</v>
      </c>
      <c r="T360" s="20"/>
      <c r="U360" s="25" t="s">
        <v>1663</v>
      </c>
      <c r="V360" s="25" t="s">
        <v>68</v>
      </c>
      <c r="W360" s="20" t="str">
        <f>IF(ISBLANK(O360),"是","否")</f>
        <v>否</v>
      </c>
      <c r="X360" s="20"/>
      <c r="Y360" s="25"/>
      <c r="Z360" s="25"/>
      <c r="AC360" s="20" t="s">
        <v>76</v>
      </c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</row>
    <row r="361" ht="50.16541353383458" customHeight="1" spans="1:52" x14ac:dyDescent="0.25">
      <c r="A361" s="19" t="s">
        <v>1071</v>
      </c>
      <c r="B361" s="20" t="s">
        <v>57</v>
      </c>
      <c r="C361" s="21"/>
      <c r="D361" s="22"/>
      <c r="E361" s="21" t="s">
        <v>1088</v>
      </c>
      <c r="F361" s="29" t="s">
        <v>1816</v>
      </c>
      <c r="G361" s="20" t="str">
        <f>SUBSTITUTE(SUBSTITUTE(SUBSTITUTE(O361,"/@","_"),"/cac:","_"),"/cbc:","_")</f>
        <v>Invoice_InvoiceLine_WithholdingTaxTotal_TaxSubtotal_TaxCategory_TaxExemptionReasonCode</v>
      </c>
      <c r="H361" s="19" t="s">
        <v>1246</v>
      </c>
      <c r="I361" s="25" t="s">
        <v>1817</v>
      </c>
      <c r="J361" s="25" t="s">
        <v>1818</v>
      </c>
      <c r="K361" s="25" t="s">
        <v>1248</v>
      </c>
      <c r="L361" s="25" t="s">
        <v>1661</v>
      </c>
      <c r="M361" s="25" t="s">
        <v>64</v>
      </c>
      <c r="N361" s="26" t="str">
        <f>IF(O361="","",LEN(O361)-LEN(SUBSTITUTE(O361,"/",""))+IF(ISNUMBER(SEARCH("@",O361)),0,1))</f>
        <v>6</v>
      </c>
      <c r="O361" s="26" t="s">
        <v>1819</v>
      </c>
      <c r="P361" s="20"/>
      <c r="Q361" s="20"/>
      <c r="R361" s="20"/>
      <c r="S361" s="25" t="s">
        <v>681</v>
      </c>
      <c r="T361" s="20"/>
      <c r="U361" s="25" t="s">
        <v>1663</v>
      </c>
      <c r="V361" s="25" t="s">
        <v>68</v>
      </c>
      <c r="W361" s="20" t="str">
        <f>IF(ISBLANK(O361),"是","否")</f>
        <v>否</v>
      </c>
      <c r="X361" s="20"/>
      <c r="Y361" s="25"/>
      <c r="Z361" s="25"/>
      <c r="AC361" s="20" t="s">
        <v>76</v>
      </c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</row>
    <row r="362" ht="50.16541353383458" customHeight="1" spans="1:52" x14ac:dyDescent="0.25">
      <c r="A362" s="19" t="s">
        <v>1071</v>
      </c>
      <c r="B362" s="20" t="s">
        <v>57</v>
      </c>
      <c r="C362" s="21"/>
      <c r="D362" s="22"/>
      <c r="E362" s="21" t="s">
        <v>1096</v>
      </c>
      <c r="F362" s="29" t="s">
        <v>1820</v>
      </c>
      <c r="G362" s="20" t="str">
        <f>SUBSTITUTE(SUBSTITUTE(SUBSTITUTE(O362,"/@","_"),"/cac:","_"),"/cbc:","_")</f>
        <v>Invoice_InvoiceLine_WithholdingTaxTotal_TaxSubtotal_TaxCategory_TaxExemptionReason</v>
      </c>
      <c r="H362" s="19" t="s">
        <v>1821</v>
      </c>
      <c r="I362" s="25" t="s">
        <v>1822</v>
      </c>
      <c r="J362" s="25" t="s">
        <v>1823</v>
      </c>
      <c r="K362" s="25" t="s">
        <v>1768</v>
      </c>
      <c r="L362" s="25" t="s">
        <v>228</v>
      </c>
      <c r="M362" s="25" t="s">
        <v>64</v>
      </c>
      <c r="N362" s="26" t="str">
        <f>IF(O362="","",LEN(O362)-LEN(SUBSTITUTE(O362,"/",""))+IF(ISNUMBER(SEARCH("@",O362)),0,1))</f>
        <v>6</v>
      </c>
      <c r="O362" s="26" t="s">
        <v>1824</v>
      </c>
      <c r="P362" s="20"/>
      <c r="Q362" s="20"/>
      <c r="R362" s="20"/>
      <c r="S362" s="25" t="s">
        <v>681</v>
      </c>
      <c r="T362" s="20"/>
      <c r="U362" s="25" t="s">
        <v>1663</v>
      </c>
      <c r="V362" s="25" t="s">
        <v>68</v>
      </c>
      <c r="W362" s="20" t="str">
        <f>IF(ISBLANK(O362),"是","否")</f>
        <v>否</v>
      </c>
      <c r="X362" s="20"/>
      <c r="Y362" s="25"/>
      <c r="Z362" s="25"/>
      <c r="AC362" s="20" t="s">
        <v>76</v>
      </c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</row>
    <row r="363" ht="39.879699248120296" customHeight="1" spans="1:52" x14ac:dyDescent="0.25">
      <c r="A363" s="19" t="s">
        <v>349</v>
      </c>
      <c r="B363" s="20" t="s">
        <v>57</v>
      </c>
      <c r="C363" s="21"/>
      <c r="D363" s="22"/>
      <c r="E363" s="21" t="s">
        <v>1104</v>
      </c>
      <c r="F363" s="29" t="s">
        <v>1825</v>
      </c>
      <c r="G363" s="20" t="str">
        <f>SUBSTITUTE(SUBSTITUTE(SUBSTITUTE(O363,"/@","_"),"/cac:","_"),"/cbc:","_")</f>
        <v>Invoice_InvoiceLine_WithholdingTaxTotal_TaxSubtotal_TaxCategory_TaxScheme_ID</v>
      </c>
      <c r="H363" s="19" t="s">
        <v>1826</v>
      </c>
      <c r="I363" s="25" t="s">
        <v>1827</v>
      </c>
      <c r="J363" s="25" t="s">
        <v>1159</v>
      </c>
      <c r="K363" s="25" t="s">
        <v>1828</v>
      </c>
      <c r="L363" s="25" t="s">
        <v>1661</v>
      </c>
      <c r="M363" s="25" t="s">
        <v>64</v>
      </c>
      <c r="N363" s="26" t="str">
        <f>IF(O363="","",LEN(O363)-LEN(SUBSTITUTE(O363,"/",""))+IF(ISNUMBER(SEARCH("@",O363)),0,1))</f>
        <v>7</v>
      </c>
      <c r="O363" s="26" t="s">
        <v>1829</v>
      </c>
      <c r="P363" s="20"/>
      <c r="Q363" s="20"/>
      <c r="R363" s="20"/>
      <c r="S363" s="25" t="s">
        <v>1162</v>
      </c>
      <c r="T363" s="20"/>
      <c r="U363" s="25" t="s">
        <v>1663</v>
      </c>
      <c r="V363" s="25" t="s">
        <v>68</v>
      </c>
      <c r="W363" s="20" t="str">
        <f>IF(ISBLANK(O363),"是","否")</f>
        <v>否</v>
      </c>
      <c r="X363" s="20"/>
      <c r="Y363" s="25"/>
      <c r="Z363" s="25"/>
      <c r="AC363" s="20" t="s">
        <v>76</v>
      </c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</row>
    <row r="364" ht="29.59398496240601" customHeight="1" spans="1:52" x14ac:dyDescent="0.25">
      <c r="A364" s="19" t="s">
        <v>1306</v>
      </c>
      <c r="B364" s="20" t="s">
        <v>57</v>
      </c>
      <c r="C364" s="21"/>
      <c r="D364" s="22"/>
      <c r="E364" s="21" t="s">
        <v>1830</v>
      </c>
      <c r="F364" s="29" t="s">
        <v>1831</v>
      </c>
      <c r="G364" s="20" t="str">
        <f>SUBSTITUTE(SUBSTITUTE(SUBSTITUTE(O364,"/@","_"),"/cac:","_"),"/cbc:","_")</f>
        <v>Invoice_InvoiceLine_AccountingCost</v>
      </c>
      <c r="H364" s="19" t="s">
        <v>1832</v>
      </c>
      <c r="I364" s="25" t="s">
        <v>1833</v>
      </c>
      <c r="J364" s="25" t="s">
        <v>1834</v>
      </c>
      <c r="K364" s="25" t="s">
        <v>1835</v>
      </c>
      <c r="L364" s="25" t="s">
        <v>228</v>
      </c>
      <c r="M364" s="25" t="s">
        <v>64</v>
      </c>
      <c r="N364" s="26" t="str">
        <f>IF(O364="","",LEN(O364)-LEN(SUBSTITUTE(O364,"/",""))+IF(ISNUMBER(SEARCH("@",O364)),0,1))</f>
        <v>3</v>
      </c>
      <c r="O364" s="26" t="s">
        <v>1836</v>
      </c>
      <c r="P364" s="20"/>
      <c r="Q364" s="20"/>
      <c r="R364" s="20"/>
      <c r="S364" s="25" t="s">
        <v>1837</v>
      </c>
      <c r="T364" s="20"/>
      <c r="U364" s="25" t="s">
        <v>1663</v>
      </c>
      <c r="V364" s="25" t="s">
        <v>68</v>
      </c>
      <c r="W364" s="20" t="str">
        <f>IF(ISBLANK(O364),"是","否")</f>
        <v>否</v>
      </c>
      <c r="X364" s="20"/>
      <c r="Y364" s="25"/>
      <c r="Z364" s="25"/>
      <c r="AC364" s="20" t="s">
        <v>76</v>
      </c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</row>
    <row r="365" ht="29.59398496240601" customHeight="1" spans="1:52" x14ac:dyDescent="0.25">
      <c r="A365" s="19" t="s">
        <v>1306</v>
      </c>
      <c r="B365" s="20" t="s">
        <v>57</v>
      </c>
      <c r="C365" s="21"/>
      <c r="D365" s="22"/>
      <c r="E365" s="21" t="s">
        <v>1838</v>
      </c>
      <c r="F365" s="29" t="s">
        <v>1839</v>
      </c>
      <c r="G365" s="20" t="str">
        <f>SUBSTITUTE(SUBSTITUTE(SUBSTITUTE(O365,"/@","_"),"/cac:","_"),"/cbc:","_")</f>
        <v>Invoice_InvoiceLine_InvoicePeriod</v>
      </c>
      <c r="H365" s="19" t="s">
        <v>1840</v>
      </c>
      <c r="I365" s="25" t="s">
        <v>1841</v>
      </c>
      <c r="J365" s="25" t="s">
        <v>1842</v>
      </c>
      <c r="K365" s="25" t="s">
        <v>1843</v>
      </c>
      <c r="L365" s="25" t="s">
        <v>220</v>
      </c>
      <c r="M365" s="25" t="s">
        <v>64</v>
      </c>
      <c r="N365" s="26" t="str">
        <f>IF(O365="","",LEN(O365)-LEN(SUBSTITUTE(O365,"/",""))+IF(ISNUMBER(SEARCH("@",O365)),0,1))</f>
        <v>3</v>
      </c>
      <c r="O365" s="26" t="s">
        <v>1844</v>
      </c>
      <c r="P365" s="20"/>
      <c r="Q365" s="20"/>
      <c r="R365" s="20"/>
      <c r="S365" s="25" t="s">
        <v>681</v>
      </c>
      <c r="T365" s="20"/>
      <c r="U365" s="25" t="s">
        <v>1663</v>
      </c>
      <c r="V365" s="25" t="s">
        <v>222</v>
      </c>
      <c r="W365" s="20" t="str">
        <f>IF(ISBLANK(O365),"是","否")</f>
        <v>否</v>
      </c>
      <c r="X365" s="20"/>
      <c r="Y365" s="25"/>
      <c r="Z365" s="25"/>
      <c r="AC365" s="20" t="s">
        <v>76</v>
      </c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</row>
    <row r="366" ht="29.59398496240601" customHeight="1" spans="1:52" x14ac:dyDescent="0.25">
      <c r="A366" s="19" t="s">
        <v>1845</v>
      </c>
      <c r="B366" s="20" t="s">
        <v>57</v>
      </c>
      <c r="C366" s="21"/>
      <c r="D366" s="22"/>
      <c r="E366" s="21" t="s">
        <v>1846</v>
      </c>
      <c r="F366" s="29" t="s">
        <v>1847</v>
      </c>
      <c r="G366" s="20" t="str">
        <f>SUBSTITUTE(SUBSTITUTE(SUBSTITUTE(O366,"/@","_"),"/cac:","_"),"/cbc:","_")</f>
        <v>Invoice_InvoiceLine_InvoicePeriod_StartDate</v>
      </c>
      <c r="H366" s="19" t="s">
        <v>1848</v>
      </c>
      <c r="I366" s="25" t="s">
        <v>1849</v>
      </c>
      <c r="J366" s="25" t="s">
        <v>1850</v>
      </c>
      <c r="K366" s="25" t="s">
        <v>1015</v>
      </c>
      <c r="L366" s="25" t="s">
        <v>1016</v>
      </c>
      <c r="M366" s="25" t="s">
        <v>64</v>
      </c>
      <c r="N366" s="26" t="str">
        <f>IF(O366="","",LEN(O366)-LEN(SUBSTITUTE(O366,"/",""))+IF(ISNUMBER(SEARCH("@",O366)),0,1))</f>
        <v>4</v>
      </c>
      <c r="O366" s="26" t="s">
        <v>1851</v>
      </c>
      <c r="P366" s="20"/>
      <c r="Q366" s="20"/>
      <c r="R366" s="20"/>
      <c r="S366" s="20" t="s">
        <v>1852</v>
      </c>
      <c r="T366" s="20"/>
      <c r="U366" s="25" t="s">
        <v>1663</v>
      </c>
      <c r="V366" s="25" t="s">
        <v>68</v>
      </c>
      <c r="W366" s="20" t="str">
        <f>IF(ISBLANK(O366),"是","否")</f>
        <v>否</v>
      </c>
      <c r="X366" s="20"/>
      <c r="Y366" s="25"/>
      <c r="Z366" s="25"/>
      <c r="AC366" s="20" t="s">
        <v>76</v>
      </c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</row>
    <row r="367" ht="39.879699248120296" customHeight="1" spans="1:52" x14ac:dyDescent="0.25">
      <c r="A367" s="19" t="s">
        <v>1845</v>
      </c>
      <c r="B367" s="20" t="s">
        <v>57</v>
      </c>
      <c r="C367" s="21"/>
      <c r="D367" s="22"/>
      <c r="E367" s="21" t="s">
        <v>1853</v>
      </c>
      <c r="F367" s="29" t="s">
        <v>1854</v>
      </c>
      <c r="G367" s="20" t="str">
        <f>SUBSTITUTE(SUBSTITUTE(SUBSTITUTE(O367,"/@","_"),"/cac:","_"),"/cbc:","_")</f>
        <v>Invoice_InvoiceLine_InvoicePeriod_EndDate</v>
      </c>
      <c r="H367" s="19" t="s">
        <v>1855</v>
      </c>
      <c r="I367" s="25" t="s">
        <v>1856</v>
      </c>
      <c r="J367" s="25" t="s">
        <v>1857</v>
      </c>
      <c r="K367" s="25" t="s">
        <v>1858</v>
      </c>
      <c r="L367" s="25" t="s">
        <v>1016</v>
      </c>
      <c r="M367" s="25" t="s">
        <v>64</v>
      </c>
      <c r="N367" s="26" t="str">
        <f>IF(O367="","",LEN(O367)-LEN(SUBSTITUTE(O367,"/",""))+IF(ISNUMBER(SEARCH("@",O367)),0,1))</f>
        <v>4</v>
      </c>
      <c r="O367" s="26" t="s">
        <v>1859</v>
      </c>
      <c r="P367" s="20"/>
      <c r="Q367" s="20"/>
      <c r="R367" s="20"/>
      <c r="S367" s="20" t="s">
        <v>1860</v>
      </c>
      <c r="T367" s="20"/>
      <c r="U367" s="25" t="s">
        <v>1663</v>
      </c>
      <c r="V367" s="25" t="s">
        <v>68</v>
      </c>
      <c r="W367" s="20" t="str">
        <f>IF(ISBLANK(O367),"是","否")</f>
        <v>否</v>
      </c>
      <c r="X367" s="20"/>
      <c r="Y367" s="25"/>
      <c r="Z367" s="25"/>
      <c r="AA367" s="37">
        <v>176</v>
      </c>
      <c r="AB367" s="35" t="s">
        <v>1861</v>
      </c>
      <c r="AC367" s="20" t="s">
        <v>76</v>
      </c>
      <c r="AD367" s="37"/>
      <c r="AE367" s="35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</row>
    <row r="368" ht="29.59398496240601" customHeight="1" spans="1:52" x14ac:dyDescent="0.25">
      <c r="A368" s="19" t="s">
        <v>1862</v>
      </c>
      <c r="B368" s="20" t="s">
        <v>57</v>
      </c>
      <c r="C368" s="21"/>
      <c r="D368" s="22"/>
      <c r="E368" s="21" t="s">
        <v>1863</v>
      </c>
      <c r="F368" s="29" t="s">
        <v>1864</v>
      </c>
      <c r="G368" s="20" t="str">
        <f>SUBSTITUTE(SUBSTITUTE(SUBSTITUTE(O368,"/@","_"),"/cac:","_"),"/cbc:","_")</f>
        <v>Invoice_InvoiceLine_OrderLineReference_LineID</v>
      </c>
      <c r="H368" s="19" t="s">
        <v>1865</v>
      </c>
      <c r="I368" s="25" t="s">
        <v>1866</v>
      </c>
      <c r="J368" s="25" t="s">
        <v>1867</v>
      </c>
      <c r="K368" s="25" t="s">
        <v>1868</v>
      </c>
      <c r="L368" s="25" t="s">
        <v>228</v>
      </c>
      <c r="M368" s="25">
        <v>1</v>
      </c>
      <c r="N368" s="26" t="str">
        <f>IF(O368="","",LEN(O368)-LEN(SUBSTITUTE(O368,"/",""))+IF(ISNUMBER(SEARCH("@",O368)),0,1))</f>
        <v>4</v>
      </c>
      <c r="O368" s="26" t="s">
        <v>1869</v>
      </c>
      <c r="P368" s="20"/>
      <c r="Q368" s="20"/>
      <c r="R368" s="20"/>
      <c r="S368" s="25">
        <v>1</v>
      </c>
      <c r="T368" s="20"/>
      <c r="U368" s="25" t="s">
        <v>1663</v>
      </c>
      <c r="V368" s="25" t="s">
        <v>68</v>
      </c>
      <c r="W368" s="20" t="str">
        <f>IF(ISBLANK(O368),"是","否")</f>
        <v>否</v>
      </c>
      <c r="X368" s="20"/>
      <c r="Y368" s="25"/>
      <c r="Z368" s="25"/>
      <c r="AC368" s="20" t="s">
        <v>76</v>
      </c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</row>
    <row r="369" ht="29.59398496240601" customHeight="1" spans="1:52" x14ac:dyDescent="0.25">
      <c r="A369" s="19" t="s">
        <v>132</v>
      </c>
      <c r="B369" s="20" t="s">
        <v>57</v>
      </c>
      <c r="C369" s="21"/>
      <c r="D369" s="22"/>
      <c r="E369" s="21" t="s">
        <v>81</v>
      </c>
      <c r="F369" s="29" t="s">
        <v>1870</v>
      </c>
      <c r="G369" s="20" t="str">
        <f>SUBSTITUTE(SUBSTITUTE(SUBSTITUTE(O369,"/@","_"),"/cac:","_"),"/cbc:","_")</f>
        <v>Invoice_InvoiceLine_OrderLineReference_OrderReference_ID</v>
      </c>
      <c r="H369" s="19" t="s">
        <v>134</v>
      </c>
      <c r="I369" s="25" t="s">
        <v>1871</v>
      </c>
      <c r="J369" s="25" t="s">
        <v>1872</v>
      </c>
      <c r="K369" s="25" t="s">
        <v>1873</v>
      </c>
      <c r="L369" s="25" t="s">
        <v>228</v>
      </c>
      <c r="M369" s="25">
        <v>1</v>
      </c>
      <c r="N369" s="26" t="str">
        <f>IF(O369="","",LEN(O369)-LEN(SUBSTITUTE(O369,"/",""))+IF(ISNUMBER(SEARCH("@",O369)),0,1))</f>
        <v>5</v>
      </c>
      <c r="O369" s="26" t="s">
        <v>1874</v>
      </c>
      <c r="P369" s="20"/>
      <c r="Q369" s="20"/>
      <c r="R369" s="20"/>
      <c r="S369" s="25" t="s">
        <v>1875</v>
      </c>
      <c r="T369" s="20"/>
      <c r="U369" s="25" t="s">
        <v>1663</v>
      </c>
      <c r="V369" s="25" t="s">
        <v>68</v>
      </c>
      <c r="W369" s="20" t="str">
        <f>IF(ISBLANK(O369),"是","否")</f>
        <v>否</v>
      </c>
      <c r="X369" s="20"/>
      <c r="Y369" s="25"/>
      <c r="Z369" s="25"/>
      <c r="AC369" s="20" t="s">
        <v>76</v>
      </c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</row>
    <row r="370" ht="29.59398496240601" customHeight="1" spans="1:52" x14ac:dyDescent="0.25">
      <c r="A370" s="19" t="s">
        <v>1306</v>
      </c>
      <c r="B370" s="20" t="s">
        <v>57</v>
      </c>
      <c r="C370" s="21"/>
      <c r="D370" s="22"/>
      <c r="E370" s="21" t="s">
        <v>139</v>
      </c>
      <c r="F370" s="29" t="s">
        <v>1876</v>
      </c>
      <c r="G370" s="20" t="str">
        <f>SUBSTITUTE(SUBSTITUTE(SUBSTITUTE(O370,"/@","_"),"/cac:","_"),"/cbc:","_")</f>
        <v>Invoice_InvoiceLine_DocumentReference</v>
      </c>
      <c r="H370" s="19" t="s">
        <v>1877</v>
      </c>
      <c r="I370" s="25" t="s">
        <v>1878</v>
      </c>
      <c r="J370" s="25" t="s">
        <v>1879</v>
      </c>
      <c r="K370" s="25" t="s">
        <v>1880</v>
      </c>
      <c r="L370" s="25" t="s">
        <v>220</v>
      </c>
      <c r="M370" s="25" t="s">
        <v>49</v>
      </c>
      <c r="N370" s="26" t="str">
        <f>IF(O370="","",LEN(O370)-LEN(SUBSTITUTE(O370,"/",""))+IF(ISNUMBER(SEARCH("@",O370)),0,1))</f>
        <v>3</v>
      </c>
      <c r="O370" s="26" t="s">
        <v>1881</v>
      </c>
      <c r="P370" s="20"/>
      <c r="Q370" s="20"/>
      <c r="R370" s="20"/>
      <c r="S370" s="25" t="s">
        <v>681</v>
      </c>
      <c r="T370" s="20"/>
      <c r="U370" s="25" t="s">
        <v>1663</v>
      </c>
      <c r="V370" s="25" t="s">
        <v>222</v>
      </c>
      <c r="W370" s="20" t="str">
        <f>IF(ISBLANK(O370),"是","否")</f>
        <v>否</v>
      </c>
      <c r="X370" s="20"/>
      <c r="Y370" s="25"/>
      <c r="Z370" s="25"/>
      <c r="AC370" s="20" t="s">
        <v>76</v>
      </c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</row>
    <row r="371" ht="29.59398496240601" customHeight="1" spans="1:52" x14ac:dyDescent="0.25">
      <c r="A371" s="19" t="s">
        <v>139</v>
      </c>
      <c r="B371" s="20" t="s">
        <v>57</v>
      </c>
      <c r="C371" s="21"/>
      <c r="D371" s="22"/>
      <c r="E371" s="21" t="s">
        <v>81</v>
      </c>
      <c r="F371" s="29" t="s">
        <v>1882</v>
      </c>
      <c r="G371" s="20" t="str">
        <f>SUBSTITUTE(SUBSTITUTE(SUBSTITUTE(O371,"/@","_"),"/cac:","_"),"/cbc:","_")</f>
        <v>Invoice_InvoiceLine_DocumentReference_ID</v>
      </c>
      <c r="H371" s="19" t="s">
        <v>1317</v>
      </c>
      <c r="I371" s="25" t="s">
        <v>1883</v>
      </c>
      <c r="J371" s="25" t="s">
        <v>1884</v>
      </c>
      <c r="K371" s="25" t="s">
        <v>1392</v>
      </c>
      <c r="L371" s="25" t="s">
        <v>228</v>
      </c>
      <c r="M371" s="25">
        <v>1</v>
      </c>
      <c r="N371" s="26" t="str">
        <f>IF(O371="","",LEN(O371)-LEN(SUBSTITUTE(O371,"/",""))+IF(ISNUMBER(SEARCH("@",O371)),0,1))</f>
        <v>4</v>
      </c>
      <c r="O371" s="26" t="s">
        <v>1885</v>
      </c>
      <c r="P371" s="20"/>
      <c r="Q371" s="20"/>
      <c r="R371" s="20"/>
      <c r="S371" s="25" t="s">
        <v>1886</v>
      </c>
      <c r="T371" s="20"/>
      <c r="U371" s="25" t="s">
        <v>1663</v>
      </c>
      <c r="V371" s="25" t="s">
        <v>68</v>
      </c>
      <c r="W371" s="20" t="str">
        <f>IF(ISBLANK(O371),"是","否")</f>
        <v>否</v>
      </c>
      <c r="X371" s="20"/>
      <c r="Y371" s="25"/>
      <c r="Z371" s="25"/>
      <c r="AC371" s="20" t="s">
        <v>76</v>
      </c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</row>
    <row r="372" ht="29.59398496240601" customHeight="1" spans="1:52" x14ac:dyDescent="0.25">
      <c r="A372" s="19" t="s">
        <v>139</v>
      </c>
      <c r="B372" s="20" t="s">
        <v>57</v>
      </c>
      <c r="C372" s="21"/>
      <c r="D372" s="22"/>
      <c r="E372" s="21" t="s">
        <v>1887</v>
      </c>
      <c r="F372" s="29" t="s">
        <v>1888</v>
      </c>
      <c r="G372" s="20" t="str">
        <f>SUBSTITUTE(SUBSTITUTE(SUBSTITUTE(O372,"/@","_"),"/cac:","_"),"/cbc:","_")</f>
        <v>Invoice_InvoiceLine_DocumentReference_ID_schemeID</v>
      </c>
      <c r="H372" s="19" t="s">
        <v>1889</v>
      </c>
      <c r="I372" s="25" t="s">
        <v>1448</v>
      </c>
      <c r="J372" s="25" t="s">
        <v>1890</v>
      </c>
      <c r="K372" s="25" t="s">
        <v>1891</v>
      </c>
      <c r="L372" s="25" t="s">
        <v>1661</v>
      </c>
      <c r="M372" s="25" t="s">
        <v>64</v>
      </c>
      <c r="N372" s="26" t="str">
        <f>IF(O372="","",LEN(O372)-LEN(SUBSTITUTE(O372,"/",""))+IF(ISNUMBER(SEARCH("@",O372)),0,1))</f>
        <v>4</v>
      </c>
      <c r="O372" s="26" t="s">
        <v>1892</v>
      </c>
      <c r="P372" s="20"/>
      <c r="Q372" s="20"/>
      <c r="R372" s="20"/>
      <c r="S372" s="25" t="s">
        <v>1893</v>
      </c>
      <c r="T372" s="20"/>
      <c r="U372" s="25" t="s">
        <v>1663</v>
      </c>
      <c r="V372" s="25" t="s">
        <v>68</v>
      </c>
      <c r="W372" s="20" t="str">
        <f>IF(ISBLANK(O372),"是","否")</f>
        <v>否</v>
      </c>
      <c r="X372" s="20"/>
      <c r="Y372" s="25"/>
      <c r="Z372" s="25"/>
      <c r="AC372" s="20" t="s">
        <v>76</v>
      </c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</row>
    <row r="373" ht="29.59398496240601" customHeight="1" spans="1:52" x14ac:dyDescent="0.25">
      <c r="A373" s="19" t="s">
        <v>139</v>
      </c>
      <c r="B373" s="20" t="s">
        <v>57</v>
      </c>
      <c r="C373" s="21"/>
      <c r="D373" s="22"/>
      <c r="E373" s="21" t="s">
        <v>1894</v>
      </c>
      <c r="F373" s="29" t="s">
        <v>1895</v>
      </c>
      <c r="G373" s="20" t="str">
        <f>SUBSTITUTE(SUBSTITUTE(SUBSTITUTE(O373,"/@","_"),"/cac:","_"),"/cbc:","_")</f>
        <v>Invoice_InvoiceLine_DocumentReference_IssueDate</v>
      </c>
      <c r="H373" s="19" t="s">
        <v>1896</v>
      </c>
      <c r="I373" s="25" t="s">
        <v>1897</v>
      </c>
      <c r="J373" s="25" t="s">
        <v>1898</v>
      </c>
      <c r="K373" s="25" t="s">
        <v>1571</v>
      </c>
      <c r="L373" s="25" t="s">
        <v>1016</v>
      </c>
      <c r="M373" s="25" t="s">
        <v>64</v>
      </c>
      <c r="N373" s="26" t="str">
        <f>IF(O373="","",LEN(O373)-LEN(SUBSTITUTE(O373,"/",""))+IF(ISNUMBER(SEARCH("@",O373)),0,1))</f>
        <v>4</v>
      </c>
      <c r="O373" s="26" t="s">
        <v>1899</v>
      </c>
      <c r="P373" s="20"/>
      <c r="Q373" s="20"/>
      <c r="R373" s="20"/>
      <c r="S373" s="20" t="s">
        <v>1852</v>
      </c>
      <c r="T373" s="20"/>
      <c r="U373" s="25" t="s">
        <v>1663</v>
      </c>
      <c r="V373" s="25" t="s">
        <v>68</v>
      </c>
      <c r="W373" s="20" t="str">
        <f>IF(ISBLANK(O373),"是","否")</f>
        <v>否</v>
      </c>
      <c r="X373" s="20"/>
      <c r="Y373" s="25"/>
      <c r="Z373" s="25"/>
      <c r="AC373" s="20" t="s">
        <v>76</v>
      </c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</row>
    <row r="374" ht="29.59398496240601" customHeight="1" spans="1:52" x14ac:dyDescent="0.25">
      <c r="A374" s="19" t="s">
        <v>139</v>
      </c>
      <c r="B374" s="20" t="s">
        <v>57</v>
      </c>
      <c r="C374" s="21"/>
      <c r="D374" s="22"/>
      <c r="E374" s="21" t="s">
        <v>120</v>
      </c>
      <c r="F374" s="29" t="s">
        <v>1900</v>
      </c>
      <c r="G374" s="20" t="str">
        <f>SUBSTITUTE(SUBSTITUTE(SUBSTITUTE(O374,"/@","_"),"/cac:","_"),"/cbc:","_")</f>
        <v>Invoice_InvoiceLine_DocumentReference_IssueTime</v>
      </c>
      <c r="H374" s="19" t="s">
        <v>1901</v>
      </c>
      <c r="I374" s="25" t="s">
        <v>1902</v>
      </c>
      <c r="J374" s="25" t="s">
        <v>1903</v>
      </c>
      <c r="K374" s="25" t="s">
        <v>1904</v>
      </c>
      <c r="L374" s="25" t="s">
        <v>1905</v>
      </c>
      <c r="M374" s="25" t="s">
        <v>64</v>
      </c>
      <c r="N374" s="26" t="str">
        <f>IF(O374="","",LEN(O374)-LEN(SUBSTITUTE(O374,"/",""))+IF(ISNUMBER(SEARCH("@",O374)),0,1))</f>
        <v>4</v>
      </c>
      <c r="O374" s="26" t="s">
        <v>1906</v>
      </c>
      <c r="P374" s="20"/>
      <c r="Q374" s="20"/>
      <c r="R374" s="20"/>
      <c r="S374" s="20" t="s">
        <v>1907</v>
      </c>
      <c r="T374" s="20"/>
      <c r="U374" s="25" t="s">
        <v>1663</v>
      </c>
      <c r="V374" s="25" t="s">
        <v>68</v>
      </c>
      <c r="W374" s="20" t="str">
        <f>IF(ISBLANK(O374),"是","否")</f>
        <v>否</v>
      </c>
      <c r="X374" s="20"/>
      <c r="Y374" s="25"/>
      <c r="Z374" s="25"/>
      <c r="AC374" s="20" t="s">
        <v>76</v>
      </c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</row>
    <row r="375" ht="39.879699248120296" customHeight="1" spans="1:52" x14ac:dyDescent="0.25">
      <c r="A375" s="19" t="s">
        <v>139</v>
      </c>
      <c r="B375" s="20" t="s">
        <v>57</v>
      </c>
      <c r="C375" s="21"/>
      <c r="D375" s="22"/>
      <c r="E375" s="21" t="s">
        <v>1908</v>
      </c>
      <c r="F375" s="29" t="s">
        <v>1909</v>
      </c>
      <c r="G375" s="20" t="str">
        <f>SUBSTITUTE(SUBSTITUTE(SUBSTITUTE(O375,"/@","_"),"/cac:","_"),"/cbc:","_")</f>
        <v>Invoice_InvoiceLine_DocumentReference_DocumentTypeCode</v>
      </c>
      <c r="H375" s="19" t="s">
        <v>1910</v>
      </c>
      <c r="I375" s="25" t="s">
        <v>1911</v>
      </c>
      <c r="J375" s="25" t="s">
        <v>1912</v>
      </c>
      <c r="K375" s="25" t="s">
        <v>1913</v>
      </c>
      <c r="L375" s="25" t="s">
        <v>1661</v>
      </c>
      <c r="M375" s="25" t="s">
        <v>64</v>
      </c>
      <c r="N375" s="26" t="str">
        <f>IF(O375="","",LEN(O375)-LEN(SUBSTITUTE(O375,"/",""))+IF(ISNUMBER(SEARCH("@",O375)),0,1))</f>
        <v>4</v>
      </c>
      <c r="O375" s="26" t="s">
        <v>1914</v>
      </c>
      <c r="P375" s="20"/>
      <c r="Q375" s="20"/>
      <c r="R375" s="20"/>
      <c r="S375" s="25">
        <v>130</v>
      </c>
      <c r="T375" s="20"/>
      <c r="U375" s="25" t="s">
        <v>1663</v>
      </c>
      <c r="V375" s="25" t="s">
        <v>68</v>
      </c>
      <c r="W375" s="20" t="str">
        <f>IF(ISBLANK(O375),"是","否")</f>
        <v>否</v>
      </c>
      <c r="X375" s="20"/>
      <c r="Y375" s="25"/>
      <c r="Z375" s="25"/>
      <c r="AC375" s="20" t="s">
        <v>76</v>
      </c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</row>
    <row r="376" ht="50.16541353383458" customHeight="1" spans="1:52" x14ac:dyDescent="0.25">
      <c r="A376" s="19" t="s">
        <v>1605</v>
      </c>
      <c r="B376" s="20" t="s">
        <v>57</v>
      </c>
      <c r="C376" s="21" t="s">
        <v>1307</v>
      </c>
      <c r="D376" s="22" t="s">
        <v>1308</v>
      </c>
      <c r="E376" s="21" t="s">
        <v>1915</v>
      </c>
      <c r="F376" s="23" t="s">
        <v>1915</v>
      </c>
      <c r="G376" s="20" t="str">
        <f>SUBSTITUTE(SUBSTITUTE(SUBSTITUTE(O376,"/@","_"),"/cac:","_"),"/cbc:","_")</f>
        <v>Invoice_InvoiceLine_Price_PriceAmount</v>
      </c>
      <c r="H376" s="19" t="s">
        <v>1916</v>
      </c>
      <c r="I376" s="19" t="s">
        <v>1917</v>
      </c>
      <c r="J376" s="19" t="s">
        <v>1918</v>
      </c>
      <c r="K376" s="20"/>
      <c r="L376" s="25"/>
      <c r="M376" s="20" t="s">
        <v>165</v>
      </c>
      <c r="N376" s="26" t="str">
        <f>IF(O376="","",LEN(O376)-LEN(SUBSTITUTE(O376,"/",""))+IF(ISNUMBER(SEARCH("@",O376)),0,1))</f>
        <v>4</v>
      </c>
      <c r="O376" s="19" t="s">
        <v>1618</v>
      </c>
      <c r="P376" s="19" t="s">
        <v>1919</v>
      </c>
      <c r="Q376" s="20"/>
      <c r="R376" s="20"/>
      <c r="S376" s="20" t="s">
        <v>1920</v>
      </c>
      <c r="T376" s="20"/>
      <c r="U376" s="20" t="s">
        <v>67</v>
      </c>
      <c r="V376" s="20" t="s">
        <v>68</v>
      </c>
      <c r="W376" s="20" t="str">
        <f>IF(ISBLANK(O376),"是","否")</f>
        <v>否</v>
      </c>
      <c r="X376" s="20" t="s">
        <v>76</v>
      </c>
      <c r="Y376" s="25"/>
      <c r="Z376" s="25"/>
      <c r="AA376" s="24">
        <v>188</v>
      </c>
      <c r="AB376" s="25" t="s">
        <v>1915</v>
      </c>
      <c r="AC376" s="20"/>
      <c r="AD376" s="24"/>
      <c r="AE376" s="25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</row>
    <row r="377" ht="60.45112781954887" customHeight="1" spans="1:52" x14ac:dyDescent="0.25">
      <c r="A377" s="19" t="s">
        <v>1921</v>
      </c>
      <c r="B377" s="20" t="s">
        <v>57</v>
      </c>
      <c r="C377" s="21" t="s">
        <v>1307</v>
      </c>
      <c r="D377" s="22" t="s">
        <v>1308</v>
      </c>
      <c r="E377" s="21" t="s">
        <v>1922</v>
      </c>
      <c r="F377" s="23" t="s">
        <v>1922</v>
      </c>
      <c r="G377" s="20" t="str">
        <f>SUBSTITUTE(SUBSTITUTE(SUBSTITUTE(O377,"/@","_"),"/cac:","_"),"/cbc:","_")</f>
        <v>Invoice_InvoiceLine_BillingReference_BillingReferenceLine_ID</v>
      </c>
      <c r="H377" s="19" t="s">
        <v>1923</v>
      </c>
      <c r="I377" s="19"/>
      <c r="J377" s="19" t="s">
        <v>1924</v>
      </c>
      <c r="K377" s="20"/>
      <c r="L377" s="25"/>
      <c r="M377" s="20" t="s">
        <v>165</v>
      </c>
      <c r="N377" s="26" t="str">
        <f>IF(O377="","",LEN(O377)-LEN(SUBSTITUTE(O377,"/",""))+IF(ISNUMBER(SEARCH("@",O377)),0,1))</f>
        <v>5</v>
      </c>
      <c r="O377" s="19" t="s">
        <v>1925</v>
      </c>
      <c r="P377" s="19" t="s">
        <v>1926</v>
      </c>
      <c r="Q377" s="20"/>
      <c r="R377" s="20"/>
      <c r="S377" s="20"/>
      <c r="T377" s="20"/>
      <c r="U377" s="20" t="s">
        <v>67</v>
      </c>
      <c r="V377" s="20" t="s">
        <v>68</v>
      </c>
      <c r="W377" s="20" t="str">
        <f>IF(ISBLANK(O377),"是","否")</f>
        <v>否</v>
      </c>
      <c r="X377" s="20" t="s">
        <v>76</v>
      </c>
      <c r="Y377" s="25"/>
      <c r="Z377" s="25"/>
      <c r="AA377" s="24">
        <v>180</v>
      </c>
      <c r="AB377" s="25" t="s">
        <v>1922</v>
      </c>
      <c r="AC377" s="20"/>
      <c r="AD377" s="24"/>
      <c r="AE377" s="25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</row>
    <row r="378" ht="91.30827067669172" customHeight="1" spans="1:52" x14ac:dyDescent="0.25">
      <c r="A378" s="27"/>
      <c r="B378" s="20" t="s">
        <v>57</v>
      </c>
      <c r="C378" s="21" t="s">
        <v>1307</v>
      </c>
      <c r="D378" s="22" t="s">
        <v>1308</v>
      </c>
      <c r="E378" s="21" t="s">
        <v>1927</v>
      </c>
      <c r="F378" s="23" t="s">
        <v>1927</v>
      </c>
      <c r="G378" s="20" t="str">
        <f>SUBSTITUTE(SUBSTITUTE(SUBSTITUTE(O378,"/@","_"),"/cac:","_"),"/cbc:","_")</f>
        <v/>
      </c>
      <c r="H378" s="19" t="s">
        <v>1928</v>
      </c>
      <c r="I378" s="19"/>
      <c r="J378" s="19"/>
      <c r="K378" s="20"/>
      <c r="L378" s="25"/>
      <c r="M378" s="20"/>
      <c r="N378" s="26" t="str">
        <f>IF(O378="","",LEN(O378)-LEN(SUBSTITUTE(O378,"/",""))+IF(ISNUMBER(SEARCH("@",O378)),0,1))</f>
        <v/>
      </c>
      <c r="O378" s="19"/>
      <c r="P378" s="19" t="s">
        <v>1929</v>
      </c>
      <c r="Q378" s="20"/>
      <c r="R378" s="20"/>
      <c r="S378" s="20"/>
      <c r="T378" s="20"/>
      <c r="U378" s="20" t="s">
        <v>67</v>
      </c>
      <c r="V378" s="20"/>
      <c r="W378" s="20" t="str">
        <f>IF(ISBLANK(O378),"是","否")</f>
        <v>是</v>
      </c>
      <c r="X378" s="20" t="s">
        <v>76</v>
      </c>
      <c r="Y378" s="25"/>
      <c r="Z378" s="25"/>
      <c r="AA378" s="24">
        <v>174</v>
      </c>
      <c r="AB378" s="25" t="s">
        <v>1927</v>
      </c>
      <c r="AC378" s="20"/>
      <c r="AD378" s="24"/>
      <c r="AE378" s="25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</row>
    <row r="379" ht="29.59398496240601" customHeight="1" spans="1:52" x14ac:dyDescent="0.25">
      <c r="A379" s="27"/>
      <c r="B379" s="20" t="s">
        <v>57</v>
      </c>
      <c r="C379" s="21" t="s">
        <v>1307</v>
      </c>
      <c r="D379" s="22" t="s">
        <v>1308</v>
      </c>
      <c r="E379" s="21" t="s">
        <v>1930</v>
      </c>
      <c r="F379" s="23" t="s">
        <v>1930</v>
      </c>
      <c r="G379" s="20" t="str">
        <f>SUBSTITUTE(SUBSTITUTE(SUBSTITUTE(O379,"/@","_"),"/cac:","_"),"/cbc:","_")</f>
        <v/>
      </c>
      <c r="H379" s="19" t="s">
        <v>1931</v>
      </c>
      <c r="I379" s="19"/>
      <c r="J379" s="19"/>
      <c r="K379" s="20"/>
      <c r="L379" s="25"/>
      <c r="M379" s="20"/>
      <c r="N379" s="26" t="str">
        <f>IF(O379="","",LEN(O379)-LEN(SUBSTITUTE(O379,"/",""))+IF(ISNUMBER(SEARCH("@",O379)),0,1))</f>
        <v/>
      </c>
      <c r="O379" s="19"/>
      <c r="P379" s="19" t="s">
        <v>1932</v>
      </c>
      <c r="Q379" s="20"/>
      <c r="R379" s="20"/>
      <c r="S379" s="20"/>
      <c r="T379" s="20"/>
      <c r="U379" s="20" t="s">
        <v>67</v>
      </c>
      <c r="V379" s="20"/>
      <c r="W379" s="20" t="str">
        <f>IF(ISBLANK(O379),"是","否")</f>
        <v>是</v>
      </c>
      <c r="X379" s="20" t="s">
        <v>76</v>
      </c>
      <c r="Y379" s="25"/>
      <c r="Z379" s="25"/>
      <c r="AA379" s="24">
        <v>178</v>
      </c>
      <c r="AB379" s="25" t="s">
        <v>1930</v>
      </c>
      <c r="AC379" s="20"/>
      <c r="AD379" s="24"/>
      <c r="AE379" s="25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</row>
    <row r="380" ht="29.59398496240601" customHeight="1" spans="1:52" x14ac:dyDescent="0.25">
      <c r="A380" s="27"/>
      <c r="B380" s="20" t="s">
        <v>57</v>
      </c>
      <c r="C380" s="21" t="s">
        <v>1307</v>
      </c>
      <c r="D380" s="22" t="s">
        <v>1308</v>
      </c>
      <c r="E380" s="21" t="s">
        <v>1933</v>
      </c>
      <c r="F380" s="23" t="s">
        <v>1933</v>
      </c>
      <c r="G380" s="20" t="str">
        <f>SUBSTITUTE(SUBSTITUTE(SUBSTITUTE(O380,"/@","_"),"/cac:","_"),"/cbc:","_")</f>
        <v/>
      </c>
      <c r="H380" s="19" t="s">
        <v>1934</v>
      </c>
      <c r="I380" s="19"/>
      <c r="J380" s="19"/>
      <c r="K380" s="20"/>
      <c r="L380" s="25"/>
      <c r="M380" s="20"/>
      <c r="N380" s="26" t="str">
        <f>IF(O380="","",LEN(O380)-LEN(SUBSTITUTE(O380,"/",""))+IF(ISNUMBER(SEARCH("@",O380)),0,1))</f>
        <v/>
      </c>
      <c r="O380" s="19"/>
      <c r="P380" s="19" t="s">
        <v>1932</v>
      </c>
      <c r="Q380" s="20"/>
      <c r="R380" s="20"/>
      <c r="S380" s="20"/>
      <c r="T380" s="20"/>
      <c r="U380" s="20" t="s">
        <v>67</v>
      </c>
      <c r="V380" s="20"/>
      <c r="W380" s="20" t="str">
        <f>IF(ISBLANK(O380),"是","否")</f>
        <v>是</v>
      </c>
      <c r="X380" s="20" t="s">
        <v>76</v>
      </c>
      <c r="Y380" s="25"/>
      <c r="Z380" s="25"/>
      <c r="AA380" s="37">
        <v>185</v>
      </c>
      <c r="AB380" s="35" t="s">
        <v>1933</v>
      </c>
      <c r="AC380" s="20"/>
      <c r="AD380" s="37"/>
      <c r="AE380" s="35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</row>
    <row r="381" ht="50.16541353383458" customHeight="1" spans="1:52" x14ac:dyDescent="0.25">
      <c r="A381" s="27"/>
      <c r="B381" s="20" t="s">
        <v>57</v>
      </c>
      <c r="C381" s="21" t="s">
        <v>1307</v>
      </c>
      <c r="D381" s="22" t="s">
        <v>1308</v>
      </c>
      <c r="E381" s="21" t="s">
        <v>1292</v>
      </c>
      <c r="F381" s="23" t="s">
        <v>1292</v>
      </c>
      <c r="G381" s="20" t="str">
        <f>SUBSTITUTE(SUBSTITUTE(SUBSTITUTE(O381,"/@","_"),"/cac:","_"),"/cbc:","_")</f>
        <v/>
      </c>
      <c r="H381" s="19" t="s">
        <v>1293</v>
      </c>
      <c r="I381" s="19"/>
      <c r="J381" s="19"/>
      <c r="K381" s="24"/>
      <c r="L381" s="25" t="s">
        <v>905</v>
      </c>
      <c r="M381" s="20"/>
      <c r="N381" s="26" t="str">
        <f>IF(O381="","",LEN(O381)-LEN(SUBSTITUTE(O381,"/",""))+IF(ISNUMBER(SEARCH("@",O381)),0,1))</f>
        <v/>
      </c>
      <c r="O381" s="19"/>
      <c r="P381" s="19" t="s">
        <v>1935</v>
      </c>
      <c r="Q381" s="20"/>
      <c r="R381" s="20"/>
      <c r="S381" s="20"/>
      <c r="T381" s="20"/>
      <c r="U381" s="20" t="s">
        <v>682</v>
      </c>
      <c r="V381" s="20"/>
      <c r="W381" s="20" t="str">
        <f>IF(ISBLANK(O381),"是","否")</f>
        <v>是</v>
      </c>
      <c r="X381" s="20" t="s">
        <v>76</v>
      </c>
      <c r="Y381" s="24">
        <v>97</v>
      </c>
      <c r="Z381" s="25" t="s">
        <v>1292</v>
      </c>
      <c r="AC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</row>
    <row r="382" ht="50.16541353383458" customHeight="1" spans="1:52" x14ac:dyDescent="0.25">
      <c r="A382" s="27"/>
      <c r="B382" s="20" t="s">
        <v>57</v>
      </c>
      <c r="C382" s="21" t="s">
        <v>1307</v>
      </c>
      <c r="D382" s="22" t="s">
        <v>1308</v>
      </c>
      <c r="E382" s="21" t="s">
        <v>1296</v>
      </c>
      <c r="F382" s="23" t="s">
        <v>1296</v>
      </c>
      <c r="G382" s="20" t="str">
        <f>SUBSTITUTE(SUBSTITUTE(SUBSTITUTE(O382,"/@","_"),"/cac:","_"),"/cbc:","_")</f>
        <v/>
      </c>
      <c r="H382" s="19" t="s">
        <v>1297</v>
      </c>
      <c r="I382" s="19"/>
      <c r="J382" s="19"/>
      <c r="K382" s="24"/>
      <c r="L382" s="25" t="s">
        <v>905</v>
      </c>
      <c r="M382" s="20"/>
      <c r="N382" s="26" t="str">
        <f>IF(O382="","",LEN(O382)-LEN(SUBSTITUTE(O382,"/",""))+IF(ISNUMBER(SEARCH("@",O382)),0,1))</f>
        <v/>
      </c>
      <c r="O382" s="19"/>
      <c r="P382" s="19" t="s">
        <v>1935</v>
      </c>
      <c r="Q382" s="20"/>
      <c r="R382" s="20"/>
      <c r="S382" s="20"/>
      <c r="T382" s="20"/>
      <c r="U382" s="20" t="s">
        <v>682</v>
      </c>
      <c r="V382" s="20"/>
      <c r="W382" s="20" t="str">
        <f>IF(ISBLANK(O382),"是","否")</f>
        <v>是</v>
      </c>
      <c r="X382" s="20" t="s">
        <v>76</v>
      </c>
      <c r="Y382" s="24">
        <v>98</v>
      </c>
      <c r="Z382" s="25" t="s">
        <v>1296</v>
      </c>
      <c r="AC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</row>
    <row r="383" ht="50.16541353383458" customHeight="1" spans="1:52" x14ac:dyDescent="0.25">
      <c r="A383" s="27"/>
      <c r="B383" s="20" t="s">
        <v>57</v>
      </c>
      <c r="C383" s="21" t="s">
        <v>1307</v>
      </c>
      <c r="D383" s="22" t="s">
        <v>1308</v>
      </c>
      <c r="E383" s="21" t="s">
        <v>1299</v>
      </c>
      <c r="F383" s="23" t="s">
        <v>1299</v>
      </c>
      <c r="G383" s="20" t="str">
        <f>SUBSTITUTE(SUBSTITUTE(SUBSTITUTE(O383,"/@","_"),"/cac:","_"),"/cbc:","_")</f>
        <v/>
      </c>
      <c r="H383" s="19" t="s">
        <v>1300</v>
      </c>
      <c r="I383" s="19"/>
      <c r="J383" s="19"/>
      <c r="K383" s="25"/>
      <c r="L383" s="25" t="s">
        <v>905</v>
      </c>
      <c r="M383" s="20"/>
      <c r="N383" s="26" t="str">
        <f>IF(O383="","",LEN(O383)-LEN(SUBSTITUTE(O383,"/",""))+IF(ISNUMBER(SEARCH("@",O383)),0,1))</f>
        <v/>
      </c>
      <c r="O383" s="19"/>
      <c r="P383" s="19" t="s">
        <v>1935</v>
      </c>
      <c r="Q383" s="20"/>
      <c r="R383" s="25"/>
      <c r="S383" s="20"/>
      <c r="T383" s="20"/>
      <c r="U383" s="20" t="s">
        <v>682</v>
      </c>
      <c r="V383" s="20"/>
      <c r="W383" s="20" t="str">
        <f>IF(ISBLANK(O383),"是","否")</f>
        <v>是</v>
      </c>
      <c r="X383" s="20" t="s">
        <v>76</v>
      </c>
      <c r="Y383" s="24">
        <v>99</v>
      </c>
      <c r="Z383" s="25" t="s">
        <v>1299</v>
      </c>
      <c r="AC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</row>
    <row r="384" ht="214.73684210526315" customHeight="1" spans="1:52" x14ac:dyDescent="0.25">
      <c r="A384" s="19" t="s">
        <v>41</v>
      </c>
      <c r="B384" s="20" t="s">
        <v>57</v>
      </c>
      <c r="C384" s="21" t="s">
        <v>58</v>
      </c>
      <c r="D384" s="22" t="s">
        <v>59</v>
      </c>
      <c r="E384" s="21" t="s">
        <v>1936</v>
      </c>
      <c r="F384" s="23" t="s">
        <v>1936</v>
      </c>
      <c r="G384" s="20" t="str">
        <f>SUBSTITUTE(SUBSTITUTE(SUBSTITUTE(O384,"/@","_"),"/cac:","_"),"/cbc:","_")</f>
        <v>Invoice_CustomizationID</v>
      </c>
      <c r="H384" s="19" t="s">
        <v>1937</v>
      </c>
      <c r="I384" s="19"/>
      <c r="J384" s="19" t="s">
        <v>1938</v>
      </c>
      <c r="K384" s="24"/>
      <c r="L384" s="25" t="s">
        <v>1939</v>
      </c>
      <c r="M384" s="20" t="s">
        <v>64</v>
      </c>
      <c r="N384" s="26" t="str">
        <f>IF(O384="","",LEN(O384)-LEN(SUBSTITUTE(O384,"/",""))+IF(ISNUMBER(SEARCH("@",O384)),0,1))</f>
        <v>2</v>
      </c>
      <c r="O384" s="19" t="s">
        <v>1940</v>
      </c>
      <c r="P384" s="19" t="s">
        <v>1941</v>
      </c>
      <c r="Q384" s="20"/>
      <c r="R384" s="20" t="s">
        <v>1942</v>
      </c>
      <c r="S384" s="20" t="s">
        <v>1943</v>
      </c>
      <c r="T384" s="20"/>
      <c r="U384" s="20" t="s">
        <v>682</v>
      </c>
      <c r="V384" s="20" t="s">
        <v>68</v>
      </c>
      <c r="W384" s="20" t="str">
        <f>IF(ISBLANK(O384),"是","否")</f>
        <v>否</v>
      </c>
      <c r="X384" s="20" t="s">
        <v>76</v>
      </c>
      <c r="Y384" s="24">
        <v>36</v>
      </c>
      <c r="Z384" s="25" t="s">
        <v>1936</v>
      </c>
      <c r="AC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</row>
    <row r="385" ht="60.45112781954887" customHeight="1" spans="1:52" x14ac:dyDescent="0.25">
      <c r="A385" s="19" t="s">
        <v>1542</v>
      </c>
      <c r="B385" s="20" t="s">
        <v>57</v>
      </c>
      <c r="C385" s="21" t="s">
        <v>937</v>
      </c>
      <c r="D385" s="22" t="s">
        <v>938</v>
      </c>
      <c r="E385" s="21" t="s">
        <v>1944</v>
      </c>
      <c r="F385" s="23" t="s">
        <v>1944</v>
      </c>
      <c r="G385" s="20" t="str">
        <f>SUBSTITUTE(SUBSTITUTE(SUBSTITUTE(O385,"/@","_"),"/cac:","_"),"/cbc:","_")</f>
        <v>Invoice_InvoiceLine_Item_AdditionalItemProperty_ValueQuantity</v>
      </c>
      <c r="H385" s="19" t="s">
        <v>1945</v>
      </c>
      <c r="I385" s="19"/>
      <c r="J385" s="19" t="s">
        <v>1946</v>
      </c>
      <c r="K385" s="24">
        <v>10</v>
      </c>
      <c r="L385" s="25" t="s">
        <v>941</v>
      </c>
      <c r="M385" s="20" t="s">
        <v>64</v>
      </c>
      <c r="N385" s="26" t="str">
        <f>IF(O385="","",LEN(O385)-LEN(SUBSTITUTE(O385,"/",""))+IF(ISNUMBER(SEARCH("@",O385)),0,1))</f>
        <v>5</v>
      </c>
      <c r="O385" s="19" t="s">
        <v>1947</v>
      </c>
      <c r="P385" s="19" t="s">
        <v>1948</v>
      </c>
      <c r="Q385" s="20"/>
      <c r="R385" s="20"/>
      <c r="S385" s="20"/>
      <c r="T385" s="20"/>
      <c r="U385" s="20" t="s">
        <v>682</v>
      </c>
      <c r="V385" s="20" t="s">
        <v>68</v>
      </c>
      <c r="W385" s="20" t="str">
        <f>IF(ISBLANK(O385),"是","否")</f>
        <v>否</v>
      </c>
      <c r="X385" s="20" t="s">
        <v>76</v>
      </c>
      <c r="Y385" s="25"/>
      <c r="Z385" s="25"/>
      <c r="AA385" s="24">
        <v>137</v>
      </c>
      <c r="AB385" s="25" t="s">
        <v>1944</v>
      </c>
      <c r="AC385" s="20"/>
      <c r="AD385" s="24"/>
      <c r="AE385" s="25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</row>
    <row r="386" ht="50.16541353383458" customHeight="1" spans="1:52" x14ac:dyDescent="0.25">
      <c r="A386" s="19" t="s">
        <v>1542</v>
      </c>
      <c r="B386" s="20" t="s">
        <v>57</v>
      </c>
      <c r="C386" s="21" t="s">
        <v>937</v>
      </c>
      <c r="D386" s="22" t="s">
        <v>938</v>
      </c>
      <c r="E386" s="21" t="s">
        <v>1949</v>
      </c>
      <c r="F386" s="23" t="s">
        <v>1949</v>
      </c>
      <c r="G386" s="20" t="str">
        <f>SUBSTITUTE(SUBSTITUTE(SUBSTITUTE(O386,"/@","_"),"/cac:","_"),"/cbc:","_")</f>
        <v>Invoice_InvoiceLine_Item_AdditionalItemProperty_ValueQuantity</v>
      </c>
      <c r="H386" s="19" t="s">
        <v>1950</v>
      </c>
      <c r="I386" s="19"/>
      <c r="J386" s="19" t="s">
        <v>1946</v>
      </c>
      <c r="K386" s="24">
        <v>10</v>
      </c>
      <c r="L386" s="25" t="s">
        <v>941</v>
      </c>
      <c r="M386" s="20" t="s">
        <v>64</v>
      </c>
      <c r="N386" s="26" t="str">
        <f>IF(O386="","",LEN(O386)-LEN(SUBSTITUTE(O386,"/",""))+IF(ISNUMBER(SEARCH("@",O386)),0,1))</f>
        <v>5</v>
      </c>
      <c r="O386" s="19" t="s">
        <v>1947</v>
      </c>
      <c r="P386" s="19" t="s">
        <v>1951</v>
      </c>
      <c r="Q386" s="20"/>
      <c r="R386" s="20"/>
      <c r="S386" s="20"/>
      <c r="T386" s="20"/>
      <c r="U386" s="20" t="s">
        <v>682</v>
      </c>
      <c r="V386" s="20" t="s">
        <v>68</v>
      </c>
      <c r="W386" s="20" t="str">
        <f>IF(ISBLANK(O386),"是","否")</f>
        <v>否</v>
      </c>
      <c r="X386" s="20" t="s">
        <v>76</v>
      </c>
      <c r="Y386" s="25"/>
      <c r="Z386" s="25"/>
      <c r="AA386" s="24">
        <v>138</v>
      </c>
      <c r="AB386" s="25" t="s">
        <v>1949</v>
      </c>
      <c r="AC386" s="20"/>
      <c r="AD386" s="24"/>
      <c r="AE386" s="25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</row>
    <row r="387" ht="50.16541353383458" customHeight="1" spans="1:52" x14ac:dyDescent="0.25">
      <c r="A387" s="19" t="s">
        <v>1542</v>
      </c>
      <c r="B387" s="20" t="s">
        <v>57</v>
      </c>
      <c r="C387" s="21" t="s">
        <v>937</v>
      </c>
      <c r="D387" s="22" t="s">
        <v>938</v>
      </c>
      <c r="E387" s="21" t="s">
        <v>1952</v>
      </c>
      <c r="F387" s="23" t="s">
        <v>1952</v>
      </c>
      <c r="G387" s="20" t="str">
        <f>SUBSTITUTE(SUBSTITUTE(SUBSTITUTE(O387,"/@","_"),"/cac:","_"),"/cbc:","_")</f>
        <v>Invoice_InvoiceLine_Item_AdditionalItemProperty_ValueQuantity</v>
      </c>
      <c r="H387" s="19" t="s">
        <v>1953</v>
      </c>
      <c r="I387" s="19"/>
      <c r="J387" s="19" t="s">
        <v>1946</v>
      </c>
      <c r="K387" s="24">
        <v>10</v>
      </c>
      <c r="L387" s="25"/>
      <c r="M387" s="20" t="s">
        <v>64</v>
      </c>
      <c r="N387" s="26" t="str">
        <f>IF(O387="","",LEN(O387)-LEN(SUBSTITUTE(O387,"/",""))+IF(ISNUMBER(SEARCH("@",O387)),0,1))</f>
        <v>5</v>
      </c>
      <c r="O387" s="19" t="s">
        <v>1947</v>
      </c>
      <c r="P387" s="19" t="s">
        <v>1954</v>
      </c>
      <c r="Q387" s="20"/>
      <c r="R387" s="20"/>
      <c r="S387" s="20"/>
      <c r="T387" s="20"/>
      <c r="U387" s="20" t="s">
        <v>682</v>
      </c>
      <c r="V387" s="20" t="s">
        <v>68</v>
      </c>
      <c r="W387" s="20" t="str">
        <f>IF(ISBLANK(O387),"是","否")</f>
        <v>否</v>
      </c>
      <c r="X387" s="20" t="s">
        <v>76</v>
      </c>
      <c r="Y387" s="25"/>
      <c r="Z387" s="25"/>
      <c r="AA387" s="24">
        <v>139</v>
      </c>
      <c r="AB387" s="25" t="s">
        <v>1952</v>
      </c>
      <c r="AC387" s="20"/>
      <c r="AD387" s="24"/>
      <c r="AE387" s="25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</row>
    <row r="388" ht="60.45112781954887" customHeight="1" spans="1:52" x14ac:dyDescent="0.25">
      <c r="A388" s="19" t="s">
        <v>139</v>
      </c>
      <c r="B388" s="20" t="s">
        <v>57</v>
      </c>
      <c r="C388" s="21" t="s">
        <v>58</v>
      </c>
      <c r="D388" s="22" t="s">
        <v>59</v>
      </c>
      <c r="E388" s="21" t="s">
        <v>1955</v>
      </c>
      <c r="F388" s="23" t="s">
        <v>1955</v>
      </c>
      <c r="G388" s="20" t="str">
        <f>SUBSTITUTE(SUBSTITUTE(SUBSTITUTE(O388,"/@","_"),"/cac:","_"),"/cbc:","_")</f>
        <v>Invoice_AccountingCustomerParty_Party_Person_IdentityDocumentReference_DocumentTypeCode</v>
      </c>
      <c r="H388" s="19" t="s">
        <v>1956</v>
      </c>
      <c r="I388" s="19"/>
      <c r="J388" s="19" t="s">
        <v>1957</v>
      </c>
      <c r="K388" s="20"/>
      <c r="L388" s="25" t="s">
        <v>909</v>
      </c>
      <c r="M388" s="20" t="s">
        <v>64</v>
      </c>
      <c r="N388" s="26" t="str">
        <f>IF(O388="","",LEN(O388)-LEN(SUBSTITUTE(O388,"/",""))+IF(ISNUMBER(SEARCH("@",O388)),0,1))</f>
        <v>6</v>
      </c>
      <c r="O388" s="19" t="s">
        <v>1958</v>
      </c>
      <c r="P388" s="19" t="s">
        <v>1959</v>
      </c>
      <c r="Q388" s="20"/>
      <c r="R388" s="20"/>
      <c r="S388" s="20"/>
      <c r="T388" s="20"/>
      <c r="U388" s="20" t="s">
        <v>682</v>
      </c>
      <c r="V388" s="20" t="s">
        <v>68</v>
      </c>
      <c r="W388" s="20" t="str">
        <f>IF(ISBLANK(O388),"是","否")</f>
        <v>否</v>
      </c>
      <c r="X388" s="20" t="s">
        <v>76</v>
      </c>
      <c r="Y388" s="24">
        <v>37</v>
      </c>
      <c r="Z388" s="25" t="s">
        <v>1955</v>
      </c>
      <c r="AA388" s="37">
        <v>122</v>
      </c>
      <c r="AB388" s="35" t="s">
        <v>1955</v>
      </c>
      <c r="AC388" s="20"/>
      <c r="AD388" s="37"/>
      <c r="AE388" s="35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</row>
    <row r="389" ht="60.45112781954887" customHeight="1" spans="1:52" x14ac:dyDescent="0.25">
      <c r="A389" s="27"/>
      <c r="B389" s="20" t="s">
        <v>57</v>
      </c>
      <c r="C389" s="21" t="s">
        <v>58</v>
      </c>
      <c r="D389" s="22" t="s">
        <v>59</v>
      </c>
      <c r="E389" s="21" t="s">
        <v>1960</v>
      </c>
      <c r="F389" s="23" t="s">
        <v>1960</v>
      </c>
      <c r="G389" s="20" t="str">
        <f>SUBSTITUTE(SUBSTITUTE(SUBSTITUTE(O389,"/@","_"),"/cac:","_"),"/cbc:","_")</f>
        <v/>
      </c>
      <c r="H389" s="19" t="s">
        <v>1961</v>
      </c>
      <c r="I389" s="19"/>
      <c r="J389" s="19"/>
      <c r="K389" s="25"/>
      <c r="L389" s="25" t="s">
        <v>1939</v>
      </c>
      <c r="M389" s="20"/>
      <c r="N389" s="26" t="str">
        <f>IF(O389="","",LEN(O389)-LEN(SUBSTITUTE(O389,"/",""))+IF(ISNUMBER(SEARCH("@",O389)),0,1))</f>
        <v/>
      </c>
      <c r="O389" s="19"/>
      <c r="P389" s="19" t="s">
        <v>1962</v>
      </c>
      <c r="Q389" s="20"/>
      <c r="R389" s="25" t="s">
        <v>1963</v>
      </c>
      <c r="S389" s="20"/>
      <c r="T389" s="20"/>
      <c r="U389" s="20" t="s">
        <v>682</v>
      </c>
      <c r="V389" s="20"/>
      <c r="W389" s="20" t="str">
        <f>IF(ISBLANK(O389),"是","否")</f>
        <v>是</v>
      </c>
      <c r="X389" s="20" t="s">
        <v>76</v>
      </c>
      <c r="Y389" s="24">
        <v>38</v>
      </c>
      <c r="Z389" s="25" t="s">
        <v>1960</v>
      </c>
      <c r="AC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</row>
    <row r="390" ht="50.16541353383458" customHeight="1" spans="1:52" x14ac:dyDescent="0.25">
      <c r="A390" s="27"/>
      <c r="B390" s="20" t="s">
        <v>57</v>
      </c>
      <c r="C390" s="21" t="s">
        <v>58</v>
      </c>
      <c r="D390" s="22" t="s">
        <v>59</v>
      </c>
      <c r="E390" s="21" t="s">
        <v>1964</v>
      </c>
      <c r="F390" s="23" t="s">
        <v>1964</v>
      </c>
      <c r="G390" s="20" t="str">
        <f>SUBSTITUTE(SUBSTITUTE(SUBSTITUTE(O390,"/@","_"),"/cac:","_"),"/cbc:","_")</f>
        <v/>
      </c>
      <c r="H390" s="19" t="s">
        <v>1965</v>
      </c>
      <c r="I390" s="19"/>
      <c r="J390" s="19"/>
      <c r="K390" s="24"/>
      <c r="L390" s="25" t="s">
        <v>1939</v>
      </c>
      <c r="M390" s="20"/>
      <c r="N390" s="26" t="str">
        <f>IF(O390="","",LEN(O390)-LEN(SUBSTITUTE(O390,"/",""))+IF(ISNUMBER(SEARCH("@",O390)),0,1))</f>
        <v/>
      </c>
      <c r="O390" s="19"/>
      <c r="P390" s="19" t="s">
        <v>1966</v>
      </c>
      <c r="Q390" s="20"/>
      <c r="R390" s="20"/>
      <c r="S390" s="20"/>
      <c r="T390" s="20"/>
      <c r="U390" s="20" t="s">
        <v>682</v>
      </c>
      <c r="V390" s="20"/>
      <c r="W390" s="20" t="str">
        <f>IF(ISBLANK(O390),"是","否")</f>
        <v>是</v>
      </c>
      <c r="X390" s="20" t="s">
        <v>76</v>
      </c>
      <c r="Y390" s="24">
        <v>39</v>
      </c>
      <c r="Z390" s="25" t="s">
        <v>1964</v>
      </c>
      <c r="AA390" s="37">
        <v>128</v>
      </c>
      <c r="AB390" s="35" t="s">
        <v>1964</v>
      </c>
      <c r="AC390" s="20"/>
      <c r="AD390" s="37"/>
      <c r="AE390" s="35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</row>
    <row r="391" ht="50.16541353383458" customHeight="1" spans="1:52" x14ac:dyDescent="0.25">
      <c r="A391" s="19" t="s">
        <v>97</v>
      </c>
      <c r="B391" s="20" t="s">
        <v>57</v>
      </c>
      <c r="C391" s="21" t="s">
        <v>58</v>
      </c>
      <c r="D391" s="22" t="s">
        <v>59</v>
      </c>
      <c r="E391" s="21" t="s">
        <v>1967</v>
      </c>
      <c r="F391" s="23" t="s">
        <v>1967</v>
      </c>
      <c r="G391" s="20" t="str">
        <f>SUBSTITUTE(SUBSTITUTE(SUBSTITUTE(O391,"/@","_"),"/cac:","_"),"/cbc:","_")</f>
        <v>Invoice_LegalMonetaryTotal_AllowanceTotalAmount</v>
      </c>
      <c r="H391" s="19" t="s">
        <v>1968</v>
      </c>
      <c r="I391" s="19"/>
      <c r="J391" s="19" t="s">
        <v>1969</v>
      </c>
      <c r="K391" s="20" t="s">
        <v>1970</v>
      </c>
      <c r="L391" s="25" t="s">
        <v>101</v>
      </c>
      <c r="M391" s="20" t="s">
        <v>64</v>
      </c>
      <c r="N391" s="26" t="str">
        <f>IF(O391="","",LEN(O391)-LEN(SUBSTITUTE(O391,"/",""))+IF(ISNUMBER(SEARCH("@",O391)),0,1))</f>
        <v>3</v>
      </c>
      <c r="O391" s="19" t="s">
        <v>1971</v>
      </c>
      <c r="P391" s="19" t="s">
        <v>1972</v>
      </c>
      <c r="Q391" s="20"/>
      <c r="R391" s="20"/>
      <c r="S391" s="20"/>
      <c r="T391" s="20"/>
      <c r="U391" s="20" t="s">
        <v>682</v>
      </c>
      <c r="V391" s="20" t="s">
        <v>68</v>
      </c>
      <c r="W391" s="20" t="str">
        <f>IF(ISBLANK(O391),"是","否")</f>
        <v>否</v>
      </c>
      <c r="X391" s="20" t="s">
        <v>76</v>
      </c>
      <c r="Y391" s="24">
        <v>40</v>
      </c>
      <c r="Z391" s="25" t="s">
        <v>1967</v>
      </c>
      <c r="AC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</row>
    <row r="392" ht="60.45112781954887" customHeight="1" spans="1:52" x14ac:dyDescent="0.25">
      <c r="A392" s="27"/>
      <c r="B392" s="20" t="s">
        <v>57</v>
      </c>
      <c r="C392" s="21" t="s">
        <v>58</v>
      </c>
      <c r="D392" s="22" t="s">
        <v>59</v>
      </c>
      <c r="E392" s="21" t="s">
        <v>1973</v>
      </c>
      <c r="F392" s="23" t="s">
        <v>1973</v>
      </c>
      <c r="G392" s="20" t="str">
        <f>SUBSTITUTE(SUBSTITUTE(SUBSTITUTE(O392,"/@","_"),"/cac:","_"),"/cbc:","_")</f>
        <v/>
      </c>
      <c r="H392" s="19" t="s">
        <v>1974</v>
      </c>
      <c r="I392" s="19"/>
      <c r="J392" s="19"/>
      <c r="K392" s="20"/>
      <c r="L392" s="25" t="s">
        <v>204</v>
      </c>
      <c r="M392" s="20"/>
      <c r="N392" s="26" t="str">
        <f>IF(O392="","",LEN(O392)-LEN(SUBSTITUTE(O392,"/",""))+IF(ISNUMBER(SEARCH("@",O392)),0,1))</f>
        <v/>
      </c>
      <c r="O392" s="19"/>
      <c r="P392" s="19" t="s">
        <v>1975</v>
      </c>
      <c r="Q392" s="20"/>
      <c r="R392" s="20" t="s">
        <v>1976</v>
      </c>
      <c r="S392" s="20"/>
      <c r="T392" s="20"/>
      <c r="U392" s="20" t="s">
        <v>682</v>
      </c>
      <c r="V392" s="20"/>
      <c r="W392" s="20" t="str">
        <f>IF(ISBLANK(O392),"是","否")</f>
        <v>是</v>
      </c>
      <c r="X392" s="20" t="s">
        <v>76</v>
      </c>
      <c r="Y392" s="24">
        <v>41</v>
      </c>
      <c r="Z392" s="25" t="s">
        <v>1973</v>
      </c>
      <c r="AC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</row>
    <row r="393" ht="50.16541353383458" customHeight="1" spans="1:52" x14ac:dyDescent="0.25">
      <c r="A393" s="27"/>
      <c r="B393" s="20" t="s">
        <v>57</v>
      </c>
      <c r="C393" s="21" t="s">
        <v>58</v>
      </c>
      <c r="D393" s="22" t="s">
        <v>59</v>
      </c>
      <c r="E393" s="21" t="s">
        <v>1977</v>
      </c>
      <c r="F393" s="23" t="s">
        <v>1977</v>
      </c>
      <c r="G393" s="20" t="str">
        <f>SUBSTITUTE(SUBSTITUTE(SUBSTITUTE(O393,"/@","_"),"/cac:","_"),"/cbc:","_")</f>
        <v/>
      </c>
      <c r="H393" s="19" t="s">
        <v>1978</v>
      </c>
      <c r="I393" s="19"/>
      <c r="J393" s="19"/>
      <c r="K393" s="25"/>
      <c r="L393" s="25" t="s">
        <v>204</v>
      </c>
      <c r="M393" s="19"/>
      <c r="N393" s="26" t="str">
        <f>IF(O393="","",LEN(O393)-LEN(SUBSTITUTE(O393,"/",""))+IF(ISNUMBER(SEARCH("@",O393)),0,1))</f>
        <v/>
      </c>
      <c r="O393" s="19"/>
      <c r="P393" s="19" t="s">
        <v>1979</v>
      </c>
      <c r="Q393" s="20"/>
      <c r="R393" s="25" t="s">
        <v>1980</v>
      </c>
      <c r="S393" s="19"/>
      <c r="T393" s="20"/>
      <c r="U393" s="20" t="s">
        <v>682</v>
      </c>
      <c r="V393" s="19"/>
      <c r="W393" s="20" t="str">
        <f>IF(ISBLANK(O393),"是","否")</f>
        <v>是</v>
      </c>
      <c r="X393" s="20" t="s">
        <v>76</v>
      </c>
      <c r="Y393" s="24">
        <v>75</v>
      </c>
      <c r="Z393" s="25" t="s">
        <v>1977</v>
      </c>
      <c r="AC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</row>
    <row r="394" ht="60.45112781954887" customHeight="1" spans="1:52" x14ac:dyDescent="0.25">
      <c r="A394" s="27"/>
      <c r="B394" s="20" t="s">
        <v>57</v>
      </c>
      <c r="C394" s="21" t="s">
        <v>1981</v>
      </c>
      <c r="D394" s="22" t="s">
        <v>1982</v>
      </c>
      <c r="E394" s="21" t="s">
        <v>60</v>
      </c>
      <c r="F394" s="23" t="s">
        <v>60</v>
      </c>
      <c r="G394" s="20" t="str">
        <f>SUBSTITUTE(SUBSTITUTE(SUBSTITUTE(O394,"/@","_"),"/cac:","_"),"/cbc:","_")</f>
        <v/>
      </c>
      <c r="H394" s="19" t="s">
        <v>1983</v>
      </c>
      <c r="I394" s="19"/>
      <c r="J394" s="19"/>
      <c r="K394" s="20"/>
      <c r="L394" s="25" t="s">
        <v>63</v>
      </c>
      <c r="M394" s="19"/>
      <c r="N394" s="26" t="str">
        <f>IF(O394="","",LEN(O394)-LEN(SUBSTITUTE(O394,"/",""))+IF(ISNUMBER(SEARCH("@",O394)),0,1))</f>
        <v/>
      </c>
      <c r="O394" s="19"/>
      <c r="P394" s="19" t="s">
        <v>1984</v>
      </c>
      <c r="Q394" s="20"/>
      <c r="R394" s="20"/>
      <c r="S394" s="19"/>
      <c r="T394" s="20"/>
      <c r="U394" s="20" t="s">
        <v>682</v>
      </c>
      <c r="V394" s="19"/>
      <c r="W394" s="20" t="str">
        <f>IF(ISBLANK(O394),"是","否")</f>
        <v>是</v>
      </c>
      <c r="X394" s="20" t="s">
        <v>76</v>
      </c>
      <c r="Y394" s="24">
        <v>100</v>
      </c>
      <c r="Z394" s="25" t="s">
        <v>60</v>
      </c>
      <c r="AC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</row>
    <row r="395" ht="70.73684210526315" customHeight="1" spans="1:52" x14ac:dyDescent="0.25">
      <c r="A395" s="27"/>
      <c r="B395" s="20" t="s">
        <v>57</v>
      </c>
      <c r="C395" s="21" t="s">
        <v>1981</v>
      </c>
      <c r="D395" s="22" t="s">
        <v>1982</v>
      </c>
      <c r="E395" s="21" t="s">
        <v>1985</v>
      </c>
      <c r="F395" s="23" t="s">
        <v>1985</v>
      </c>
      <c r="G395" s="20" t="str">
        <f>SUBSTITUTE(SUBSTITUTE(SUBSTITUTE(O395,"/@","_"),"/cac:","_"),"/cbc:","_")</f>
        <v/>
      </c>
      <c r="H395" s="19" t="s">
        <v>1986</v>
      </c>
      <c r="I395" s="19"/>
      <c r="J395" s="19"/>
      <c r="K395" s="24"/>
      <c r="L395" s="25" t="s">
        <v>927</v>
      </c>
      <c r="M395" s="19"/>
      <c r="N395" s="26" t="str">
        <f>IF(O395="","",LEN(O395)-LEN(SUBSTITUTE(O395,"/",""))+IF(ISNUMBER(SEARCH("@",O395)),0,1))</f>
        <v/>
      </c>
      <c r="O395" s="19"/>
      <c r="P395" s="19" t="s">
        <v>1987</v>
      </c>
      <c r="Q395" s="20"/>
      <c r="R395" s="20"/>
      <c r="S395" s="19"/>
      <c r="T395" s="20"/>
      <c r="U395" s="20" t="s">
        <v>682</v>
      </c>
      <c r="V395" s="19"/>
      <c r="W395" s="20" t="str">
        <f>IF(ISBLANK(O395),"是","否")</f>
        <v>是</v>
      </c>
      <c r="X395" s="20" t="s">
        <v>76</v>
      </c>
      <c r="Y395" s="24">
        <v>101</v>
      </c>
      <c r="Z395" s="25" t="s">
        <v>1985</v>
      </c>
      <c r="AA395" s="24">
        <v>130</v>
      </c>
      <c r="AB395" s="25" t="s">
        <v>1985</v>
      </c>
      <c r="AC395" s="20"/>
      <c r="AD395" s="24"/>
      <c r="AE395" s="25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</row>
    <row r="396" ht="50.16541353383458" customHeight="1" spans="1:52" x14ac:dyDescent="0.25">
      <c r="A396" s="27"/>
      <c r="B396" s="20" t="s">
        <v>57</v>
      </c>
      <c r="C396" s="21" t="s">
        <v>1981</v>
      </c>
      <c r="D396" s="22" t="s">
        <v>1982</v>
      </c>
      <c r="E396" s="21" t="s">
        <v>1988</v>
      </c>
      <c r="F396" s="23" t="s">
        <v>1988</v>
      </c>
      <c r="G396" s="20" t="str">
        <f>SUBSTITUTE(SUBSTITUTE(SUBSTITUTE(O396,"/@","_"),"/cac:","_"),"/cbc:","_")</f>
        <v/>
      </c>
      <c r="H396" s="19" t="s">
        <v>1989</v>
      </c>
      <c r="I396" s="19"/>
      <c r="J396" s="19"/>
      <c r="K396" s="25"/>
      <c r="L396" s="25" t="s">
        <v>204</v>
      </c>
      <c r="M396" s="19"/>
      <c r="N396" s="26" t="str">
        <f>IF(O396="","",LEN(O396)-LEN(SUBSTITUTE(O396,"/",""))+IF(ISNUMBER(SEARCH("@",O396)),0,1))</f>
        <v/>
      </c>
      <c r="O396" s="19"/>
      <c r="P396" s="19" t="s">
        <v>1990</v>
      </c>
      <c r="Q396" s="20"/>
      <c r="R396" s="25"/>
      <c r="S396" s="19"/>
      <c r="T396" s="20"/>
      <c r="U396" s="20" t="s">
        <v>682</v>
      </c>
      <c r="V396" s="19"/>
      <c r="W396" s="20" t="str">
        <f>IF(ISBLANK(O396),"是","否")</f>
        <v>是</v>
      </c>
      <c r="X396" s="20" t="s">
        <v>76</v>
      </c>
      <c r="Y396" s="24">
        <v>102</v>
      </c>
      <c r="Z396" s="25" t="s">
        <v>1988</v>
      </c>
      <c r="AA396" s="24">
        <v>106</v>
      </c>
      <c r="AB396" s="25" t="s">
        <v>1988</v>
      </c>
      <c r="AC396" s="20"/>
      <c r="AD396" s="24"/>
      <c r="AE396" s="25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</row>
    <row r="397" ht="50.16541353383458" customHeight="1" spans="1:52" x14ac:dyDescent="0.25">
      <c r="A397" s="19" t="s">
        <v>139</v>
      </c>
      <c r="B397" s="20" t="s">
        <v>57</v>
      </c>
      <c r="C397" s="21" t="s">
        <v>1981</v>
      </c>
      <c r="D397" s="22" t="s">
        <v>1982</v>
      </c>
      <c r="E397" s="21" t="s">
        <v>1991</v>
      </c>
      <c r="F397" s="23" t="s">
        <v>1991</v>
      </c>
      <c r="G397" s="20" t="str">
        <f>SUBSTITUTE(SUBSTITUTE(SUBSTITUTE(O397,"/@","_"),"/cac:","_"),"/cbc:","_")</f>
        <v>Invoice_AdditionalDocumentReference_ID</v>
      </c>
      <c r="H397" s="19" t="s">
        <v>1992</v>
      </c>
      <c r="I397" s="19"/>
      <c r="J397" s="19" t="s">
        <v>1993</v>
      </c>
      <c r="K397" s="24"/>
      <c r="L397" s="25" t="s">
        <v>913</v>
      </c>
      <c r="M397" s="28">
        <v>1</v>
      </c>
      <c r="N397" s="26" t="str">
        <f>IF(O397="","",LEN(O397)-LEN(SUBSTITUTE(O397,"/",""))+IF(ISNUMBER(SEARCH("@",O397)),0,1))</f>
        <v>3</v>
      </c>
      <c r="O397" s="19" t="s">
        <v>173</v>
      </c>
      <c r="P397" s="19" t="s">
        <v>1994</v>
      </c>
      <c r="Q397" s="20"/>
      <c r="R397" s="20"/>
      <c r="S397" s="19" t="s">
        <v>138</v>
      </c>
      <c r="T397" s="20"/>
      <c r="U397" s="20" t="s">
        <v>682</v>
      </c>
      <c r="V397" s="19" t="s">
        <v>68</v>
      </c>
      <c r="W397" s="20" t="str">
        <f>IF(ISBLANK(O397),"是","否")</f>
        <v>否</v>
      </c>
      <c r="X397" s="20" t="s">
        <v>76</v>
      </c>
      <c r="Y397" s="24">
        <v>103</v>
      </c>
      <c r="Z397" s="25" t="s">
        <v>1991</v>
      </c>
      <c r="AA397" s="24">
        <v>134</v>
      </c>
      <c r="AB397" s="25" t="s">
        <v>1991</v>
      </c>
      <c r="AC397" s="20"/>
      <c r="AD397" s="24"/>
      <c r="AE397" s="25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</row>
    <row r="398" ht="50.16541353383458" customHeight="1" spans="1:52" x14ac:dyDescent="0.25">
      <c r="A398" s="19" t="s">
        <v>316</v>
      </c>
      <c r="B398" s="20" t="s">
        <v>57</v>
      </c>
      <c r="C398" s="21" t="s">
        <v>1981</v>
      </c>
      <c r="D398" s="22" t="s">
        <v>1982</v>
      </c>
      <c r="E398" s="21" t="s">
        <v>1995</v>
      </c>
      <c r="F398" s="23" t="s">
        <v>1995</v>
      </c>
      <c r="G398" s="20" t="str">
        <f>SUBSTITUTE(SUBSTITUTE(SUBSTITUTE(O398,"/@","_"),"/cac:","_"),"/cbc:","_")</f>
        <v>Invoice_Delivery_DeliveryAddress_AddressLine_Line</v>
      </c>
      <c r="H398" s="19" t="s">
        <v>1996</v>
      </c>
      <c r="I398" s="19"/>
      <c r="J398" s="19" t="s">
        <v>1997</v>
      </c>
      <c r="K398" s="20"/>
      <c r="L398" s="25" t="s">
        <v>1998</v>
      </c>
      <c r="M398" s="20" t="s">
        <v>165</v>
      </c>
      <c r="N398" s="26" t="str">
        <f>IF(O398="","",LEN(O398)-LEN(SUBSTITUTE(O398,"/",""))+IF(ISNUMBER(SEARCH("@",O398)),0,1))</f>
        <v>5</v>
      </c>
      <c r="O398" s="19" t="s">
        <v>1999</v>
      </c>
      <c r="P398" s="19" t="s">
        <v>2000</v>
      </c>
      <c r="Q398" s="20"/>
      <c r="R398" s="20"/>
      <c r="S398" s="20" t="s">
        <v>327</v>
      </c>
      <c r="T398" s="20"/>
      <c r="U398" s="20" t="s">
        <v>682</v>
      </c>
      <c r="V398" s="20" t="s">
        <v>68</v>
      </c>
      <c r="W398" s="20" t="str">
        <f>IF(ISBLANK(O398),"是","否")</f>
        <v>否</v>
      </c>
      <c r="X398" s="20" t="s">
        <v>76</v>
      </c>
      <c r="Y398" s="24">
        <v>104</v>
      </c>
      <c r="Z398" s="25" t="s">
        <v>1995</v>
      </c>
      <c r="AA398" s="24">
        <v>105</v>
      </c>
      <c r="AB398" s="25" t="s">
        <v>1995</v>
      </c>
      <c r="AC398" s="20"/>
      <c r="AD398" s="24"/>
      <c r="AE398" s="25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</row>
    <row r="399" ht="70.73684210526315" customHeight="1" spans="1:52" x14ac:dyDescent="0.25">
      <c r="A399" s="19" t="s">
        <v>2001</v>
      </c>
      <c r="B399" s="20" t="s">
        <v>57</v>
      </c>
      <c r="C399" s="21" t="s">
        <v>1981</v>
      </c>
      <c r="D399" s="22" t="s">
        <v>1982</v>
      </c>
      <c r="E399" s="21" t="s">
        <v>2002</v>
      </c>
      <c r="F399" s="23" t="s">
        <v>2002</v>
      </c>
      <c r="G399" s="20" t="str">
        <f>SUBSTITUTE(SUBSTITUTE(SUBSTITUTE(O399,"/@","_"),"/cac:","_"),"/cbc:","_")</f>
        <v>Invoice_ProjectReference_ID</v>
      </c>
      <c r="H399" s="19" t="s">
        <v>2003</v>
      </c>
      <c r="I399" s="19"/>
      <c r="J399" s="19" t="s">
        <v>2004</v>
      </c>
      <c r="K399" s="25"/>
      <c r="L399" s="25" t="s">
        <v>909</v>
      </c>
      <c r="M399" s="20" t="s">
        <v>165</v>
      </c>
      <c r="N399" s="26" t="str">
        <f>IF(O399="","",LEN(O399)-LEN(SUBSTITUTE(O399,"/",""))+IF(ISNUMBER(SEARCH("@",O399)),0,1))</f>
        <v>3</v>
      </c>
      <c r="O399" s="19" t="s">
        <v>2005</v>
      </c>
      <c r="P399" s="19" t="s">
        <v>2006</v>
      </c>
      <c r="Q399" s="20"/>
      <c r="R399" s="25"/>
      <c r="S399" s="20"/>
      <c r="T399" s="20"/>
      <c r="U399" s="20" t="s">
        <v>682</v>
      </c>
      <c r="V399" s="20" t="s">
        <v>68</v>
      </c>
      <c r="W399" s="20" t="str">
        <f>IF(ISBLANK(O399),"是","否")</f>
        <v>否</v>
      </c>
      <c r="X399" s="20" t="s">
        <v>76</v>
      </c>
      <c r="Y399" s="24">
        <v>105</v>
      </c>
      <c r="Z399" s="25" t="s">
        <v>2002</v>
      </c>
      <c r="AA399" s="37">
        <v>110</v>
      </c>
      <c r="AB399" s="35" t="s">
        <v>2002</v>
      </c>
      <c r="AC399" s="20"/>
      <c r="AD399" s="37"/>
      <c r="AE399" s="35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</row>
    <row r="400" ht="39.879699248120296" customHeight="1" spans="1:52" x14ac:dyDescent="0.25">
      <c r="A400" s="19" t="s">
        <v>41</v>
      </c>
      <c r="B400" s="20" t="s">
        <v>57</v>
      </c>
      <c r="C400" s="21" t="s">
        <v>1981</v>
      </c>
      <c r="D400" s="22" t="s">
        <v>1982</v>
      </c>
      <c r="E400" s="21" t="s">
        <v>2007</v>
      </c>
      <c r="F400" s="23" t="s">
        <v>2007</v>
      </c>
      <c r="G400" s="20" t="str">
        <f>SUBSTITUTE(SUBSTITUTE(SUBSTITUTE(O400,"/@","_"),"/cac:","_"),"/cbc:","_")</f>
        <v>Invoice_UUID</v>
      </c>
      <c r="H400" s="19" t="s">
        <v>1314</v>
      </c>
      <c r="I400" s="19"/>
      <c r="J400" s="19" t="s">
        <v>2008</v>
      </c>
      <c r="K400" s="24"/>
      <c r="L400" s="25" t="s">
        <v>72</v>
      </c>
      <c r="M400" s="20" t="s">
        <v>64</v>
      </c>
      <c r="N400" s="26" t="str">
        <f>IF(O400="","",LEN(O400)-LEN(SUBSTITUTE(O400,"/",""))+IF(ISNUMBER(SEARCH("@",O400)),0,1))</f>
        <v>2</v>
      </c>
      <c r="O400" s="19" t="s">
        <v>65</v>
      </c>
      <c r="P400" s="19" t="s">
        <v>2009</v>
      </c>
      <c r="Q400" s="20"/>
      <c r="R400" s="20"/>
      <c r="S400" s="20"/>
      <c r="T400" s="20"/>
      <c r="U400" s="20" t="s">
        <v>682</v>
      </c>
      <c r="V400" s="20" t="s">
        <v>68</v>
      </c>
      <c r="W400" s="20" t="str">
        <f>IF(ISBLANK(O400),"是","否")</f>
        <v>否</v>
      </c>
      <c r="X400" s="20" t="s">
        <v>76</v>
      </c>
      <c r="Y400" s="24">
        <v>106</v>
      </c>
      <c r="Z400" s="25" t="s">
        <v>2007</v>
      </c>
      <c r="AC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</row>
    <row r="401" ht="39.879699248120296" customHeight="1" spans="1:52" x14ac:dyDescent="0.25">
      <c r="A401" s="19" t="s">
        <v>316</v>
      </c>
      <c r="B401" s="20" t="s">
        <v>57</v>
      </c>
      <c r="C401" s="21" t="s">
        <v>1981</v>
      </c>
      <c r="D401" s="22" t="s">
        <v>1982</v>
      </c>
      <c r="E401" s="21" t="s">
        <v>2010</v>
      </c>
      <c r="F401" s="23" t="s">
        <v>2010</v>
      </c>
      <c r="G401" s="20" t="str">
        <f>SUBSTITUTE(SUBSTITUTE(SUBSTITUTE(O401,"/@","_"),"/cac:","_"),"/cbc:","_")</f>
        <v>Invoice_Delivery_DeliveryAddress_AddressLine_Line</v>
      </c>
      <c r="H401" s="19" t="s">
        <v>2011</v>
      </c>
      <c r="I401" s="19"/>
      <c r="J401" s="19" t="s">
        <v>2012</v>
      </c>
      <c r="K401" s="25" t="s">
        <v>2013</v>
      </c>
      <c r="L401" s="25" t="s">
        <v>1998</v>
      </c>
      <c r="M401" s="20" t="s">
        <v>165</v>
      </c>
      <c r="N401" s="26" t="str">
        <f>IF(O401="","",LEN(O401)-LEN(SUBSTITUTE(O401,"/",""))+IF(ISNUMBER(SEARCH("@",O401)),0,1))</f>
        <v>5</v>
      </c>
      <c r="O401" s="19" t="s">
        <v>1999</v>
      </c>
      <c r="P401" s="19" t="s">
        <v>2014</v>
      </c>
      <c r="Q401" s="20"/>
      <c r="R401" s="20"/>
      <c r="S401" s="20" t="s">
        <v>327</v>
      </c>
      <c r="T401" s="20"/>
      <c r="U401" s="20" t="s">
        <v>682</v>
      </c>
      <c r="V401" s="20" t="s">
        <v>68</v>
      </c>
      <c r="W401" s="20" t="str">
        <f>IF(ISBLANK(O401),"是","否")</f>
        <v>否</v>
      </c>
      <c r="X401" s="20" t="s">
        <v>76</v>
      </c>
      <c r="Y401" s="24">
        <v>107</v>
      </c>
      <c r="Z401" s="25" t="s">
        <v>2010</v>
      </c>
      <c r="AA401" s="24">
        <v>146</v>
      </c>
      <c r="AB401" s="25" t="s">
        <v>2010</v>
      </c>
      <c r="AC401" s="20"/>
      <c r="AD401" s="24"/>
      <c r="AE401" s="25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</row>
    <row r="402" ht="29.59398496240601" customHeight="1" spans="1:52" x14ac:dyDescent="0.25">
      <c r="A402" s="27"/>
      <c r="B402" s="20" t="s">
        <v>57</v>
      </c>
      <c r="C402" s="21" t="s">
        <v>2015</v>
      </c>
      <c r="D402" s="22" t="s">
        <v>2016</v>
      </c>
      <c r="E402" s="21" t="s">
        <v>60</v>
      </c>
      <c r="F402" s="23" t="s">
        <v>60</v>
      </c>
      <c r="G402" s="20" t="str">
        <f>SUBSTITUTE(SUBSTITUTE(SUBSTITUTE(O402,"/@","_"),"/cac:","_"),"/cbc:","_")</f>
        <v/>
      </c>
      <c r="H402" s="19" t="s">
        <v>2017</v>
      </c>
      <c r="I402" s="19"/>
      <c r="J402" s="19"/>
      <c r="K402" s="25"/>
      <c r="L402" s="25" t="s">
        <v>63</v>
      </c>
      <c r="M402" s="20"/>
      <c r="N402" s="26" t="str">
        <f>IF(O402="","",LEN(O402)-LEN(SUBSTITUTE(O402,"/",""))+IF(ISNUMBER(SEARCH("@",O402)),0,1))</f>
        <v/>
      </c>
      <c r="O402" s="19"/>
      <c r="P402" s="19" t="s">
        <v>2018</v>
      </c>
      <c r="Q402" s="20"/>
      <c r="R402" s="25"/>
      <c r="S402" s="20"/>
      <c r="T402" s="20"/>
      <c r="U402" s="20" t="s">
        <v>682</v>
      </c>
      <c r="V402" s="20"/>
      <c r="W402" s="20" t="str">
        <f>IF(ISBLANK(O402),"是","否")</f>
        <v>是</v>
      </c>
      <c r="X402" s="20" t="s">
        <v>76</v>
      </c>
      <c r="Y402" s="24">
        <v>108</v>
      </c>
      <c r="Z402" s="25" t="s">
        <v>60</v>
      </c>
      <c r="AA402" s="37">
        <v>237</v>
      </c>
      <c r="AB402" s="35" t="s">
        <v>1313</v>
      </c>
      <c r="AC402" s="20"/>
      <c r="AD402" s="37"/>
      <c r="AE402" s="35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</row>
    <row r="403" ht="50.16541353383458" customHeight="1" spans="1:52" x14ac:dyDescent="0.25">
      <c r="A403" s="27"/>
      <c r="B403" s="20" t="s">
        <v>57</v>
      </c>
      <c r="C403" s="21" t="s">
        <v>2015</v>
      </c>
      <c r="D403" s="22" t="s">
        <v>2016</v>
      </c>
      <c r="E403" s="21" t="s">
        <v>2019</v>
      </c>
      <c r="F403" s="23" t="s">
        <v>2019</v>
      </c>
      <c r="G403" s="20" t="str">
        <f>SUBSTITUTE(SUBSTITUTE(SUBSTITUTE(O403,"/@","_"),"/cac:","_"),"/cbc:","_")</f>
        <v/>
      </c>
      <c r="H403" s="19" t="s">
        <v>2020</v>
      </c>
      <c r="I403" s="19"/>
      <c r="J403" s="19"/>
      <c r="K403" s="25"/>
      <c r="L403" s="25" t="s">
        <v>889</v>
      </c>
      <c r="M403" s="20"/>
      <c r="N403" s="26" t="str">
        <f>IF(O403="","",LEN(O403)-LEN(SUBSTITUTE(O403,"/",""))+IF(ISNUMBER(SEARCH("@",O403)),0,1))</f>
        <v/>
      </c>
      <c r="O403" s="19"/>
      <c r="P403" s="19" t="s">
        <v>2021</v>
      </c>
      <c r="Q403" s="20"/>
      <c r="R403" s="20"/>
      <c r="S403" s="20"/>
      <c r="T403" s="20"/>
      <c r="U403" s="20" t="s">
        <v>682</v>
      </c>
      <c r="V403" s="20"/>
      <c r="W403" s="20" t="str">
        <f>IF(ISBLANK(O403),"是","否")</f>
        <v>是</v>
      </c>
      <c r="X403" s="20" t="s">
        <v>76</v>
      </c>
      <c r="Y403" s="24">
        <v>109</v>
      </c>
      <c r="Z403" s="25" t="s">
        <v>2019</v>
      </c>
      <c r="AC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</row>
    <row r="404" ht="50.16541353383458" customHeight="1" spans="1:52" x14ac:dyDescent="0.25">
      <c r="A404" s="27"/>
      <c r="B404" s="20" t="s">
        <v>57</v>
      </c>
      <c r="C404" s="21" t="s">
        <v>2015</v>
      </c>
      <c r="D404" s="22" t="s">
        <v>2016</v>
      </c>
      <c r="E404" s="21" t="s">
        <v>2022</v>
      </c>
      <c r="F404" s="23" t="s">
        <v>2022</v>
      </c>
      <c r="G404" s="20" t="str">
        <f>SUBSTITUTE(SUBSTITUTE(SUBSTITUTE(O404,"/@","_"),"/cac:","_"),"/cbc:","_")</f>
        <v/>
      </c>
      <c r="H404" s="19" t="s">
        <v>2023</v>
      </c>
      <c r="I404" s="19"/>
      <c r="J404" s="19"/>
      <c r="K404" s="20"/>
      <c r="L404" s="25" t="s">
        <v>2024</v>
      </c>
      <c r="M404" s="20"/>
      <c r="N404" s="26" t="str">
        <f>IF(O404="","",LEN(O404)-LEN(SUBSTITUTE(O404,"/",""))+IF(ISNUMBER(SEARCH("@",O404)),0,1))</f>
        <v/>
      </c>
      <c r="O404" s="19"/>
      <c r="P404" s="19" t="s">
        <v>2025</v>
      </c>
      <c r="Q404" s="20"/>
      <c r="R404" s="20"/>
      <c r="S404" s="20"/>
      <c r="T404" s="20"/>
      <c r="U404" s="20" t="s">
        <v>682</v>
      </c>
      <c r="V404" s="20"/>
      <c r="W404" s="20" t="str">
        <f>IF(ISBLANK(O404),"是","否")</f>
        <v>是</v>
      </c>
      <c r="X404" s="20" t="s">
        <v>76</v>
      </c>
      <c r="Y404" s="24">
        <v>110</v>
      </c>
      <c r="Z404" s="25" t="s">
        <v>2022</v>
      </c>
      <c r="AA404" s="24">
        <v>240</v>
      </c>
      <c r="AB404" s="25" t="s">
        <v>2026</v>
      </c>
      <c r="AC404" s="20"/>
      <c r="AD404" s="24"/>
      <c r="AE404" s="25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</row>
    <row r="405" ht="50.16541353383458" customHeight="1" spans="1:52" x14ac:dyDescent="0.25">
      <c r="A405" s="27"/>
      <c r="B405" s="20" t="s">
        <v>57</v>
      </c>
      <c r="C405" s="21" t="s">
        <v>2015</v>
      </c>
      <c r="D405" s="22" t="s">
        <v>2016</v>
      </c>
      <c r="E405" s="21" t="s">
        <v>2027</v>
      </c>
      <c r="F405" s="23" t="s">
        <v>2027</v>
      </c>
      <c r="G405" s="20" t="str">
        <f>SUBSTITUTE(SUBSTITUTE(SUBSTITUTE(O405,"/@","_"),"/cac:","_"),"/cbc:","_")</f>
        <v/>
      </c>
      <c r="H405" s="19" t="s">
        <v>1956</v>
      </c>
      <c r="I405" s="19"/>
      <c r="J405" s="19"/>
      <c r="K405" s="25"/>
      <c r="L405" s="25" t="s">
        <v>1939</v>
      </c>
      <c r="M405" s="20"/>
      <c r="N405" s="26" t="str">
        <f>IF(O405="","",LEN(O405)-LEN(SUBSTITUTE(O405,"/",""))+IF(ISNUMBER(SEARCH("@",O405)),0,1))</f>
        <v/>
      </c>
      <c r="O405" s="19"/>
      <c r="P405" s="19" t="s">
        <v>2028</v>
      </c>
      <c r="Q405" s="20"/>
      <c r="R405" s="25"/>
      <c r="S405" s="20"/>
      <c r="T405" s="20"/>
      <c r="U405" s="20" t="s">
        <v>682</v>
      </c>
      <c r="V405" s="20"/>
      <c r="W405" s="20" t="str">
        <f>IF(ISBLANK(O405),"是","否")</f>
        <v>是</v>
      </c>
      <c r="X405" s="20" t="s">
        <v>76</v>
      </c>
      <c r="Y405" s="24">
        <v>111</v>
      </c>
      <c r="Z405" s="25" t="s">
        <v>2027</v>
      </c>
      <c r="AA405" s="37">
        <v>241</v>
      </c>
      <c r="AB405" s="35" t="s">
        <v>2029</v>
      </c>
      <c r="AC405" s="20"/>
      <c r="AD405" s="37"/>
      <c r="AE405" s="35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</row>
    <row r="406" ht="39.879699248120296" customHeight="1" spans="1:52" x14ac:dyDescent="0.25">
      <c r="A406" s="19" t="s">
        <v>41</v>
      </c>
      <c r="B406" s="20" t="s">
        <v>57</v>
      </c>
      <c r="C406" s="21" t="s">
        <v>2015</v>
      </c>
      <c r="D406" s="22" t="s">
        <v>2016</v>
      </c>
      <c r="E406" s="21" t="s">
        <v>2007</v>
      </c>
      <c r="F406" s="23" t="s">
        <v>2007</v>
      </c>
      <c r="G406" s="20" t="str">
        <f>SUBSTITUTE(SUBSTITUTE(SUBSTITUTE(O406,"/@","_"),"/cac:","_"),"/cbc:","_")</f>
        <v>Invoice_UUID</v>
      </c>
      <c r="H406" s="19" t="s">
        <v>1314</v>
      </c>
      <c r="I406" s="19"/>
      <c r="J406" s="19" t="s">
        <v>2030</v>
      </c>
      <c r="K406" s="25"/>
      <c r="L406" s="25" t="s">
        <v>72</v>
      </c>
      <c r="M406" s="20" t="s">
        <v>64</v>
      </c>
      <c r="N406" s="26" t="str">
        <f>IF(O406="","",LEN(O406)-LEN(SUBSTITUTE(O406,"/",""))+IF(ISNUMBER(SEARCH("@",O406)),0,1))</f>
        <v>2</v>
      </c>
      <c r="O406" s="19" t="s">
        <v>65</v>
      </c>
      <c r="P406" s="19" t="s">
        <v>2031</v>
      </c>
      <c r="Q406" s="20"/>
      <c r="R406" s="25"/>
      <c r="S406" s="20"/>
      <c r="T406" s="20"/>
      <c r="U406" s="20" t="s">
        <v>682</v>
      </c>
      <c r="V406" s="20" t="s">
        <v>68</v>
      </c>
      <c r="W406" s="20" t="str">
        <f>IF(ISBLANK(O406),"是","否")</f>
        <v>否</v>
      </c>
      <c r="X406" s="20" t="s">
        <v>76</v>
      </c>
      <c r="Y406" s="24">
        <v>112</v>
      </c>
      <c r="Z406" s="25" t="s">
        <v>2007</v>
      </c>
      <c r="AC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</row>
    <row r="407" ht="39.879699248120296" customHeight="1" spans="1:52" x14ac:dyDescent="0.25">
      <c r="A407" s="27"/>
      <c r="B407" s="20" t="s">
        <v>57</v>
      </c>
      <c r="C407" s="21" t="s">
        <v>2032</v>
      </c>
      <c r="D407" s="22" t="s">
        <v>2033</v>
      </c>
      <c r="E407" s="21" t="s">
        <v>60</v>
      </c>
      <c r="F407" s="23" t="s">
        <v>60</v>
      </c>
      <c r="G407" s="20" t="str">
        <f>SUBSTITUTE(SUBSTITUTE(SUBSTITUTE(O407,"/@","_"),"/cac:","_"),"/cbc:","_")</f>
        <v/>
      </c>
      <c r="H407" s="19" t="s">
        <v>2034</v>
      </c>
      <c r="I407" s="19"/>
      <c r="J407" s="19"/>
      <c r="K407" s="20"/>
      <c r="L407" s="25" t="s">
        <v>63</v>
      </c>
      <c r="M407" s="20"/>
      <c r="N407" s="26" t="str">
        <f>IF(O407="","",LEN(O407)-LEN(SUBSTITUTE(O407,"/",""))+IF(ISNUMBER(SEARCH("@",O407)),0,1))</f>
        <v/>
      </c>
      <c r="O407" s="19"/>
      <c r="P407" s="19" t="s">
        <v>2035</v>
      </c>
      <c r="Q407" s="20"/>
      <c r="R407" s="20"/>
      <c r="S407" s="20"/>
      <c r="T407" s="20"/>
      <c r="U407" s="20" t="s">
        <v>682</v>
      </c>
      <c r="V407" s="20"/>
      <c r="W407" s="20" t="str">
        <f>IF(ISBLANK(O407),"是","否")</f>
        <v>是</v>
      </c>
      <c r="X407" s="20" t="s">
        <v>76</v>
      </c>
      <c r="Y407" s="24">
        <v>113</v>
      </c>
      <c r="Z407" s="25" t="s">
        <v>60</v>
      </c>
      <c r="AC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</row>
    <row r="408" ht="50.16541353383458" customHeight="1" spans="1:52" x14ac:dyDescent="0.25">
      <c r="A408" s="19" t="s">
        <v>97</v>
      </c>
      <c r="B408" s="20" t="s">
        <v>57</v>
      </c>
      <c r="C408" s="21" t="s">
        <v>2036</v>
      </c>
      <c r="D408" s="22" t="s">
        <v>2037</v>
      </c>
      <c r="E408" s="21" t="s">
        <v>2038</v>
      </c>
      <c r="F408" s="23" t="s">
        <v>2038</v>
      </c>
      <c r="G408" s="20" t="str">
        <f>SUBSTITUTE(SUBSTITUTE(SUBSTITUTE(O408,"/@","_"),"/cac:","_"),"/cbc:","_")</f>
        <v>Invoice_LegalMonetaryTotal_TaxInclusiveAmount</v>
      </c>
      <c r="H408" s="19" t="s">
        <v>2039</v>
      </c>
      <c r="I408" s="19"/>
      <c r="J408" s="19" t="s">
        <v>2040</v>
      </c>
      <c r="K408" s="20"/>
      <c r="L408" s="25" t="s">
        <v>909</v>
      </c>
      <c r="M408" s="20" t="s">
        <v>64</v>
      </c>
      <c r="N408" s="26" t="str">
        <f>IF(O408="","",LEN(O408)-LEN(SUBSTITUTE(O408,"/",""))+IF(ISNUMBER(SEARCH("@",O408)),0,1))</f>
        <v>3</v>
      </c>
      <c r="O408" s="19" t="s">
        <v>102</v>
      </c>
      <c r="P408" s="19" t="s">
        <v>2041</v>
      </c>
      <c r="Q408" s="20"/>
      <c r="R408" s="20"/>
      <c r="S408" s="20"/>
      <c r="T408" s="20"/>
      <c r="U408" s="20" t="s">
        <v>682</v>
      </c>
      <c r="V408" s="20" t="s">
        <v>68</v>
      </c>
      <c r="W408" s="20" t="str">
        <f>IF(ISBLANK(O408),"是","否")</f>
        <v>否</v>
      </c>
      <c r="X408" s="20" t="s">
        <v>76</v>
      </c>
      <c r="Y408" s="24">
        <v>114</v>
      </c>
      <c r="Z408" s="25" t="s">
        <v>2038</v>
      </c>
      <c r="AA408" s="24">
        <v>221</v>
      </c>
      <c r="AB408" s="25" t="s">
        <v>2042</v>
      </c>
      <c r="AC408" s="20"/>
      <c r="AD408" s="24"/>
      <c r="AE408" s="25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</row>
    <row r="409" ht="39.879699248120296" customHeight="1" spans="1:52" x14ac:dyDescent="0.25">
      <c r="A409" s="19" t="s">
        <v>97</v>
      </c>
      <c r="B409" s="20" t="s">
        <v>57</v>
      </c>
      <c r="C409" s="21" t="s">
        <v>2036</v>
      </c>
      <c r="D409" s="22" t="s">
        <v>2037</v>
      </c>
      <c r="E409" s="21" t="s">
        <v>2043</v>
      </c>
      <c r="F409" s="23" t="s">
        <v>2043</v>
      </c>
      <c r="G409" s="20" t="str">
        <f>SUBSTITUTE(SUBSTITUTE(SUBSTITUTE(O409,"/@","_"),"/cac:","_"),"/cbc:","_")</f>
        <v>Invoice_LegalMonetaryTotal_PayableAmount</v>
      </c>
      <c r="H409" s="19" t="s">
        <v>2044</v>
      </c>
      <c r="I409" s="19"/>
      <c r="J409" s="19" t="s">
        <v>2045</v>
      </c>
      <c r="K409" s="24"/>
      <c r="L409" s="25" t="s">
        <v>909</v>
      </c>
      <c r="M409" s="20" t="s">
        <v>165</v>
      </c>
      <c r="N409" s="26" t="str">
        <f>IF(O409="","",LEN(O409)-LEN(SUBSTITUTE(O409,"/",""))+IF(ISNUMBER(SEARCH("@",O409)),0,1))</f>
        <v>3</v>
      </c>
      <c r="O409" s="19" t="s">
        <v>2046</v>
      </c>
      <c r="P409" s="19" t="s">
        <v>2047</v>
      </c>
      <c r="Q409" s="20"/>
      <c r="R409" s="20"/>
      <c r="S409" s="20"/>
      <c r="T409" s="20"/>
      <c r="U409" s="20" t="s">
        <v>682</v>
      </c>
      <c r="V409" s="20" t="s">
        <v>68</v>
      </c>
      <c r="W409" s="20" t="str">
        <f>IF(ISBLANK(O409),"是","否")</f>
        <v>否</v>
      </c>
      <c r="X409" s="20" t="s">
        <v>76</v>
      </c>
      <c r="Y409" s="24">
        <v>115</v>
      </c>
      <c r="Z409" s="25" t="s">
        <v>2043</v>
      </c>
      <c r="AA409" s="24">
        <v>220</v>
      </c>
      <c r="AB409" s="25" t="s">
        <v>2048</v>
      </c>
      <c r="AC409" s="20"/>
      <c r="AD409" s="24"/>
      <c r="AE409" s="25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</row>
    <row r="410" ht="50.16541353383458" customHeight="1" spans="1:52" x14ac:dyDescent="0.25">
      <c r="A410" s="19" t="s">
        <v>1306</v>
      </c>
      <c r="B410" s="20" t="s">
        <v>57</v>
      </c>
      <c r="C410" s="21" t="s">
        <v>2036</v>
      </c>
      <c r="D410" s="22" t="s">
        <v>2037</v>
      </c>
      <c r="E410" s="21" t="s">
        <v>2049</v>
      </c>
      <c r="F410" s="23" t="s">
        <v>2049</v>
      </c>
      <c r="G410" s="20" t="str">
        <f>SUBSTITUTE(SUBSTITUTE(SUBSTITUTE(O410,"/@","_"),"/cac:","_"),"/cbc:","_")</f>
        <v>Invoice_InvoiceLine_InvoicedQuantity_unitCode</v>
      </c>
      <c r="H410" s="19" t="s">
        <v>2050</v>
      </c>
      <c r="I410" s="19"/>
      <c r="J410" s="19" t="s">
        <v>2051</v>
      </c>
      <c r="K410" s="25"/>
      <c r="L410" s="25" t="s">
        <v>909</v>
      </c>
      <c r="M410" s="20" t="s">
        <v>64</v>
      </c>
      <c r="N410" s="26" t="str">
        <f>IF(O410="","",LEN(O410)-LEN(SUBSTITUTE(O410,"/",""))+IF(ISNUMBER(SEARCH("@",O410)),0,1))</f>
        <v>3</v>
      </c>
      <c r="O410" s="19" t="s">
        <v>1342</v>
      </c>
      <c r="P410" s="40" t="s">
        <v>2052</v>
      </c>
      <c r="Q410" s="20"/>
      <c r="R410" s="25"/>
      <c r="S410" s="20"/>
      <c r="T410" s="20"/>
      <c r="U410" s="20" t="s">
        <v>682</v>
      </c>
      <c r="V410" s="20" t="s">
        <v>68</v>
      </c>
      <c r="W410" s="20" t="str">
        <f>IF(ISBLANK(O410),"是","否")</f>
        <v>否</v>
      </c>
      <c r="X410" s="20" t="s">
        <v>76</v>
      </c>
      <c r="Y410" s="24">
        <v>116</v>
      </c>
      <c r="Z410" s="25" t="s">
        <v>2049</v>
      </c>
      <c r="AA410" s="37">
        <v>222</v>
      </c>
      <c r="AB410" s="35" t="s">
        <v>2053</v>
      </c>
      <c r="AC410" s="20"/>
      <c r="AD410" s="37"/>
      <c r="AE410" s="35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</row>
    <row r="411" ht="60.45112781954887" customHeight="1" spans="1:52" x14ac:dyDescent="0.25">
      <c r="A411" s="27"/>
      <c r="B411" s="20" t="s">
        <v>57</v>
      </c>
      <c r="C411" s="21" t="s">
        <v>2036</v>
      </c>
      <c r="D411" s="22" t="s">
        <v>2037</v>
      </c>
      <c r="E411" s="21" t="s">
        <v>1988</v>
      </c>
      <c r="F411" s="23" t="s">
        <v>1988</v>
      </c>
      <c r="G411" s="20" t="str">
        <f>SUBSTITUTE(SUBSTITUTE(SUBSTITUTE(O411,"/@","_"),"/cac:","_"),"/cbc:","_")</f>
        <v/>
      </c>
      <c r="H411" s="19" t="s">
        <v>1989</v>
      </c>
      <c r="I411" s="19"/>
      <c r="J411" s="19"/>
      <c r="K411" s="25"/>
      <c r="L411" s="25" t="s">
        <v>204</v>
      </c>
      <c r="M411" s="20"/>
      <c r="N411" s="26" t="str">
        <f>IF(O411="","",LEN(O411)-LEN(SUBSTITUTE(O411,"/",""))+IF(ISNUMBER(SEARCH("@",O411)),0,1))</f>
        <v/>
      </c>
      <c r="O411" s="19"/>
      <c r="P411" s="40" t="s">
        <v>2054</v>
      </c>
      <c r="Q411" s="20"/>
      <c r="R411" s="20"/>
      <c r="S411" s="20"/>
      <c r="T411" s="20"/>
      <c r="U411" s="20" t="s">
        <v>682</v>
      </c>
      <c r="V411" s="20"/>
      <c r="W411" s="20" t="str">
        <f>IF(ISBLANK(O411),"是","否")</f>
        <v>是</v>
      </c>
      <c r="X411" s="20" t="s">
        <v>76</v>
      </c>
      <c r="Y411" s="24">
        <v>117</v>
      </c>
      <c r="Z411" s="25" t="s">
        <v>1988</v>
      </c>
      <c r="AC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</row>
    <row r="412" ht="60.45112781954887" customHeight="1" spans="1:52" x14ac:dyDescent="0.25">
      <c r="A412" s="19" t="s">
        <v>316</v>
      </c>
      <c r="B412" s="20" t="s">
        <v>57</v>
      </c>
      <c r="C412" s="21" t="s">
        <v>2036</v>
      </c>
      <c r="D412" s="22" t="s">
        <v>2037</v>
      </c>
      <c r="E412" s="21" t="s">
        <v>1995</v>
      </c>
      <c r="F412" s="23" t="s">
        <v>1995</v>
      </c>
      <c r="G412" s="20" t="str">
        <f>SUBSTITUTE(SUBSTITUTE(SUBSTITUTE(O412,"/@","_"),"/cac:","_"),"/cbc:","_")</f>
        <v>Invoice_Delivery_DeliveryAddress_AddressLine_Line</v>
      </c>
      <c r="H412" s="19" t="s">
        <v>1996</v>
      </c>
      <c r="I412" s="19"/>
      <c r="J412" s="19" t="s">
        <v>1997</v>
      </c>
      <c r="K412" s="24"/>
      <c r="L412" s="25" t="s">
        <v>1998</v>
      </c>
      <c r="M412" s="20" t="s">
        <v>165</v>
      </c>
      <c r="N412" s="26" t="str">
        <f>IF(O412="","",LEN(O412)-LEN(SUBSTITUTE(O412,"/",""))+IF(ISNUMBER(SEARCH("@",O412)),0,1))</f>
        <v>5</v>
      </c>
      <c r="O412" s="19" t="s">
        <v>1999</v>
      </c>
      <c r="P412" s="40" t="s">
        <v>2055</v>
      </c>
      <c r="Q412" s="20"/>
      <c r="R412" s="20"/>
      <c r="S412" s="20" t="s">
        <v>327</v>
      </c>
      <c r="T412" s="20"/>
      <c r="U412" s="20" t="s">
        <v>682</v>
      </c>
      <c r="V412" s="20" t="s">
        <v>68</v>
      </c>
      <c r="W412" s="20" t="str">
        <f>IF(ISBLANK(O412),"是","否")</f>
        <v>否</v>
      </c>
      <c r="X412" s="20" t="s">
        <v>76</v>
      </c>
      <c r="Y412" s="24">
        <v>118</v>
      </c>
      <c r="Z412" s="25" t="s">
        <v>1995</v>
      </c>
      <c r="AA412" s="24">
        <v>216</v>
      </c>
      <c r="AB412" s="25" t="s">
        <v>2056</v>
      </c>
      <c r="AC412" s="20"/>
      <c r="AD412" s="24"/>
      <c r="AE412" s="25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</row>
    <row r="413" ht="50.16541353383458" customHeight="1" spans="1:52" x14ac:dyDescent="0.25">
      <c r="A413" s="19" t="s">
        <v>41</v>
      </c>
      <c r="B413" s="20" t="s">
        <v>57</v>
      </c>
      <c r="C413" s="21" t="s">
        <v>2036</v>
      </c>
      <c r="D413" s="22" t="s">
        <v>2037</v>
      </c>
      <c r="E413" s="21" t="s">
        <v>2057</v>
      </c>
      <c r="F413" s="23" t="s">
        <v>2057</v>
      </c>
      <c r="G413" s="20" t="str">
        <f>SUBSTITUTE(SUBSTITUTE(SUBSTITUTE(O413,"/@","_"),"/cac:","_"),"/cbc:","_")</f>
        <v>Invoice_ContractDocumentReference</v>
      </c>
      <c r="H413" s="19" t="s">
        <v>2058</v>
      </c>
      <c r="I413" s="19"/>
      <c r="J413" s="19" t="s">
        <v>2059</v>
      </c>
      <c r="K413" s="25"/>
      <c r="L413" s="25" t="s">
        <v>909</v>
      </c>
      <c r="M413" s="20" t="s">
        <v>49</v>
      </c>
      <c r="N413" s="26" t="str">
        <f>IF(O413="","",LEN(O413)-LEN(SUBSTITUTE(O413,"/",""))+IF(ISNUMBER(SEARCH("@",O413)),0,1))</f>
        <v>2</v>
      </c>
      <c r="O413" s="19" t="s">
        <v>2060</v>
      </c>
      <c r="P413" s="40" t="s">
        <v>2061</v>
      </c>
      <c r="Q413" s="20"/>
      <c r="R413" s="25"/>
      <c r="S413" s="20"/>
      <c r="T413" s="20"/>
      <c r="U413" s="20" t="s">
        <v>682</v>
      </c>
      <c r="V413" s="20" t="s">
        <v>222</v>
      </c>
      <c r="W413" s="20" t="str">
        <f>IF(ISBLANK(O413),"是","否")</f>
        <v>否</v>
      </c>
      <c r="X413" s="20" t="s">
        <v>76</v>
      </c>
      <c r="Y413" s="24">
        <v>119</v>
      </c>
      <c r="Z413" s="25" t="s">
        <v>2057</v>
      </c>
      <c r="AA413" s="24">
        <v>115</v>
      </c>
      <c r="AB413" s="25" t="s">
        <v>2057</v>
      </c>
      <c r="AC413" s="20"/>
      <c r="AD413" s="24"/>
      <c r="AE413" s="25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</row>
    <row r="414" ht="50.16541353383458" customHeight="1" spans="1:52" x14ac:dyDescent="0.25">
      <c r="A414" s="19" t="s">
        <v>41</v>
      </c>
      <c r="B414" s="20" t="s">
        <v>57</v>
      </c>
      <c r="C414" s="21" t="s">
        <v>2036</v>
      </c>
      <c r="D414" s="22" t="s">
        <v>2037</v>
      </c>
      <c r="E414" s="21" t="s">
        <v>2062</v>
      </c>
      <c r="F414" s="23" t="s">
        <v>2062</v>
      </c>
      <c r="G414" s="20" t="str">
        <f>SUBSTITUTE(SUBSTITUTE(SUBSTITUTE(O414,"/@","_"),"/cac:","_"),"/cbc:","_")</f>
        <v>Invoice_AdditionalDocumentReference</v>
      </c>
      <c r="H414" s="19" t="s">
        <v>2063</v>
      </c>
      <c r="I414" s="19"/>
      <c r="J414" s="19" t="s">
        <v>2064</v>
      </c>
      <c r="K414" s="25"/>
      <c r="L414" s="25" t="s">
        <v>927</v>
      </c>
      <c r="M414" s="20" t="s">
        <v>49</v>
      </c>
      <c r="N414" s="26" t="str">
        <f>IF(O414="","",LEN(O414)-LEN(SUBSTITUTE(O414,"/",""))+IF(ISNUMBER(SEARCH("@",O414)),0,1))</f>
        <v>2</v>
      </c>
      <c r="O414" s="19" t="s">
        <v>2065</v>
      </c>
      <c r="P414" s="40" t="s">
        <v>2066</v>
      </c>
      <c r="Q414" s="20"/>
      <c r="R414" s="25"/>
      <c r="S414" s="20"/>
      <c r="T414" s="20"/>
      <c r="U414" s="20" t="s">
        <v>682</v>
      </c>
      <c r="V414" s="20" t="s">
        <v>222</v>
      </c>
      <c r="W414" s="20" t="str">
        <f>IF(ISBLANK(O414),"是","否")</f>
        <v>否</v>
      </c>
      <c r="X414" s="20" t="s">
        <v>76</v>
      </c>
      <c r="Y414" s="24">
        <v>120</v>
      </c>
      <c r="Z414" s="25" t="s">
        <v>2062</v>
      </c>
      <c r="AA414" s="37">
        <v>111</v>
      </c>
      <c r="AB414" s="35" t="s">
        <v>2062</v>
      </c>
      <c r="AC414" s="20"/>
      <c r="AD414" s="37"/>
      <c r="AE414" s="35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</row>
    <row r="415" ht="50.16541353383458" customHeight="1" spans="1:52" x14ac:dyDescent="0.25">
      <c r="A415" s="27"/>
      <c r="B415" s="20" t="s">
        <v>57</v>
      </c>
      <c r="C415" s="21" t="s">
        <v>2036</v>
      </c>
      <c r="D415" s="22" t="s">
        <v>2037</v>
      </c>
      <c r="E415" s="21" t="s">
        <v>60</v>
      </c>
      <c r="F415" s="23" t="s">
        <v>60</v>
      </c>
      <c r="G415" s="20" t="str">
        <f>SUBSTITUTE(SUBSTITUTE(SUBSTITUTE(O415,"/@","_"),"/cac:","_"),"/cbc:","_")</f>
        <v/>
      </c>
      <c r="H415" s="19" t="s">
        <v>2067</v>
      </c>
      <c r="I415" s="19"/>
      <c r="J415" s="19"/>
      <c r="K415" s="25"/>
      <c r="L415" s="25" t="s">
        <v>63</v>
      </c>
      <c r="M415" s="20"/>
      <c r="N415" s="26" t="str">
        <f>IF(O415="","",LEN(O415)-LEN(SUBSTITUTE(O415,"/",""))+IF(ISNUMBER(SEARCH("@",O415)),0,1))</f>
        <v/>
      </c>
      <c r="O415" s="19"/>
      <c r="P415" s="19" t="s">
        <v>2068</v>
      </c>
      <c r="Q415" s="20"/>
      <c r="R415" s="25"/>
      <c r="S415" s="20"/>
      <c r="T415" s="20"/>
      <c r="U415" s="20" t="s">
        <v>682</v>
      </c>
      <c r="V415" s="20"/>
      <c r="W415" s="20" t="str">
        <f>IF(ISBLANK(O415),"是","否")</f>
        <v>是</v>
      </c>
      <c r="X415" s="20" t="s">
        <v>76</v>
      </c>
      <c r="Y415" s="24">
        <v>121</v>
      </c>
      <c r="Z415" s="25" t="s">
        <v>60</v>
      </c>
      <c r="AC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</row>
    <row r="416" ht="39.879699248120296" customHeight="1" spans="1:52" x14ac:dyDescent="0.25">
      <c r="A416" s="19" t="s">
        <v>2001</v>
      </c>
      <c r="B416" s="20" t="s">
        <v>57</v>
      </c>
      <c r="C416" s="21" t="s">
        <v>2036</v>
      </c>
      <c r="D416" s="22" t="s">
        <v>2037</v>
      </c>
      <c r="E416" s="21" t="s">
        <v>2002</v>
      </c>
      <c r="F416" s="23" t="s">
        <v>2002</v>
      </c>
      <c r="G416" s="20" t="str">
        <f>SUBSTITUTE(SUBSTITUTE(SUBSTITUTE(O416,"/@","_"),"/cac:","_"),"/cbc:","_")</f>
        <v>Invoice_ProjectReference_ID</v>
      </c>
      <c r="H416" s="19" t="s">
        <v>2003</v>
      </c>
      <c r="I416" s="19"/>
      <c r="J416" s="19" t="s">
        <v>2004</v>
      </c>
      <c r="K416" s="24"/>
      <c r="L416" s="25" t="s">
        <v>909</v>
      </c>
      <c r="M416" s="20" t="s">
        <v>165</v>
      </c>
      <c r="N416" s="26" t="str">
        <f>IF(O416="","",LEN(O416)-LEN(SUBSTITUTE(O416,"/",""))+IF(ISNUMBER(SEARCH("@",O416)),0,1))</f>
        <v>3</v>
      </c>
      <c r="O416" s="19" t="s">
        <v>2005</v>
      </c>
      <c r="P416" s="19" t="s">
        <v>2069</v>
      </c>
      <c r="Q416" s="20"/>
      <c r="R416" s="20"/>
      <c r="S416" s="20"/>
      <c r="T416" s="20"/>
      <c r="U416" s="20" t="s">
        <v>682</v>
      </c>
      <c r="V416" s="20" t="s">
        <v>68</v>
      </c>
      <c r="W416" s="20" t="str">
        <f>IF(ISBLANK(O416),"是","否")</f>
        <v>否</v>
      </c>
      <c r="X416" s="20" t="s">
        <v>76</v>
      </c>
      <c r="Y416" s="24">
        <v>122</v>
      </c>
      <c r="Z416" s="25" t="s">
        <v>2002</v>
      </c>
      <c r="AA416" s="37">
        <v>217</v>
      </c>
      <c r="AB416" s="35" t="s">
        <v>2070</v>
      </c>
      <c r="AC416" s="20"/>
      <c r="AD416" s="37"/>
      <c r="AE416" s="35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</row>
    <row r="417" ht="50.16541353383458" customHeight="1" spans="1:52" x14ac:dyDescent="0.25">
      <c r="A417" s="19" t="s">
        <v>41</v>
      </c>
      <c r="B417" s="20" t="s">
        <v>57</v>
      </c>
      <c r="C417" s="21" t="s">
        <v>2036</v>
      </c>
      <c r="D417" s="22" t="s">
        <v>2037</v>
      </c>
      <c r="E417" s="21" t="s">
        <v>2007</v>
      </c>
      <c r="F417" s="23" t="s">
        <v>2007</v>
      </c>
      <c r="G417" s="20" t="str">
        <f>SUBSTITUTE(SUBSTITUTE(SUBSTITUTE(O417,"/@","_"),"/cac:","_"),"/cbc:","_")</f>
        <v>Invoice_ProfileExecutionID</v>
      </c>
      <c r="H417" s="19" t="s">
        <v>1314</v>
      </c>
      <c r="I417" s="19"/>
      <c r="J417" s="19" t="s">
        <v>2071</v>
      </c>
      <c r="K417" s="25"/>
      <c r="L417" s="25" t="s">
        <v>72</v>
      </c>
      <c r="M417" s="20" t="s">
        <v>64</v>
      </c>
      <c r="N417" s="26" t="str">
        <f>IF(O417="","",LEN(O417)-LEN(SUBSTITUTE(O417,"/",""))+IF(ISNUMBER(SEARCH("@",O417)),0,1))</f>
        <v>2</v>
      </c>
      <c r="O417" s="19" t="s">
        <v>73</v>
      </c>
      <c r="P417" s="19" t="s">
        <v>2072</v>
      </c>
      <c r="Q417" s="20"/>
      <c r="R417" s="25"/>
      <c r="S417" s="20" t="s">
        <v>75</v>
      </c>
      <c r="T417" s="20"/>
      <c r="U417" s="20" t="s">
        <v>682</v>
      </c>
      <c r="V417" s="20" t="s">
        <v>68</v>
      </c>
      <c r="W417" s="20" t="str">
        <f>IF(ISBLANK(O417),"是","否")</f>
        <v>否</v>
      </c>
      <c r="X417" s="20" t="s">
        <v>76</v>
      </c>
      <c r="Y417" s="24">
        <v>153</v>
      </c>
      <c r="Z417" s="25" t="s">
        <v>2007</v>
      </c>
      <c r="AC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</row>
    <row r="418" ht="39.879699248120296" customHeight="1" spans="1:52" x14ac:dyDescent="0.25">
      <c r="A418" s="19" t="s">
        <v>316</v>
      </c>
      <c r="B418" s="20" t="s">
        <v>57</v>
      </c>
      <c r="C418" s="21" t="s">
        <v>2036</v>
      </c>
      <c r="D418" s="22" t="s">
        <v>2037</v>
      </c>
      <c r="E418" s="21" t="s">
        <v>2010</v>
      </c>
      <c r="F418" s="23" t="s">
        <v>2010</v>
      </c>
      <c r="G418" s="20" t="str">
        <f>SUBSTITUTE(SUBSTITUTE(SUBSTITUTE(O418,"/@","_"),"/cac:","_"),"/cbc:","_")</f>
        <v>Invoice_Delivery_DeliveryLocation_Address_AddressLine_Line</v>
      </c>
      <c r="H418" s="19" t="s">
        <v>2073</v>
      </c>
      <c r="I418" s="19"/>
      <c r="J418" s="19" t="s">
        <v>1997</v>
      </c>
      <c r="K418" s="25"/>
      <c r="L418" s="25" t="s">
        <v>1998</v>
      </c>
      <c r="M418" s="20" t="s">
        <v>165</v>
      </c>
      <c r="N418" s="26" t="str">
        <f>IF(O418="","",LEN(O418)-LEN(SUBSTITUTE(O418,"/",""))+IF(ISNUMBER(SEARCH("@",O418)),0,1))</f>
        <v>6</v>
      </c>
      <c r="O418" s="19" t="s">
        <v>2074</v>
      </c>
      <c r="P418" s="19" t="s">
        <v>2075</v>
      </c>
      <c r="Q418" s="20"/>
      <c r="R418" s="25"/>
      <c r="S418" s="20" t="s">
        <v>327</v>
      </c>
      <c r="T418" s="20"/>
      <c r="U418" s="20" t="s">
        <v>682</v>
      </c>
      <c r="V418" s="20" t="s">
        <v>68</v>
      </c>
      <c r="W418" s="20" t="str">
        <f>IF(ISBLANK(O418),"是","否")</f>
        <v>否</v>
      </c>
      <c r="X418" s="20" t="s">
        <v>76</v>
      </c>
      <c r="Y418" s="24">
        <v>124</v>
      </c>
      <c r="Z418" s="25" t="s">
        <v>2010</v>
      </c>
      <c r="AA418" s="24">
        <v>112</v>
      </c>
      <c r="AB418" s="25" t="s">
        <v>2010</v>
      </c>
      <c r="AC418" s="20"/>
      <c r="AD418" s="24"/>
      <c r="AE418" s="25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</row>
    <row r="419" ht="50.16541353383458" customHeight="1" spans="1:52" x14ac:dyDescent="0.25">
      <c r="A419" s="19" t="s">
        <v>1306</v>
      </c>
      <c r="B419" s="20" t="s">
        <v>57</v>
      </c>
      <c r="C419" s="21" t="s">
        <v>2032</v>
      </c>
      <c r="D419" s="22" t="s">
        <v>2033</v>
      </c>
      <c r="E419" s="21" t="s">
        <v>2049</v>
      </c>
      <c r="F419" s="23" t="s">
        <v>2049</v>
      </c>
      <c r="G419" s="20" t="str">
        <f>SUBSTITUTE(SUBSTITUTE(SUBSTITUTE(O419,"/@","_"),"/cac:","_"),"/cbc:","_")</f>
        <v>Invoice_InvoiceLine_InvoicedQuantity_unitCode</v>
      </c>
      <c r="H419" s="19" t="s">
        <v>2050</v>
      </c>
      <c r="I419" s="19"/>
      <c r="J419" s="19" t="s">
        <v>2076</v>
      </c>
      <c r="K419" s="24"/>
      <c r="L419" s="25" t="s">
        <v>909</v>
      </c>
      <c r="M419" s="20" t="s">
        <v>64</v>
      </c>
      <c r="N419" s="26" t="str">
        <f>IF(O419="","",LEN(O419)-LEN(SUBSTITUTE(O419,"/",""))+IF(ISNUMBER(SEARCH("@",O419)),0,1))</f>
        <v>3</v>
      </c>
      <c r="O419" s="19" t="s">
        <v>1342</v>
      </c>
      <c r="P419" s="19" t="s">
        <v>2077</v>
      </c>
      <c r="Q419" s="20"/>
      <c r="R419" s="20"/>
      <c r="S419" s="20"/>
      <c r="T419" s="20"/>
      <c r="U419" s="20" t="s">
        <v>682</v>
      </c>
      <c r="V419" s="20" t="s">
        <v>68</v>
      </c>
      <c r="W419" s="20" t="str">
        <f>IF(ISBLANK(O419),"是","否")</f>
        <v>否</v>
      </c>
      <c r="X419" s="20" t="s">
        <v>76</v>
      </c>
      <c r="Y419" s="24">
        <v>125</v>
      </c>
      <c r="Z419" s="25" t="s">
        <v>2049</v>
      </c>
      <c r="AA419" s="24">
        <v>107</v>
      </c>
      <c r="AB419" s="25" t="s">
        <v>2049</v>
      </c>
      <c r="AC419" s="20"/>
      <c r="AD419" s="24"/>
      <c r="AE419" s="25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</row>
    <row r="420" ht="39.879699248120296" customHeight="1" spans="1:52" x14ac:dyDescent="0.25">
      <c r="A420" s="19" t="s">
        <v>2078</v>
      </c>
      <c r="B420" s="20" t="s">
        <v>57</v>
      </c>
      <c r="C420" s="21" t="s">
        <v>2032</v>
      </c>
      <c r="D420" s="22" t="s">
        <v>2033</v>
      </c>
      <c r="E420" s="21" t="s">
        <v>2079</v>
      </c>
      <c r="F420" s="23" t="s">
        <v>2079</v>
      </c>
      <c r="G420" s="20" t="str">
        <f>SUBSTITUTE(SUBSTITUTE(SUBSTITUTE(O420,"/@","_"),"/cac:","_"),"/cbc:","_")</f>
        <v>Invoice_Delivery_Shipment_ShipmentStage_TransportMeans_RoadTransport_LicensePlateID</v>
      </c>
      <c r="H420" s="19" t="s">
        <v>2080</v>
      </c>
      <c r="I420" s="19"/>
      <c r="J420" s="19" t="s">
        <v>2081</v>
      </c>
      <c r="K420" s="24"/>
      <c r="L420" s="25" t="s">
        <v>2082</v>
      </c>
      <c r="M420" s="20" t="s">
        <v>64</v>
      </c>
      <c r="N420" s="26" t="str">
        <f>IF(O420="","",LEN(O420)-LEN(SUBSTITUTE(O420,"/",""))+IF(ISNUMBER(SEARCH("@",O420)),0,1))</f>
        <v>7</v>
      </c>
      <c r="O420" s="19" t="s">
        <v>2083</v>
      </c>
      <c r="P420" s="19" t="s">
        <v>2084</v>
      </c>
      <c r="Q420" s="20"/>
      <c r="R420" s="20"/>
      <c r="S420" s="20"/>
      <c r="T420" s="20"/>
      <c r="U420" s="20" t="s">
        <v>682</v>
      </c>
      <c r="V420" s="20" t="s">
        <v>68</v>
      </c>
      <c r="W420" s="20" t="str">
        <f>IF(ISBLANK(O420),"是","否")</f>
        <v>否</v>
      </c>
      <c r="X420" s="20" t="s">
        <v>76</v>
      </c>
      <c r="Y420" s="24">
        <v>126</v>
      </c>
      <c r="Z420" s="25" t="s">
        <v>2079</v>
      </c>
      <c r="AA420" s="37">
        <v>223</v>
      </c>
      <c r="AB420" s="35" t="s">
        <v>2079</v>
      </c>
      <c r="AC420" s="20"/>
      <c r="AD420" s="37"/>
      <c r="AE420" s="35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</row>
    <row r="421" ht="50.16541353383458" customHeight="1" spans="1:52" x14ac:dyDescent="0.25">
      <c r="A421" s="27"/>
      <c r="B421" s="20" t="s">
        <v>57</v>
      </c>
      <c r="C421" s="21" t="s">
        <v>2032</v>
      </c>
      <c r="D421" s="22" t="s">
        <v>2033</v>
      </c>
      <c r="E421" s="21" t="s">
        <v>1988</v>
      </c>
      <c r="F421" s="23" t="s">
        <v>1988</v>
      </c>
      <c r="G421" s="20" t="str">
        <f>SUBSTITUTE(SUBSTITUTE(SUBSTITUTE(O421,"/@","_"),"/cac:","_"),"/cbc:","_")</f>
        <v/>
      </c>
      <c r="H421" s="19" t="s">
        <v>1989</v>
      </c>
      <c r="I421" s="19"/>
      <c r="J421" s="19"/>
      <c r="K421" s="24"/>
      <c r="L421" s="25" t="s">
        <v>204</v>
      </c>
      <c r="M421" s="20"/>
      <c r="N421" s="26" t="str">
        <f>IF(O421="","",LEN(O421)-LEN(SUBSTITUTE(O421,"/",""))+IF(ISNUMBER(SEARCH("@",O421)),0,1))</f>
        <v/>
      </c>
      <c r="O421" s="19"/>
      <c r="P421" s="19" t="s">
        <v>2085</v>
      </c>
      <c r="Q421" s="20"/>
      <c r="R421" s="20"/>
      <c r="S421" s="20"/>
      <c r="T421" s="20"/>
      <c r="U421" s="20" t="s">
        <v>682</v>
      </c>
      <c r="V421" s="20"/>
      <c r="W421" s="20" t="str">
        <f>IF(ISBLANK(O421),"是","否")</f>
        <v>是</v>
      </c>
      <c r="X421" s="20" t="s">
        <v>76</v>
      </c>
      <c r="Y421" s="24">
        <v>127</v>
      </c>
      <c r="Z421" s="25" t="s">
        <v>1988</v>
      </c>
      <c r="AC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</row>
    <row r="422" ht="50.16541353383458" customHeight="1" spans="1:52" x14ac:dyDescent="0.25">
      <c r="A422" s="19" t="s">
        <v>316</v>
      </c>
      <c r="B422" s="20" t="s">
        <v>57</v>
      </c>
      <c r="C422" s="21" t="s">
        <v>2032</v>
      </c>
      <c r="D422" s="22" t="s">
        <v>2033</v>
      </c>
      <c r="E422" s="21" t="s">
        <v>1995</v>
      </c>
      <c r="F422" s="23" t="s">
        <v>1995</v>
      </c>
      <c r="G422" s="20" t="str">
        <f>SUBSTITUTE(SUBSTITUTE(SUBSTITUTE(O422,"/@","_"),"/cac:","_"),"/cbc:","_")</f>
        <v>Invoice_Delivery_DeliveryLocation_Address_AddressLine_Line</v>
      </c>
      <c r="H422" s="19" t="s">
        <v>1996</v>
      </c>
      <c r="I422" s="19"/>
      <c r="J422" s="19" t="s">
        <v>2086</v>
      </c>
      <c r="K422" s="25"/>
      <c r="L422" s="25" t="s">
        <v>1998</v>
      </c>
      <c r="M422" s="20" t="s">
        <v>165</v>
      </c>
      <c r="N422" s="26" t="str">
        <f>IF(O422="","",LEN(O422)-LEN(SUBSTITUTE(O422,"/",""))+IF(ISNUMBER(SEARCH("@",O422)),0,1))</f>
        <v>6</v>
      </c>
      <c r="O422" s="19" t="s">
        <v>2074</v>
      </c>
      <c r="P422" s="19" t="s">
        <v>2087</v>
      </c>
      <c r="Q422" s="20"/>
      <c r="R422" s="25"/>
      <c r="S422" s="20"/>
      <c r="T422" s="20"/>
      <c r="U422" s="20" t="s">
        <v>682</v>
      </c>
      <c r="V422" s="20" t="s">
        <v>68</v>
      </c>
      <c r="W422" s="20" t="str">
        <f>IF(ISBLANK(O422),"是","否")</f>
        <v>否</v>
      </c>
      <c r="X422" s="20" t="s">
        <v>76</v>
      </c>
      <c r="Y422" s="24">
        <v>128</v>
      </c>
      <c r="Z422" s="25" t="s">
        <v>1995</v>
      </c>
      <c r="AC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</row>
    <row r="423" ht="39.879699248120296" customHeight="1" spans="1:52" x14ac:dyDescent="0.25">
      <c r="A423" s="19" t="s">
        <v>1845</v>
      </c>
      <c r="B423" s="20" t="s">
        <v>57</v>
      </c>
      <c r="C423" s="21" t="s">
        <v>2032</v>
      </c>
      <c r="D423" s="22" t="s">
        <v>2033</v>
      </c>
      <c r="E423" s="21" t="s">
        <v>2088</v>
      </c>
      <c r="F423" s="23" t="s">
        <v>2088</v>
      </c>
      <c r="G423" s="20" t="str">
        <f>SUBSTITUTE(SUBSTITUTE(SUBSTITUTE(O423,"/@","_"),"/cac:","_"),"/cbc:","_")</f>
        <v>Invoice_InvoicePeriod_EndDate</v>
      </c>
      <c r="H423" s="19" t="s">
        <v>2089</v>
      </c>
      <c r="I423" s="19"/>
      <c r="J423" s="19" t="s">
        <v>2090</v>
      </c>
      <c r="K423" s="20"/>
      <c r="L423" s="25" t="s">
        <v>909</v>
      </c>
      <c r="M423" s="20" t="s">
        <v>64</v>
      </c>
      <c r="N423" s="26" t="str">
        <f>IF(O423="","",LEN(O423)-LEN(SUBSTITUTE(O423,"/",""))+IF(ISNUMBER(SEARCH("@",O423)),0,1))</f>
        <v>3</v>
      </c>
      <c r="O423" s="19" t="s">
        <v>2091</v>
      </c>
      <c r="P423" s="19" t="s">
        <v>2092</v>
      </c>
      <c r="Q423" s="20" t="s">
        <v>2093</v>
      </c>
      <c r="R423" s="20"/>
      <c r="S423" s="20"/>
      <c r="T423" s="20"/>
      <c r="U423" s="20" t="s">
        <v>682</v>
      </c>
      <c r="V423" s="20" t="s">
        <v>68</v>
      </c>
      <c r="W423" s="20" t="str">
        <f>IF(ISBLANK(O423),"是","否")</f>
        <v>否</v>
      </c>
      <c r="X423" s="20" t="s">
        <v>76</v>
      </c>
      <c r="Y423" s="24">
        <v>129</v>
      </c>
      <c r="Z423" s="25" t="s">
        <v>2088</v>
      </c>
      <c r="AA423" s="37">
        <v>109</v>
      </c>
      <c r="AB423" s="35" t="s">
        <v>2094</v>
      </c>
      <c r="AC423" s="20"/>
      <c r="AD423" s="37"/>
      <c r="AE423" s="35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</row>
    <row r="424" ht="60.45112781954887" customHeight="1" spans="1:52" x14ac:dyDescent="0.25">
      <c r="A424" s="27"/>
      <c r="B424" s="20" t="s">
        <v>57</v>
      </c>
      <c r="C424" s="21" t="s">
        <v>2032</v>
      </c>
      <c r="D424" s="22" t="s">
        <v>2033</v>
      </c>
      <c r="E424" s="21" t="s">
        <v>2062</v>
      </c>
      <c r="F424" s="23" t="s">
        <v>2062</v>
      </c>
      <c r="G424" s="20" t="str">
        <f>SUBSTITUTE(SUBSTITUTE(SUBSTITUTE(O424,"/@","_"),"/cac:","_"),"/cbc:","_")</f>
        <v/>
      </c>
      <c r="H424" s="19" t="s">
        <v>2063</v>
      </c>
      <c r="I424" s="19"/>
      <c r="J424" s="19"/>
      <c r="K424" s="25" t="s">
        <v>2095</v>
      </c>
      <c r="L424" s="25" t="s">
        <v>927</v>
      </c>
      <c r="M424" s="20"/>
      <c r="N424" s="26" t="str">
        <f>IF(O424="","",LEN(O424)-LEN(SUBSTITUTE(O424,"/",""))+IF(ISNUMBER(SEARCH("@",O424)),0,1))</f>
        <v/>
      </c>
      <c r="O424" s="19"/>
      <c r="P424" s="19" t="s">
        <v>2096</v>
      </c>
      <c r="Q424" s="20"/>
      <c r="R424" s="25"/>
      <c r="S424" s="20"/>
      <c r="T424" s="20"/>
      <c r="U424" s="20" t="s">
        <v>682</v>
      </c>
      <c r="V424" s="20"/>
      <c r="W424" s="20" t="str">
        <f>IF(ISBLANK(O424),"是","否")</f>
        <v>是</v>
      </c>
      <c r="X424" s="20" t="s">
        <v>76</v>
      </c>
      <c r="Y424" s="24">
        <v>130</v>
      </c>
      <c r="Z424" s="25" t="s">
        <v>2062</v>
      </c>
      <c r="AC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</row>
    <row r="425" ht="39.879699248120296" customHeight="1" spans="1:52" x14ac:dyDescent="0.25">
      <c r="A425" s="19" t="s">
        <v>41</v>
      </c>
      <c r="B425" s="20" t="s">
        <v>57</v>
      </c>
      <c r="C425" s="21" t="s">
        <v>2032</v>
      </c>
      <c r="D425" s="22" t="s">
        <v>2033</v>
      </c>
      <c r="E425" s="21" t="s">
        <v>2007</v>
      </c>
      <c r="F425" s="23" t="s">
        <v>2007</v>
      </c>
      <c r="G425" s="20" t="str">
        <f>SUBSTITUTE(SUBSTITUTE(SUBSTITUTE(O425,"/@","_"),"/cac:","_"),"/cbc:","_")</f>
        <v>Invoice_UUID</v>
      </c>
      <c r="H425" s="19" t="s">
        <v>1314</v>
      </c>
      <c r="I425" s="19"/>
      <c r="J425" s="19" t="s">
        <v>2008</v>
      </c>
      <c r="K425" s="20"/>
      <c r="L425" s="25" t="s">
        <v>72</v>
      </c>
      <c r="M425" s="20" t="s">
        <v>64</v>
      </c>
      <c r="N425" s="26" t="str">
        <f>IF(O425="","",LEN(O425)-LEN(SUBSTITUTE(O425,"/",""))+IF(ISNUMBER(SEARCH("@",O425)),0,1))</f>
        <v>2</v>
      </c>
      <c r="O425" s="19" t="s">
        <v>65</v>
      </c>
      <c r="P425" s="19" t="s">
        <v>2097</v>
      </c>
      <c r="Q425" s="20"/>
      <c r="R425" s="20"/>
      <c r="S425" s="20"/>
      <c r="T425" s="20"/>
      <c r="U425" s="20" t="s">
        <v>682</v>
      </c>
      <c r="V425" s="20" t="s">
        <v>68</v>
      </c>
      <c r="W425" s="20" t="str">
        <f>IF(ISBLANK(O425),"是","否")</f>
        <v>否</v>
      </c>
      <c r="X425" s="20" t="s">
        <v>76</v>
      </c>
      <c r="Y425" s="24">
        <v>131</v>
      </c>
      <c r="Z425" s="25" t="s">
        <v>2007</v>
      </c>
      <c r="AC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</row>
    <row r="426" ht="60.45112781954887" customHeight="1" spans="1:52" x14ac:dyDescent="0.25">
      <c r="A426" s="19" t="s">
        <v>282</v>
      </c>
      <c r="B426" s="20" t="s">
        <v>57</v>
      </c>
      <c r="C426" s="21" t="s">
        <v>2032</v>
      </c>
      <c r="D426" s="22" t="s">
        <v>2033</v>
      </c>
      <c r="E426" s="21" t="s">
        <v>2010</v>
      </c>
      <c r="F426" s="23" t="s">
        <v>2010</v>
      </c>
      <c r="G426" s="20" t="str">
        <f>SUBSTITUTE(SUBSTITUTE(SUBSTITUTE(O426,"/@","_"),"/cac:","_"),"/cbc:","_")</f>
        <v>Invoice_Delivery_DeliveryAddress_CountrySubentity</v>
      </c>
      <c r="H426" s="19" t="s">
        <v>2073</v>
      </c>
      <c r="I426" s="19" t="s">
        <v>2098</v>
      </c>
      <c r="J426" s="19" t="s">
        <v>2099</v>
      </c>
      <c r="K426" s="20"/>
      <c r="L426" s="25" t="s">
        <v>1998</v>
      </c>
      <c r="M426" s="20" t="s">
        <v>64</v>
      </c>
      <c r="N426" s="26" t="str">
        <f>IF(O426="","",LEN(O426)-LEN(SUBSTITUTE(O426,"/",""))+IF(ISNUMBER(SEARCH("@",O426)),0,1))</f>
        <v>4</v>
      </c>
      <c r="O426" s="19" t="s">
        <v>2100</v>
      </c>
      <c r="P426" s="19" t="s">
        <v>2101</v>
      </c>
      <c r="Q426" s="20"/>
      <c r="R426" s="20"/>
      <c r="S426" s="20" t="s">
        <v>2102</v>
      </c>
      <c r="T426" s="20"/>
      <c r="U426" s="20" t="s">
        <v>682</v>
      </c>
      <c r="V426" s="20" t="s">
        <v>68</v>
      </c>
      <c r="W426" s="20" t="str">
        <f>IF(ISBLANK(O426),"是","否")</f>
        <v>否</v>
      </c>
      <c r="X426" s="20" t="s">
        <v>76</v>
      </c>
      <c r="Y426" s="24">
        <v>132</v>
      </c>
      <c r="Z426" s="25" t="s">
        <v>2010</v>
      </c>
      <c r="AC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</row>
    <row r="427" ht="39.879699248120296" customHeight="1" spans="1:52" x14ac:dyDescent="0.25">
      <c r="A427" s="19" t="s">
        <v>1845</v>
      </c>
      <c r="B427" s="20" t="s">
        <v>57</v>
      </c>
      <c r="C427" s="21" t="s">
        <v>2032</v>
      </c>
      <c r="D427" s="22" t="s">
        <v>2033</v>
      </c>
      <c r="E427" s="21" t="s">
        <v>2103</v>
      </c>
      <c r="F427" s="23" t="s">
        <v>2103</v>
      </c>
      <c r="G427" s="20" t="str">
        <f>SUBSTITUTE(SUBSTITUTE(SUBSTITUTE(O427,"/@","_"),"/cac:","_"),"/cbc:","_")</f>
        <v>Invoice_InvoicePeriod_StartDate</v>
      </c>
      <c r="H427" s="19" t="s">
        <v>2104</v>
      </c>
      <c r="I427" s="19"/>
      <c r="J427" s="19" t="s">
        <v>2105</v>
      </c>
      <c r="K427" s="20"/>
      <c r="L427" s="25" t="s">
        <v>909</v>
      </c>
      <c r="M427" s="20" t="s">
        <v>64</v>
      </c>
      <c r="N427" s="26" t="str">
        <f>IF(O427="","",LEN(O427)-LEN(SUBSTITUTE(O427,"/",""))+IF(ISNUMBER(SEARCH("@",O427)),0,1))</f>
        <v>3</v>
      </c>
      <c r="O427" s="19" t="s">
        <v>2106</v>
      </c>
      <c r="P427" s="19" t="s">
        <v>2107</v>
      </c>
      <c r="Q427" s="20" t="s">
        <v>2093</v>
      </c>
      <c r="R427" s="20"/>
      <c r="S427" s="20"/>
      <c r="T427" s="20"/>
      <c r="U427" s="20" t="s">
        <v>682</v>
      </c>
      <c r="V427" s="20" t="s">
        <v>68</v>
      </c>
      <c r="W427" s="20" t="str">
        <f>IF(ISBLANK(O427),"是","否")</f>
        <v>否</v>
      </c>
      <c r="X427" s="20" t="s">
        <v>76</v>
      </c>
      <c r="Y427" s="24">
        <v>133</v>
      </c>
      <c r="Z427" s="25" t="s">
        <v>2103</v>
      </c>
      <c r="AA427" s="37">
        <v>108</v>
      </c>
      <c r="AB427" s="35" t="s">
        <v>2103</v>
      </c>
      <c r="AC427" s="20"/>
      <c r="AD427" s="37"/>
      <c r="AE427" s="35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</row>
    <row r="428" ht="60.45112781954887" customHeight="1" spans="1:52" x14ac:dyDescent="0.25">
      <c r="A428" s="27"/>
      <c r="B428" s="20" t="s">
        <v>57</v>
      </c>
      <c r="C428" s="21" t="s">
        <v>2108</v>
      </c>
      <c r="D428" s="22" t="s">
        <v>2109</v>
      </c>
      <c r="E428" s="21" t="s">
        <v>60</v>
      </c>
      <c r="F428" s="23" t="s">
        <v>60</v>
      </c>
      <c r="G428" s="20" t="str">
        <f>SUBSTITUTE(SUBSTITUTE(SUBSTITUTE(O428,"/@","_"),"/cac:","_"),"/cbc:","_")</f>
        <v/>
      </c>
      <c r="H428" s="19" t="s">
        <v>2110</v>
      </c>
      <c r="I428" s="19"/>
      <c r="J428" s="19"/>
      <c r="K428" s="24"/>
      <c r="L428" s="25" t="s">
        <v>63</v>
      </c>
      <c r="M428" s="20"/>
      <c r="N428" s="26" t="str">
        <f>IF(O428="","",LEN(O428)-LEN(SUBSTITUTE(O428,"/",""))+IF(ISNUMBER(SEARCH("@",O428)),0,1))</f>
        <v/>
      </c>
      <c r="O428" s="19"/>
      <c r="P428" s="19" t="s">
        <v>2111</v>
      </c>
      <c r="Q428" s="20"/>
      <c r="R428" s="20"/>
      <c r="S428" s="20"/>
      <c r="T428" s="20"/>
      <c r="U428" s="20" t="s">
        <v>682</v>
      </c>
      <c r="V428" s="20"/>
      <c r="W428" s="20" t="str">
        <f>IF(ISBLANK(O428),"是","否")</f>
        <v>是</v>
      </c>
      <c r="X428" s="20" t="s">
        <v>76</v>
      </c>
      <c r="Y428" s="24">
        <v>134</v>
      </c>
      <c r="Z428" s="25" t="s">
        <v>60</v>
      </c>
      <c r="AC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</row>
    <row r="429" ht="60.45112781954887" customHeight="1" spans="1:52" x14ac:dyDescent="0.25">
      <c r="A429" s="19" t="s">
        <v>1169</v>
      </c>
      <c r="B429" s="20" t="s">
        <v>57</v>
      </c>
      <c r="C429" s="21" t="s">
        <v>2108</v>
      </c>
      <c r="D429" s="22" t="s">
        <v>2109</v>
      </c>
      <c r="E429" s="21" t="s">
        <v>2112</v>
      </c>
      <c r="F429" s="23" t="s">
        <v>2112</v>
      </c>
      <c r="G429" s="20" t="str">
        <f>SUBSTITUTE(SUBSTITUTE(SUBSTITUTE(O429,"/@","_"),"/cac:","_"),"/cbc:","_")</f>
        <v>Invoice_AllowanceCharge_Amount</v>
      </c>
      <c r="H429" s="19" t="s">
        <v>2113</v>
      </c>
      <c r="I429" s="19"/>
      <c r="J429" s="19" t="s">
        <v>2114</v>
      </c>
      <c r="K429" s="20"/>
      <c r="L429" s="25" t="s">
        <v>101</v>
      </c>
      <c r="M429" s="20" t="s">
        <v>165</v>
      </c>
      <c r="N429" s="26" t="str">
        <f>IF(O429="","",LEN(O429)-LEN(SUBSTITUTE(O429,"/",""))+IF(ISNUMBER(SEARCH("@",O429)),0,1))</f>
        <v>3</v>
      </c>
      <c r="O429" s="19" t="s">
        <v>1213</v>
      </c>
      <c r="P429" s="19" t="s">
        <v>2115</v>
      </c>
      <c r="Q429" s="20"/>
      <c r="R429" s="20"/>
      <c r="S429" s="20" t="s">
        <v>2116</v>
      </c>
      <c r="T429" s="20"/>
      <c r="U429" s="20" t="s">
        <v>682</v>
      </c>
      <c r="V429" s="20" t="s">
        <v>68</v>
      </c>
      <c r="W429" s="20" t="str">
        <f>IF(ISBLANK(O429),"是","否")</f>
        <v>否</v>
      </c>
      <c r="X429" s="20" t="s">
        <v>76</v>
      </c>
      <c r="Y429" s="24">
        <v>135</v>
      </c>
      <c r="Z429" s="25" t="s">
        <v>2112</v>
      </c>
      <c r="AA429" s="24">
        <v>199</v>
      </c>
      <c r="AB429" s="25" t="s">
        <v>2117</v>
      </c>
      <c r="AC429" s="20"/>
      <c r="AD429" s="24"/>
      <c r="AE429" s="25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</row>
    <row r="430" ht="39.879699248120296" customHeight="1" spans="1:52" x14ac:dyDescent="0.25">
      <c r="A430" s="19" t="s">
        <v>41</v>
      </c>
      <c r="B430" s="20" t="s">
        <v>57</v>
      </c>
      <c r="C430" s="21" t="s">
        <v>2108</v>
      </c>
      <c r="D430" s="22" t="s">
        <v>2109</v>
      </c>
      <c r="E430" s="21" t="s">
        <v>2118</v>
      </c>
      <c r="F430" s="23" t="s">
        <v>2118</v>
      </c>
      <c r="G430" s="20" t="str">
        <f>SUBSTITUTE(SUBSTITUTE(SUBSTITUTE(O430,"/@","_"),"/cac:","_"),"/cbc:","_")</f>
        <v>Invoice_ID</v>
      </c>
      <c r="H430" s="19" t="s">
        <v>163</v>
      </c>
      <c r="I430" s="19" t="s">
        <v>83</v>
      </c>
      <c r="J430" s="19" t="s">
        <v>2119</v>
      </c>
      <c r="K430" s="20"/>
      <c r="L430" s="25" t="s">
        <v>909</v>
      </c>
      <c r="M430" s="20" t="s">
        <v>165</v>
      </c>
      <c r="N430" s="26" t="str">
        <f>IF(O430="","",LEN(O430)-LEN(SUBSTITUTE(O430,"/",""))+IF(ISNUMBER(SEARCH("@",O430)),0,1))</f>
        <v>2</v>
      </c>
      <c r="O430" s="19" t="s">
        <v>86</v>
      </c>
      <c r="P430" s="19" t="s">
        <v>2120</v>
      </c>
      <c r="Q430" s="20"/>
      <c r="R430" s="20"/>
      <c r="S430" s="20"/>
      <c r="T430" s="20"/>
      <c r="U430" s="20" t="s">
        <v>682</v>
      </c>
      <c r="V430" s="20" t="s">
        <v>68</v>
      </c>
      <c r="W430" s="20" t="str">
        <f>IF(ISBLANK(O430),"是","否")</f>
        <v>否</v>
      </c>
      <c r="X430" s="20" t="s">
        <v>76</v>
      </c>
      <c r="Y430" s="24">
        <v>136</v>
      </c>
      <c r="Z430" s="25" t="s">
        <v>2118</v>
      </c>
      <c r="AA430" s="24">
        <v>193</v>
      </c>
      <c r="AB430" s="25" t="s">
        <v>2118</v>
      </c>
      <c r="AC430" s="20"/>
      <c r="AD430" s="24"/>
      <c r="AE430" s="25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</row>
    <row r="431" ht="50.16541353383458" customHeight="1" spans="1:52" x14ac:dyDescent="0.25">
      <c r="A431" s="19" t="s">
        <v>97</v>
      </c>
      <c r="B431" s="20" t="s">
        <v>57</v>
      </c>
      <c r="C431" s="21" t="s">
        <v>2108</v>
      </c>
      <c r="D431" s="22" t="s">
        <v>2109</v>
      </c>
      <c r="E431" s="21" t="s">
        <v>2121</v>
      </c>
      <c r="F431" s="23" t="s">
        <v>2121</v>
      </c>
      <c r="G431" s="20" t="str">
        <f>SUBSTITUTE(SUBSTITUTE(SUBSTITUTE(O431,"/@","_"),"/cac:","_"),"/cbc:","_")</f>
        <v>Invoice_LegalMonetaryTotal_PayableAmount</v>
      </c>
      <c r="H431" s="19" t="s">
        <v>2122</v>
      </c>
      <c r="I431" s="19"/>
      <c r="J431" s="19" t="s">
        <v>2045</v>
      </c>
      <c r="K431" s="20"/>
      <c r="L431" s="25" t="s">
        <v>101</v>
      </c>
      <c r="M431" s="20" t="s">
        <v>165</v>
      </c>
      <c r="N431" s="26" t="str">
        <f>IF(O431="","",LEN(O431)-LEN(SUBSTITUTE(O431,"/",""))+IF(ISNUMBER(SEARCH("@",O431)),0,1))</f>
        <v>3</v>
      </c>
      <c r="O431" s="19" t="s">
        <v>2046</v>
      </c>
      <c r="P431" s="19" t="s">
        <v>2123</v>
      </c>
      <c r="Q431" s="20"/>
      <c r="R431" s="20"/>
      <c r="S431" s="20"/>
      <c r="T431" s="20"/>
      <c r="U431" s="20" t="s">
        <v>682</v>
      </c>
      <c r="V431" s="20" t="s">
        <v>68</v>
      </c>
      <c r="W431" s="20" t="str">
        <f>IF(ISBLANK(O431),"是","否")</f>
        <v>否</v>
      </c>
      <c r="X431" s="20" t="s">
        <v>76</v>
      </c>
      <c r="Y431" s="24">
        <v>137</v>
      </c>
      <c r="Z431" s="25" t="s">
        <v>2121</v>
      </c>
      <c r="AA431" s="24">
        <v>198</v>
      </c>
      <c r="AB431" s="25" t="s">
        <v>2121</v>
      </c>
      <c r="AC431" s="20"/>
      <c r="AD431" s="24"/>
      <c r="AE431" s="25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</row>
    <row r="432" ht="39.879699248120296" customHeight="1" spans="1:52" x14ac:dyDescent="0.25">
      <c r="A432" s="19" t="s">
        <v>139</v>
      </c>
      <c r="B432" s="20" t="s">
        <v>57</v>
      </c>
      <c r="C432" s="21" t="s">
        <v>2108</v>
      </c>
      <c r="D432" s="22" t="s">
        <v>2109</v>
      </c>
      <c r="E432" s="21" t="s">
        <v>2124</v>
      </c>
      <c r="F432" s="23" t="s">
        <v>2124</v>
      </c>
      <c r="G432" s="20" t="str">
        <f>SUBSTITUTE(SUBSTITUTE(SUBSTITUTE(O432,"/@","_"),"/cac:","_"),"/cbc:","_")</f>
        <v>Invoice_AdditionalDocumentReference_ID</v>
      </c>
      <c r="H432" s="19" t="s">
        <v>2125</v>
      </c>
      <c r="I432" s="19"/>
      <c r="J432" s="19" t="s">
        <v>1993</v>
      </c>
      <c r="K432" s="20"/>
      <c r="L432" s="25" t="s">
        <v>909</v>
      </c>
      <c r="M432" s="20" t="s">
        <v>165</v>
      </c>
      <c r="N432" s="26" t="str">
        <f>IF(O432="","",LEN(O432)-LEN(SUBSTITUTE(O432,"/",""))+IF(ISNUMBER(SEARCH("@",O432)),0,1))</f>
        <v>3</v>
      </c>
      <c r="O432" s="19" t="s">
        <v>173</v>
      </c>
      <c r="P432" s="19" t="s">
        <v>2126</v>
      </c>
      <c r="Q432" s="20"/>
      <c r="R432" s="20"/>
      <c r="S432" s="20" t="s">
        <v>2127</v>
      </c>
      <c r="T432" s="20"/>
      <c r="U432" s="20" t="s">
        <v>682</v>
      </c>
      <c r="V432" s="20" t="s">
        <v>68</v>
      </c>
      <c r="W432" s="20" t="str">
        <f>IF(ISBLANK(O432),"是","否")</f>
        <v>否</v>
      </c>
      <c r="X432" s="20" t="s">
        <v>76</v>
      </c>
      <c r="Y432" s="24">
        <v>138</v>
      </c>
      <c r="Z432" s="25" t="s">
        <v>2124</v>
      </c>
      <c r="AA432" s="24">
        <v>196</v>
      </c>
      <c r="AB432" s="25" t="s">
        <v>2124</v>
      </c>
      <c r="AC432" s="20"/>
      <c r="AD432" s="24"/>
      <c r="AE432" s="25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</row>
    <row r="433" ht="91.30827067669172" customHeight="1" spans="1:52" x14ac:dyDescent="0.25">
      <c r="A433" s="19" t="s">
        <v>139</v>
      </c>
      <c r="B433" s="20" t="s">
        <v>57</v>
      </c>
      <c r="C433" s="21" t="s">
        <v>2108</v>
      </c>
      <c r="D433" s="22" t="s">
        <v>2109</v>
      </c>
      <c r="E433" s="21" t="s">
        <v>2128</v>
      </c>
      <c r="F433" s="23" t="s">
        <v>2128</v>
      </c>
      <c r="G433" s="20" t="str">
        <f>SUBSTITUTE(SUBSTITUTE(SUBSTITUTE(O433,"/@","_"),"/cac:","_"),"/cbc:","_")</f>
        <v>Invoice_AdditionalDocumentReference_DocumentType</v>
      </c>
      <c r="H433" s="19" t="s">
        <v>2129</v>
      </c>
      <c r="I433" s="19"/>
      <c r="J433" s="19" t="s">
        <v>2130</v>
      </c>
      <c r="K433" s="24"/>
      <c r="L433" s="25" t="s">
        <v>927</v>
      </c>
      <c r="M433" s="20" t="s">
        <v>64</v>
      </c>
      <c r="N433" s="26" t="str">
        <f>IF(O433="","",LEN(O433)-LEN(SUBSTITUTE(O433,"/",""))+IF(ISNUMBER(SEARCH("@",O433)),0,1))</f>
        <v>3</v>
      </c>
      <c r="O433" s="19" t="s">
        <v>2131</v>
      </c>
      <c r="P433" s="19" t="s">
        <v>2132</v>
      </c>
      <c r="Q433" s="20"/>
      <c r="R433" s="20" t="s">
        <v>2133</v>
      </c>
      <c r="S433" s="20"/>
      <c r="T433" s="20"/>
      <c r="U433" s="20" t="s">
        <v>682</v>
      </c>
      <c r="V433" s="20" t="s">
        <v>68</v>
      </c>
      <c r="W433" s="20" t="str">
        <f>IF(ISBLANK(O433),"是","否")</f>
        <v>否</v>
      </c>
      <c r="X433" s="20" t="s">
        <v>76</v>
      </c>
      <c r="Y433" s="24">
        <v>139</v>
      </c>
      <c r="Z433" s="25" t="s">
        <v>2128</v>
      </c>
      <c r="AA433" s="24">
        <v>192</v>
      </c>
      <c r="AB433" s="25" t="s">
        <v>2128</v>
      </c>
      <c r="AC433" s="20"/>
      <c r="AD433" s="24"/>
      <c r="AE433" s="25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</row>
    <row r="434" ht="29.59398496240601" customHeight="1" spans="1:52" x14ac:dyDescent="0.25">
      <c r="A434" s="27"/>
      <c r="B434" s="20" t="s">
        <v>57</v>
      </c>
      <c r="C434" s="21" t="s">
        <v>2108</v>
      </c>
      <c r="D434" s="22" t="s">
        <v>2109</v>
      </c>
      <c r="E434" s="21" t="s">
        <v>77</v>
      </c>
      <c r="F434" s="23" t="s">
        <v>77</v>
      </c>
      <c r="G434" s="20" t="str">
        <f>SUBSTITUTE(SUBSTITUTE(SUBSTITUTE(O434,"/@","_"),"/cac:","_"),"/cbc:","_")</f>
        <v/>
      </c>
      <c r="H434" s="19" t="s">
        <v>78</v>
      </c>
      <c r="I434" s="19"/>
      <c r="J434" s="19"/>
      <c r="K434" s="24"/>
      <c r="L434" s="25" t="s">
        <v>909</v>
      </c>
      <c r="M434" s="20"/>
      <c r="N434" s="26" t="str">
        <f>IF(O434="","",LEN(O434)-LEN(SUBSTITUTE(O434,"/",""))+IF(ISNUMBER(SEARCH("@",O434)),0,1))</f>
        <v/>
      </c>
      <c r="O434" s="19"/>
      <c r="P434" s="19" t="s">
        <v>2134</v>
      </c>
      <c r="Q434" s="20"/>
      <c r="R434" s="20"/>
      <c r="S434" s="20"/>
      <c r="T434" s="20"/>
      <c r="U434" s="20" t="s">
        <v>682</v>
      </c>
      <c r="V434" s="20"/>
      <c r="W434" s="20" t="str">
        <f>IF(ISBLANK(O434),"是","否")</f>
        <v>是</v>
      </c>
      <c r="X434" s="20" t="s">
        <v>76</v>
      </c>
      <c r="Y434" s="24">
        <v>140</v>
      </c>
      <c r="Z434" s="25" t="s">
        <v>77</v>
      </c>
      <c r="AA434" s="24">
        <v>194</v>
      </c>
      <c r="AB434" s="25" t="s">
        <v>2135</v>
      </c>
      <c r="AC434" s="20"/>
      <c r="AD434" s="24"/>
      <c r="AE434" s="25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</row>
    <row r="435" ht="39.879699248120296" customHeight="1" spans="1:52" x14ac:dyDescent="0.25">
      <c r="A435" s="19" t="s">
        <v>41</v>
      </c>
      <c r="B435" s="20" t="s">
        <v>57</v>
      </c>
      <c r="C435" s="21" t="s">
        <v>2108</v>
      </c>
      <c r="D435" s="22" t="s">
        <v>2109</v>
      </c>
      <c r="E435" s="21" t="s">
        <v>2136</v>
      </c>
      <c r="F435" s="23" t="s">
        <v>2136</v>
      </c>
      <c r="G435" s="20" t="str">
        <f>SUBSTITUTE(SUBSTITUTE(SUBSTITUTE(O435,"/@","_"),"/cac:","_"),"/cbc:","_")</f>
        <v>Invoice_IssueDate</v>
      </c>
      <c r="H435" s="19" t="s">
        <v>1896</v>
      </c>
      <c r="I435" s="19" t="s">
        <v>122</v>
      </c>
      <c r="J435" s="19" t="s">
        <v>2137</v>
      </c>
      <c r="K435" s="20" t="s">
        <v>2138</v>
      </c>
      <c r="L435" s="25" t="s">
        <v>909</v>
      </c>
      <c r="M435" s="20" t="s">
        <v>165</v>
      </c>
      <c r="N435" s="26" t="str">
        <f>IF(O435="","",LEN(O435)-LEN(SUBSTITUTE(O435,"/",""))+IF(ISNUMBER(SEARCH("@",O435)),0,1))</f>
        <v>2</v>
      </c>
      <c r="O435" s="19" t="s">
        <v>125</v>
      </c>
      <c r="P435" s="19" t="s">
        <v>2139</v>
      </c>
      <c r="Q435" s="20"/>
      <c r="R435" s="20"/>
      <c r="S435" s="20"/>
      <c r="T435" s="20"/>
      <c r="U435" s="20" t="s">
        <v>682</v>
      </c>
      <c r="V435" s="20" t="s">
        <v>68</v>
      </c>
      <c r="W435" s="20" t="str">
        <f>IF(ISBLANK(O435),"是","否")</f>
        <v>否</v>
      </c>
      <c r="X435" s="20" t="s">
        <v>76</v>
      </c>
      <c r="Y435" s="24">
        <v>141</v>
      </c>
      <c r="Z435" s="25" t="s">
        <v>2136</v>
      </c>
      <c r="AA435" s="24">
        <v>197</v>
      </c>
      <c r="AB435" s="25" t="s">
        <v>2136</v>
      </c>
      <c r="AC435" s="20"/>
      <c r="AD435" s="24"/>
      <c r="AE435" s="25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</row>
    <row r="436" ht="39.879699248120296" customHeight="1" spans="1:52" x14ac:dyDescent="0.25">
      <c r="A436" s="19" t="s">
        <v>41</v>
      </c>
      <c r="B436" s="20" t="s">
        <v>57</v>
      </c>
      <c r="C436" s="21" t="s">
        <v>2108</v>
      </c>
      <c r="D436" s="22" t="s">
        <v>2109</v>
      </c>
      <c r="E436" s="21" t="s">
        <v>89</v>
      </c>
      <c r="F436" s="23" t="s">
        <v>89</v>
      </c>
      <c r="G436" s="20" t="str">
        <f>SUBSTITUTE(SUBSTITUTE(SUBSTITUTE(O436,"/@","_"),"/cac:","_"),"/cbc:","_")</f>
        <v>Invoice_ID</v>
      </c>
      <c r="H436" s="19" t="s">
        <v>82</v>
      </c>
      <c r="I436" s="19" t="s">
        <v>83</v>
      </c>
      <c r="J436" s="19" t="s">
        <v>2119</v>
      </c>
      <c r="K436" s="20"/>
      <c r="L436" s="25" t="s">
        <v>909</v>
      </c>
      <c r="M436" s="20" t="s">
        <v>165</v>
      </c>
      <c r="N436" s="26" t="str">
        <f>IF(O436="","",LEN(O436)-LEN(SUBSTITUTE(O436,"/",""))+IF(ISNUMBER(SEARCH("@",O436)),0,1))</f>
        <v>2</v>
      </c>
      <c r="O436" s="19" t="s">
        <v>86</v>
      </c>
      <c r="P436" s="19" t="s">
        <v>2140</v>
      </c>
      <c r="Q436" s="20"/>
      <c r="R436" s="20"/>
      <c r="S436" s="20"/>
      <c r="T436" s="20"/>
      <c r="U436" s="20" t="s">
        <v>682</v>
      </c>
      <c r="V436" s="20" t="s">
        <v>68</v>
      </c>
      <c r="W436" s="20" t="str">
        <f>IF(ISBLANK(O436),"是","否")</f>
        <v>否</v>
      </c>
      <c r="X436" s="20" t="s">
        <v>76</v>
      </c>
      <c r="Y436" s="24">
        <v>142</v>
      </c>
      <c r="Z436" s="25" t="s">
        <v>89</v>
      </c>
      <c r="AA436" s="24">
        <v>195</v>
      </c>
      <c r="AB436" s="25" t="s">
        <v>2141</v>
      </c>
      <c r="AC436" s="20"/>
      <c r="AD436" s="24"/>
      <c r="AE436" s="25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</row>
    <row r="437" ht="60.45112781954887" customHeight="1" spans="1:52" x14ac:dyDescent="0.25">
      <c r="A437" s="19" t="s">
        <v>41</v>
      </c>
      <c r="B437" s="20" t="s">
        <v>57</v>
      </c>
      <c r="C437" s="21" t="s">
        <v>2108</v>
      </c>
      <c r="D437" s="22" t="s">
        <v>2109</v>
      </c>
      <c r="E437" s="21" t="s">
        <v>157</v>
      </c>
      <c r="F437" s="23" t="s">
        <v>157</v>
      </c>
      <c r="G437" s="20" t="str">
        <f>SUBSTITUTE(SUBSTITUTE(SUBSTITUTE(O437,"/@","_"),"/cac:","_"),"/cbc:","_")</f>
        <v>Invoice_Note</v>
      </c>
      <c r="H437" s="19" t="s">
        <v>152</v>
      </c>
      <c r="I437" s="19"/>
      <c r="J437" s="19" t="s">
        <v>2142</v>
      </c>
      <c r="K437" s="20"/>
      <c r="L437" s="25" t="s">
        <v>913</v>
      </c>
      <c r="M437" s="20" t="s">
        <v>49</v>
      </c>
      <c r="N437" s="26" t="str">
        <f>IF(O437="","",LEN(O437)-LEN(SUBSTITUTE(O437,"/",""))+IF(ISNUMBER(SEARCH("@",O437)),0,1))</f>
        <v>2</v>
      </c>
      <c r="O437" s="19" t="s">
        <v>155</v>
      </c>
      <c r="P437" s="19" t="s">
        <v>2143</v>
      </c>
      <c r="Q437" s="20"/>
      <c r="R437" s="20"/>
      <c r="S437" s="20"/>
      <c r="T437" s="20"/>
      <c r="U437" s="20" t="s">
        <v>682</v>
      </c>
      <c r="V437" s="20" t="s">
        <v>68</v>
      </c>
      <c r="W437" s="20" t="str">
        <f>IF(ISBLANK(O437),"是","否")</f>
        <v>否</v>
      </c>
      <c r="X437" s="20" t="s">
        <v>76</v>
      </c>
      <c r="Y437" s="24">
        <v>143</v>
      </c>
      <c r="Z437" s="25" t="s">
        <v>157</v>
      </c>
      <c r="AA437" s="37">
        <v>200</v>
      </c>
      <c r="AB437" s="35" t="s">
        <v>2144</v>
      </c>
      <c r="AC437" s="20"/>
      <c r="AD437" s="37"/>
      <c r="AE437" s="35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</row>
    <row r="438" ht="39.879699248120296" customHeight="1" spans="1:52" x14ac:dyDescent="0.25">
      <c r="A438" s="19" t="s">
        <v>41</v>
      </c>
      <c r="B438" s="20" t="s">
        <v>57</v>
      </c>
      <c r="C438" s="21" t="s">
        <v>2108</v>
      </c>
      <c r="D438" s="22" t="s">
        <v>2109</v>
      </c>
      <c r="E438" s="21" t="s">
        <v>2007</v>
      </c>
      <c r="F438" s="23" t="s">
        <v>2007</v>
      </c>
      <c r="G438" s="20" t="str">
        <f>SUBSTITUTE(SUBSTITUTE(SUBSTITUTE(O438,"/@","_"),"/cac:","_"),"/cbc:","_")</f>
        <v>Invoice_UUID</v>
      </c>
      <c r="H438" s="19" t="s">
        <v>1314</v>
      </c>
      <c r="I438" s="19"/>
      <c r="J438" s="19" t="s">
        <v>2008</v>
      </c>
      <c r="K438" s="20"/>
      <c r="L438" s="25" t="s">
        <v>72</v>
      </c>
      <c r="M438" s="20" t="s">
        <v>64</v>
      </c>
      <c r="N438" s="26" t="str">
        <f>IF(O438="","",LEN(O438)-LEN(SUBSTITUTE(O438,"/",""))+IF(ISNUMBER(SEARCH("@",O438)),0,1))</f>
        <v>2</v>
      </c>
      <c r="O438" s="19" t="s">
        <v>65</v>
      </c>
      <c r="P438" s="19" t="s">
        <v>2145</v>
      </c>
      <c r="Q438" s="20"/>
      <c r="R438" s="20"/>
      <c r="S438" s="20"/>
      <c r="T438" s="20"/>
      <c r="U438" s="20" t="s">
        <v>682</v>
      </c>
      <c r="V438" s="20" t="s">
        <v>68</v>
      </c>
      <c r="W438" s="20" t="str">
        <f>IF(ISBLANK(O438),"是","否")</f>
        <v>否</v>
      </c>
      <c r="X438" s="20" t="s">
        <v>76</v>
      </c>
      <c r="Y438" s="24">
        <v>144</v>
      </c>
      <c r="Z438" s="25" t="s">
        <v>2007</v>
      </c>
      <c r="AC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</row>
    <row r="439" ht="60.45112781954887" customHeight="1" spans="1:52" x14ac:dyDescent="0.25">
      <c r="A439" s="19" t="s">
        <v>1542</v>
      </c>
      <c r="B439" s="20" t="s">
        <v>57</v>
      </c>
      <c r="C439" s="21" t="s">
        <v>2146</v>
      </c>
      <c r="D439" s="22" t="s">
        <v>2147</v>
      </c>
      <c r="E439" s="21" t="s">
        <v>2148</v>
      </c>
      <c r="F439" s="23" t="s">
        <v>2148</v>
      </c>
      <c r="G439" s="20" t="str">
        <f>SUBSTITUTE(SUBSTITUTE(SUBSTITUTE(O439,"/@","_"),"/cac:","_"),"/cbc:","_")</f>
        <v>Invoice_InvoiceLine_Item_AdditionalItemProperty_Name</v>
      </c>
      <c r="H439" s="19" t="s">
        <v>2149</v>
      </c>
      <c r="I439" s="19"/>
      <c r="J439" s="19" t="s">
        <v>2150</v>
      </c>
      <c r="K439" s="24"/>
      <c r="L439" s="25" t="s">
        <v>909</v>
      </c>
      <c r="M439" s="20" t="s">
        <v>165</v>
      </c>
      <c r="N439" s="26" t="str">
        <f>IF(O439="","",LEN(O439)-LEN(SUBSTITUTE(O439,"/",""))+IF(ISNUMBER(SEARCH("@",O439)),0,1))</f>
        <v>5</v>
      </c>
      <c r="O439" s="19" t="s">
        <v>1549</v>
      </c>
      <c r="P439" s="19" t="s">
        <v>2151</v>
      </c>
      <c r="Q439" s="20"/>
      <c r="R439" s="20"/>
      <c r="S439" s="20" t="s">
        <v>2152</v>
      </c>
      <c r="T439" s="20"/>
      <c r="U439" s="20" t="s">
        <v>682</v>
      </c>
      <c r="V439" s="20" t="s">
        <v>68</v>
      </c>
      <c r="W439" s="20" t="str">
        <f>IF(ISBLANK(O439),"是","否")</f>
        <v>否</v>
      </c>
      <c r="X439" s="20" t="s">
        <v>76</v>
      </c>
      <c r="Y439" s="24">
        <v>145</v>
      </c>
      <c r="Z439" s="25" t="s">
        <v>2148</v>
      </c>
      <c r="AA439" s="24">
        <v>255</v>
      </c>
      <c r="AB439" s="25" t="s">
        <v>2153</v>
      </c>
      <c r="AC439" s="20"/>
      <c r="AD439" s="24"/>
      <c r="AE439" s="25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</row>
    <row r="440" ht="39.879699248120296" customHeight="1" spans="1:52" x14ac:dyDescent="0.25">
      <c r="A440" s="19" t="s">
        <v>1542</v>
      </c>
      <c r="B440" s="20" t="s">
        <v>57</v>
      </c>
      <c r="C440" s="21" t="s">
        <v>2146</v>
      </c>
      <c r="D440" s="22" t="s">
        <v>2147</v>
      </c>
      <c r="E440" s="21" t="s">
        <v>2154</v>
      </c>
      <c r="F440" s="23" t="s">
        <v>2154</v>
      </c>
      <c r="G440" s="20" t="str">
        <f>SUBSTITUTE(SUBSTITUTE(SUBSTITUTE(O440,"/@","_"),"/cac:","_"),"/cbc:","_")</f>
        <v>Invoice_InvoiceLine_Item_AdditionalItemProperty_NameCode</v>
      </c>
      <c r="H440" s="19" t="s">
        <v>2155</v>
      </c>
      <c r="I440" s="19"/>
      <c r="J440" s="19" t="s">
        <v>2156</v>
      </c>
      <c r="K440" s="24"/>
      <c r="L440" s="25" t="s">
        <v>2157</v>
      </c>
      <c r="M440" s="20" t="s">
        <v>64</v>
      </c>
      <c r="N440" s="26" t="str">
        <f>IF(O440="","",LEN(O440)-LEN(SUBSTITUTE(O440,"/",""))+IF(ISNUMBER(SEARCH("@",O440)),0,1))</f>
        <v>5</v>
      </c>
      <c r="O440" s="19" t="s">
        <v>2158</v>
      </c>
      <c r="P440" s="19" t="s">
        <v>2159</v>
      </c>
      <c r="Q440" s="20"/>
      <c r="R440" s="20" t="s">
        <v>2160</v>
      </c>
      <c r="S440" s="20"/>
      <c r="T440" s="20"/>
      <c r="U440" s="20" t="s">
        <v>682</v>
      </c>
      <c r="V440" s="20" t="s">
        <v>68</v>
      </c>
      <c r="W440" s="20" t="str">
        <f>IF(ISBLANK(O440),"是","否")</f>
        <v>否</v>
      </c>
      <c r="X440" s="20" t="s">
        <v>76</v>
      </c>
      <c r="Y440" s="24">
        <v>146</v>
      </c>
      <c r="Z440" s="25" t="s">
        <v>2154</v>
      </c>
      <c r="AA440" s="37">
        <v>256</v>
      </c>
      <c r="AB440" s="35" t="s">
        <v>2161</v>
      </c>
      <c r="AC440" s="20"/>
      <c r="AD440" s="37"/>
      <c r="AE440" s="35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</row>
    <row r="441" ht="39.879699248120296" customHeight="1" spans="1:52" x14ac:dyDescent="0.25">
      <c r="A441" s="19" t="s">
        <v>1542</v>
      </c>
      <c r="B441" s="20" t="s">
        <v>57</v>
      </c>
      <c r="C441" s="21" t="s">
        <v>2146</v>
      </c>
      <c r="D441" s="22" t="s">
        <v>2147</v>
      </c>
      <c r="E441" s="21" t="s">
        <v>2162</v>
      </c>
      <c r="F441" s="23" t="s">
        <v>2162</v>
      </c>
      <c r="G441" s="20" t="str">
        <f>SUBSTITUTE(SUBSTITUTE(SUBSTITUTE(O441,"/@","_"),"/cac:","_"),"/cbc:","_")</f>
        <v>Invoice_InvoiceLine_Item_AdditionalItemProperty_Value</v>
      </c>
      <c r="H441" s="19" t="s">
        <v>2163</v>
      </c>
      <c r="I441" s="19"/>
      <c r="J441" s="19" t="s">
        <v>2164</v>
      </c>
      <c r="K441" s="24"/>
      <c r="L441" s="25" t="s">
        <v>889</v>
      </c>
      <c r="M441" s="20" t="s">
        <v>64</v>
      </c>
      <c r="N441" s="26" t="str">
        <f>IF(O441="","",LEN(O441)-LEN(SUBSTITUTE(O441,"/",""))+IF(ISNUMBER(SEARCH("@",O441)),0,1))</f>
        <v>5</v>
      </c>
      <c r="O441" s="19" t="s">
        <v>1557</v>
      </c>
      <c r="P441" s="19" t="s">
        <v>2165</v>
      </c>
      <c r="Q441" s="20"/>
      <c r="R441" s="20"/>
      <c r="S441" s="20" t="s">
        <v>2166</v>
      </c>
      <c r="T441" s="20"/>
      <c r="U441" s="20" t="s">
        <v>682</v>
      </c>
      <c r="V441" s="20" t="s">
        <v>68</v>
      </c>
      <c r="W441" s="20" t="str">
        <f>IF(ISBLANK(O441),"是","否")</f>
        <v>否</v>
      </c>
      <c r="X441" s="20" t="s">
        <v>76</v>
      </c>
      <c r="Y441" s="24">
        <v>147</v>
      </c>
      <c r="Z441" s="25" t="s">
        <v>2162</v>
      </c>
      <c r="AC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</row>
    <row r="442" ht="39.879699248120296" customHeight="1" spans="1:52" x14ac:dyDescent="0.25">
      <c r="A442" s="19" t="s">
        <v>1542</v>
      </c>
      <c r="B442" s="20" t="s">
        <v>57</v>
      </c>
      <c r="C442" s="21" t="s">
        <v>2146</v>
      </c>
      <c r="D442" s="22" t="s">
        <v>2147</v>
      </c>
      <c r="E442" s="21" t="s">
        <v>60</v>
      </c>
      <c r="F442" s="23" t="s">
        <v>60</v>
      </c>
      <c r="G442" s="20" t="str">
        <f>SUBSTITUTE(SUBSTITUTE(SUBSTITUTE(O442,"/@","_"),"/cac:","_"),"/cbc:","_")</f>
        <v>Invoice_InvoiceLine_Item_AdditionalItemProperty_ID</v>
      </c>
      <c r="H442" s="19" t="s">
        <v>2167</v>
      </c>
      <c r="I442" s="19"/>
      <c r="J442" s="19" t="s">
        <v>2168</v>
      </c>
      <c r="K442" s="24"/>
      <c r="L442" s="25" t="s">
        <v>63</v>
      </c>
      <c r="M442" s="20" t="s">
        <v>64</v>
      </c>
      <c r="N442" s="26" t="str">
        <f>IF(O442="","",LEN(O442)-LEN(SUBSTITUTE(O442,"/",""))+IF(ISNUMBER(SEARCH("@",O442)),0,1))</f>
        <v>5</v>
      </c>
      <c r="O442" s="19" t="s">
        <v>2169</v>
      </c>
      <c r="P442" s="19" t="s">
        <v>2170</v>
      </c>
      <c r="Q442" s="20"/>
      <c r="R442" s="20"/>
      <c r="S442" s="20"/>
      <c r="T442" s="20"/>
      <c r="U442" s="20" t="s">
        <v>682</v>
      </c>
      <c r="V442" s="20" t="s">
        <v>68</v>
      </c>
      <c r="W442" s="20" t="str">
        <f>IF(ISBLANK(O442),"是","否")</f>
        <v>否</v>
      </c>
      <c r="X442" s="20" t="s">
        <v>76</v>
      </c>
      <c r="Y442" s="24">
        <v>148</v>
      </c>
      <c r="Z442" s="25" t="s">
        <v>60</v>
      </c>
      <c r="AA442" s="37">
        <v>253</v>
      </c>
      <c r="AB442" s="35" t="s">
        <v>1313</v>
      </c>
      <c r="AC442" s="20"/>
      <c r="AD442" s="37"/>
      <c r="AE442" s="35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</row>
    <row r="443" ht="39.879699248120296" customHeight="1" spans="1:52" x14ac:dyDescent="0.25">
      <c r="A443" s="19" t="s">
        <v>41</v>
      </c>
      <c r="B443" s="20" t="s">
        <v>57</v>
      </c>
      <c r="C443" s="21" t="s">
        <v>2146</v>
      </c>
      <c r="D443" s="22" t="s">
        <v>2147</v>
      </c>
      <c r="E443" s="21" t="s">
        <v>2007</v>
      </c>
      <c r="F443" s="23" t="s">
        <v>2007</v>
      </c>
      <c r="G443" s="20" t="str">
        <f>SUBSTITUTE(SUBSTITUTE(SUBSTITUTE(O443,"/@","_"),"/cac:","_"),"/cbc:","_")</f>
        <v>Invoice_UUID</v>
      </c>
      <c r="H443" s="19" t="s">
        <v>1314</v>
      </c>
      <c r="I443" s="19"/>
      <c r="J443" s="19" t="s">
        <v>2008</v>
      </c>
      <c r="K443" s="24"/>
      <c r="L443" s="25" t="s">
        <v>72</v>
      </c>
      <c r="M443" s="20" t="s">
        <v>64</v>
      </c>
      <c r="N443" s="26" t="str">
        <f>IF(O443="","",LEN(O443)-LEN(SUBSTITUTE(O443,"/",""))+IF(ISNUMBER(SEARCH("@",O443)),0,1))</f>
        <v>2</v>
      </c>
      <c r="O443" s="19" t="s">
        <v>65</v>
      </c>
      <c r="P443" s="19" t="s">
        <v>2171</v>
      </c>
      <c r="Q443" s="20"/>
      <c r="R443" s="20"/>
      <c r="S443" s="20"/>
      <c r="T443" s="20"/>
      <c r="U443" s="20" t="s">
        <v>682</v>
      </c>
      <c r="V443" s="20" t="s">
        <v>68</v>
      </c>
      <c r="W443" s="20" t="str">
        <f>IF(ISBLANK(O443),"是","否")</f>
        <v>否</v>
      </c>
      <c r="X443" s="20" t="s">
        <v>76</v>
      </c>
      <c r="Y443" s="24">
        <v>149</v>
      </c>
      <c r="Z443" s="25" t="s">
        <v>2007</v>
      </c>
      <c r="AC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</row>
    <row r="444" ht="39.879699248120296" customHeight="1" spans="1:52" x14ac:dyDescent="0.25">
      <c r="A444" s="19" t="s">
        <v>2172</v>
      </c>
      <c r="B444" s="20" t="s">
        <v>57</v>
      </c>
      <c r="C444" s="21" t="s">
        <v>2173</v>
      </c>
      <c r="D444" s="22" t="s">
        <v>2174</v>
      </c>
      <c r="E444" s="21" t="s">
        <v>60</v>
      </c>
      <c r="F444" s="20" t="s">
        <v>2175</v>
      </c>
      <c r="G444" s="20" t="str">
        <f>SUBSTITUTE(SUBSTITUTE(SUBSTITUTE(O444,"/@","_"),"/cac:","_"),"/cbc:","_")</f>
        <v>Invoice_Delivery_Shipment_ID</v>
      </c>
      <c r="H444" s="19" t="s">
        <v>2176</v>
      </c>
      <c r="I444" s="19" t="s">
        <v>2177</v>
      </c>
      <c r="J444" s="19" t="s">
        <v>2178</v>
      </c>
      <c r="K444" s="24"/>
      <c r="L444" s="25" t="s">
        <v>63</v>
      </c>
      <c r="M444" s="25">
        <v>1</v>
      </c>
      <c r="N444" s="26" t="str">
        <f>IF(O444="","",LEN(O444)-LEN(SUBSTITUTE(O444,"/",""))+IF(ISNUMBER(SEARCH("@",O444)),0,1))</f>
        <v>4</v>
      </c>
      <c r="O444" s="19" t="s">
        <v>2179</v>
      </c>
      <c r="P444" s="19" t="s">
        <v>2180</v>
      </c>
      <c r="Q444" s="20"/>
      <c r="R444" s="20"/>
      <c r="S444" s="19"/>
      <c r="T444" s="20"/>
      <c r="U444" s="20" t="s">
        <v>1663</v>
      </c>
      <c r="V444" s="20" t="s">
        <v>68</v>
      </c>
      <c r="W444" s="20" t="str">
        <f>IF(ISBLANK(O444),"是","否")</f>
        <v>否</v>
      </c>
      <c r="X444" s="20" t="s">
        <v>76</v>
      </c>
      <c r="Y444" s="24">
        <v>150</v>
      </c>
      <c r="Z444" s="25" t="s">
        <v>60</v>
      </c>
      <c r="AA444" s="24">
        <v>203</v>
      </c>
      <c r="AB444" s="25" t="s">
        <v>1313</v>
      </c>
      <c r="AC444" s="20"/>
      <c r="AD444" s="24"/>
      <c r="AE444" s="25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</row>
    <row r="445" ht="50.16541353383458" customHeight="1" spans="1:52" x14ac:dyDescent="0.25">
      <c r="A445" s="19" t="s">
        <v>316</v>
      </c>
      <c r="B445" s="20" t="s">
        <v>57</v>
      </c>
      <c r="C445" s="21" t="s">
        <v>2173</v>
      </c>
      <c r="D445" s="22" t="s">
        <v>2174</v>
      </c>
      <c r="E445" s="21" t="s">
        <v>2181</v>
      </c>
      <c r="F445" s="20" t="s">
        <v>2182</v>
      </c>
      <c r="G445" s="20" t="str">
        <f>SUBSTITUTE(SUBSTITUTE(SUBSTITUTE(O445,"/@","_"),"/cac:","_"),"/cbc:","_")</f>
        <v>Invoice_Delivery_Shipment_Delivery_DeliveryAddress_AddressLine_Line</v>
      </c>
      <c r="H445" s="19" t="s">
        <v>2183</v>
      </c>
      <c r="I445" s="19"/>
      <c r="J445" s="19" t="s">
        <v>1997</v>
      </c>
      <c r="K445" s="24"/>
      <c r="L445" s="25" t="s">
        <v>1998</v>
      </c>
      <c r="M445" s="25">
        <v>1</v>
      </c>
      <c r="N445" s="26" t="str">
        <f>IF(O445="","",LEN(O445)-LEN(SUBSTITUTE(O445,"/",""))+IF(ISNUMBER(SEARCH("@",O445)),0,1))</f>
        <v>7</v>
      </c>
      <c r="O445" s="19" t="s">
        <v>2184</v>
      </c>
      <c r="P445" s="19" t="s">
        <v>2185</v>
      </c>
      <c r="Q445" s="20"/>
      <c r="R445" s="20"/>
      <c r="S445" s="19" t="s">
        <v>327</v>
      </c>
      <c r="T445" s="20"/>
      <c r="U445" s="20" t="s">
        <v>1663</v>
      </c>
      <c r="V445" s="20" t="s">
        <v>68</v>
      </c>
      <c r="W445" s="20" t="str">
        <f>IF(ISBLANK(O445),"是","否")</f>
        <v>否</v>
      </c>
      <c r="X445" s="20" t="s">
        <v>76</v>
      </c>
      <c r="Y445" s="24">
        <v>151</v>
      </c>
      <c r="Z445" s="25" t="s">
        <v>2181</v>
      </c>
      <c r="AA445" s="24">
        <v>209</v>
      </c>
      <c r="AB445" s="25" t="s">
        <v>2181</v>
      </c>
      <c r="AC445" s="20"/>
      <c r="AD445" s="24"/>
      <c r="AE445" s="25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</row>
    <row r="446" ht="126.3157894736842" customHeight="1" spans="1:52" x14ac:dyDescent="0.25">
      <c r="A446" s="19" t="s">
        <v>2186</v>
      </c>
      <c r="B446" s="20" t="s">
        <v>57</v>
      </c>
      <c r="C446" s="21" t="s">
        <v>2173</v>
      </c>
      <c r="D446" s="22" t="s">
        <v>2174</v>
      </c>
      <c r="E446" s="21" t="s">
        <v>2187</v>
      </c>
      <c r="F446" s="20" t="s">
        <v>2188</v>
      </c>
      <c r="G446" s="20" t="str">
        <f>SUBSTITUTE(SUBSTITUTE(SUBSTITUTE(O446,"/@","_"),"/cac:","_"),"/cbc:","_")</f>
        <v>Invoice_Delivery_Shipment_ShipmentStage_TransportModeCode</v>
      </c>
      <c r="H446" s="19" t="s">
        <v>2189</v>
      </c>
      <c r="I446" s="19" t="s">
        <v>2190</v>
      </c>
      <c r="J446" s="19" t="s">
        <v>2191</v>
      </c>
      <c r="K446" s="25"/>
      <c r="L446" s="25" t="s">
        <v>927</v>
      </c>
      <c r="M446" s="25" t="s">
        <v>64</v>
      </c>
      <c r="N446" s="26" t="str">
        <f>IF(O446="","",LEN(O446)-LEN(SUBSTITUTE(O446,"/",""))+IF(ISNUMBER(SEARCH("@",O446)),0,1))</f>
        <v>5</v>
      </c>
      <c r="O446" s="19" t="s">
        <v>2192</v>
      </c>
      <c r="P446" s="19" t="s">
        <v>2193</v>
      </c>
      <c r="Q446" s="20"/>
      <c r="R446" s="25"/>
      <c r="S446" s="19"/>
      <c r="T446" s="20"/>
      <c r="U446" s="20" t="s">
        <v>1663</v>
      </c>
      <c r="V446" s="20" t="s">
        <v>68</v>
      </c>
      <c r="W446" s="20" t="str">
        <f>IF(ISBLANK(O446),"是","否")</f>
        <v>否</v>
      </c>
      <c r="X446" s="20" t="s">
        <v>76</v>
      </c>
      <c r="Y446" s="24">
        <v>152</v>
      </c>
      <c r="Z446" s="25" t="s">
        <v>2187</v>
      </c>
      <c r="AA446" s="24">
        <v>206</v>
      </c>
      <c r="AB446" s="25" t="s">
        <v>2187</v>
      </c>
      <c r="AC446" s="20"/>
      <c r="AD446" s="24"/>
      <c r="AE446" s="25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</row>
    <row r="447" ht="39.879699248120296" customHeight="1" spans="1:52" x14ac:dyDescent="0.25">
      <c r="A447" s="19" t="s">
        <v>316</v>
      </c>
      <c r="B447" s="20" t="s">
        <v>57</v>
      </c>
      <c r="C447" s="21" t="s">
        <v>2173</v>
      </c>
      <c r="D447" s="22" t="s">
        <v>2174</v>
      </c>
      <c r="E447" s="21" t="s">
        <v>2194</v>
      </c>
      <c r="F447" s="23" t="s">
        <v>2194</v>
      </c>
      <c r="G447" s="20" t="str">
        <f>SUBSTITUTE(SUBSTITUTE(SUBSTITUTE(O447,"/@","_"),"/cac:","_"),"/cbc:","_")</f>
        <v>Invoice_Delivery_Shipment_Delivery_Despatch_DespatchAddress_AddressLine_Line</v>
      </c>
      <c r="H447" s="19" t="s">
        <v>2195</v>
      </c>
      <c r="I447" s="19"/>
      <c r="J447" s="19" t="s">
        <v>1997</v>
      </c>
      <c r="K447" s="20"/>
      <c r="L447" s="25" t="s">
        <v>927</v>
      </c>
      <c r="M447" s="20" t="s">
        <v>165</v>
      </c>
      <c r="N447" s="26" t="str">
        <f>IF(O447="","",LEN(O447)-LEN(SUBSTITUTE(O447,"/",""))+IF(ISNUMBER(SEARCH("@",O447)),0,1))</f>
        <v>8</v>
      </c>
      <c r="O447" s="19" t="s">
        <v>2196</v>
      </c>
      <c r="P447" s="19" t="s">
        <v>2197</v>
      </c>
      <c r="Q447" s="20"/>
      <c r="R447" s="20"/>
      <c r="S447" s="19" t="s">
        <v>327</v>
      </c>
      <c r="T447" s="20"/>
      <c r="U447" s="20" t="s">
        <v>1663</v>
      </c>
      <c r="V447" s="20" t="s">
        <v>68</v>
      </c>
      <c r="W447" s="20" t="str">
        <f>IF(ISBLANK(O447),"是","否")</f>
        <v>否</v>
      </c>
      <c r="X447" s="20" t="s">
        <v>76</v>
      </c>
      <c r="Y447" s="24">
        <v>154</v>
      </c>
      <c r="Z447" s="25" t="s">
        <v>2194</v>
      </c>
      <c r="AA447" s="37">
        <v>208</v>
      </c>
      <c r="AB447" s="35" t="s">
        <v>2194</v>
      </c>
      <c r="AC447" s="20"/>
      <c r="AD447" s="37"/>
      <c r="AE447" s="35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</row>
    <row r="448" ht="39.879699248120296" customHeight="1" spans="1:52" x14ac:dyDescent="0.25">
      <c r="A448" s="19" t="s">
        <v>41</v>
      </c>
      <c r="B448" s="20" t="s">
        <v>57</v>
      </c>
      <c r="C448" s="21" t="s">
        <v>2198</v>
      </c>
      <c r="D448" s="22" t="s">
        <v>2199</v>
      </c>
      <c r="E448" s="21" t="s">
        <v>2007</v>
      </c>
      <c r="F448" s="23" t="s">
        <v>2007</v>
      </c>
      <c r="G448" s="20" t="str">
        <f>SUBSTITUTE(SUBSTITUTE(SUBSTITUTE(O448,"/@","_"),"/cac:","_"),"/cbc:","_")</f>
        <v>Invoice_UUID</v>
      </c>
      <c r="H448" s="19" t="s">
        <v>1314</v>
      </c>
      <c r="I448" s="19"/>
      <c r="J448" s="19" t="s">
        <v>2008</v>
      </c>
      <c r="K448" s="20"/>
      <c r="L448" s="25" t="s">
        <v>72</v>
      </c>
      <c r="M448" s="20" t="s">
        <v>64</v>
      </c>
      <c r="N448" s="26" t="str">
        <f>IF(O448="","",LEN(O448)-LEN(SUBSTITUTE(O448,"/",""))+IF(ISNUMBER(SEARCH("@",O448)),0,1))</f>
        <v>2</v>
      </c>
      <c r="O448" s="19" t="s">
        <v>65</v>
      </c>
      <c r="P448" s="19" t="s">
        <v>2200</v>
      </c>
      <c r="Q448" s="20"/>
      <c r="R448" s="20"/>
      <c r="S448" s="19"/>
      <c r="T448" s="20"/>
      <c r="U448" s="20" t="s">
        <v>1663</v>
      </c>
      <c r="V448" s="20" t="s">
        <v>68</v>
      </c>
      <c r="W448" s="20" t="str">
        <f>IF(ISBLANK(O448),"是","否")</f>
        <v>否</v>
      </c>
      <c r="X448" s="20" t="s">
        <v>76</v>
      </c>
      <c r="Y448" s="24">
        <v>166</v>
      </c>
      <c r="Z448" s="25" t="s">
        <v>2007</v>
      </c>
      <c r="AC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</row>
    <row r="449" ht="50.16541353383458" customHeight="1" spans="1:52" x14ac:dyDescent="0.25">
      <c r="A449" s="19" t="s">
        <v>1357</v>
      </c>
      <c r="B449" s="20" t="s">
        <v>57</v>
      </c>
      <c r="C449" s="21" t="s">
        <v>2173</v>
      </c>
      <c r="D449" s="22" t="s">
        <v>2174</v>
      </c>
      <c r="E449" s="21" t="s">
        <v>2201</v>
      </c>
      <c r="F449" s="23" t="s">
        <v>2201</v>
      </c>
      <c r="G449" s="20" t="str">
        <f>SUBSTITUTE(SUBSTITUTE(SUBSTITUTE(O449,"/@","_"),"/cac:","_"),"/cbc:","_")</f>
        <v>Invoice_Delivery_Shipment_GoodsItem_Item_Name</v>
      </c>
      <c r="H449" s="19" t="s">
        <v>2202</v>
      </c>
      <c r="I449" s="19" t="s">
        <v>2203</v>
      </c>
      <c r="J449" s="19" t="s">
        <v>2204</v>
      </c>
      <c r="K449" s="20"/>
      <c r="L449" s="25" t="s">
        <v>927</v>
      </c>
      <c r="M449" s="20" t="s">
        <v>64</v>
      </c>
      <c r="N449" s="26" t="str">
        <f>IF(O449="","",LEN(O449)-LEN(SUBSTITUTE(O449,"/",""))+IF(ISNUMBER(SEARCH("@",O449)),0,1))</f>
        <v>6</v>
      </c>
      <c r="O449" s="19" t="s">
        <v>2205</v>
      </c>
      <c r="P449" s="19" t="s">
        <v>2206</v>
      </c>
      <c r="Q449" s="20"/>
      <c r="R449" s="20"/>
      <c r="S449" s="19"/>
      <c r="T449" s="20"/>
      <c r="U449" s="20" t="s">
        <v>1663</v>
      </c>
      <c r="V449" s="20" t="s">
        <v>68</v>
      </c>
      <c r="W449" s="20" t="str">
        <f>IF(ISBLANK(O449),"是","否")</f>
        <v>否</v>
      </c>
      <c r="X449" s="20" t="s">
        <v>76</v>
      </c>
      <c r="Y449" s="24">
        <v>155</v>
      </c>
      <c r="Z449" s="25" t="s">
        <v>2201</v>
      </c>
      <c r="AA449" s="24">
        <v>207</v>
      </c>
      <c r="AB449" s="25" t="s">
        <v>2201</v>
      </c>
      <c r="AC449" s="20"/>
      <c r="AD449" s="24"/>
      <c r="AE449" s="25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</row>
    <row r="450" ht="50.16541353383458" customHeight="1" spans="1:52" x14ac:dyDescent="0.25">
      <c r="A450" s="19" t="s">
        <v>2078</v>
      </c>
      <c r="B450" s="20" t="s">
        <v>57</v>
      </c>
      <c r="C450" s="21" t="s">
        <v>2173</v>
      </c>
      <c r="D450" s="22" t="s">
        <v>2174</v>
      </c>
      <c r="E450" s="21" t="s">
        <v>2207</v>
      </c>
      <c r="F450" s="23" t="s">
        <v>2207</v>
      </c>
      <c r="G450" s="20" t="str">
        <f>SUBSTITUTE(SUBSTITUTE(SUBSTITUTE(O450,"/@","_"),"/cac:","_"),"/cbc:","_")</f>
        <v>Invoice_Delivery_Shipment_ShipmentStage_TransportMeans_RoadTransport_LicensePlateID</v>
      </c>
      <c r="H450" s="19" t="s">
        <v>2208</v>
      </c>
      <c r="I450" s="19" t="s">
        <v>2209</v>
      </c>
      <c r="J450" s="19" t="s">
        <v>2210</v>
      </c>
      <c r="K450" s="24"/>
      <c r="L450" s="25" t="s">
        <v>1998</v>
      </c>
      <c r="M450" s="20" t="s">
        <v>165</v>
      </c>
      <c r="N450" s="26" t="str">
        <f>IF(O450="","",LEN(O450)-LEN(SUBSTITUTE(O450,"/",""))+IF(ISNUMBER(SEARCH("@",O450)),0,1))</f>
        <v>7</v>
      </c>
      <c r="O450" s="19" t="s">
        <v>2083</v>
      </c>
      <c r="P450" s="19" t="s">
        <v>2211</v>
      </c>
      <c r="Q450" s="20"/>
      <c r="R450" s="20"/>
      <c r="S450" s="19"/>
      <c r="T450" s="20"/>
      <c r="U450" s="20" t="s">
        <v>1663</v>
      </c>
      <c r="V450" s="20" t="s">
        <v>68</v>
      </c>
      <c r="W450" s="20" t="str">
        <f>IF(ISBLANK(O450),"是","否")</f>
        <v>否</v>
      </c>
      <c r="X450" s="20" t="s">
        <v>76</v>
      </c>
      <c r="Y450" s="24">
        <v>156</v>
      </c>
      <c r="Z450" s="25" t="s">
        <v>2207</v>
      </c>
      <c r="AA450" s="37">
        <v>205</v>
      </c>
      <c r="AB450" s="35" t="s">
        <v>2207</v>
      </c>
      <c r="AC450" s="20"/>
      <c r="AD450" s="37"/>
      <c r="AE450" s="35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</row>
    <row r="451" ht="70.73684210526315" customHeight="1" spans="1:52" x14ac:dyDescent="0.25">
      <c r="A451" s="27"/>
      <c r="B451" s="20" t="s">
        <v>57</v>
      </c>
      <c r="C451" s="21" t="s">
        <v>2198</v>
      </c>
      <c r="D451" s="22" t="s">
        <v>2199</v>
      </c>
      <c r="E451" s="21" t="s">
        <v>60</v>
      </c>
      <c r="F451" s="23" t="s">
        <v>60</v>
      </c>
      <c r="G451" s="20" t="str">
        <f>SUBSTITUTE(SUBSTITUTE(SUBSTITUTE(O451,"/@","_"),"/cac:","_"),"/cbc:","_")</f>
        <v/>
      </c>
      <c r="H451" s="19" t="s">
        <v>2212</v>
      </c>
      <c r="I451" s="19"/>
      <c r="J451" s="19"/>
      <c r="K451" s="20"/>
      <c r="L451" s="25" t="s">
        <v>63</v>
      </c>
      <c r="M451" s="20"/>
      <c r="N451" s="26" t="str">
        <f>IF(O451="","",LEN(O451)-LEN(SUBSTITUTE(O451,"/",""))+IF(ISNUMBER(SEARCH("@",O451)),0,1))</f>
        <v/>
      </c>
      <c r="O451" s="19"/>
      <c r="P451" s="19" t="s">
        <v>2213</v>
      </c>
      <c r="Q451" s="20"/>
      <c r="R451" s="20"/>
      <c r="S451" s="19"/>
      <c r="T451" s="20"/>
      <c r="U451" s="20" t="s">
        <v>1663</v>
      </c>
      <c r="V451" s="20"/>
      <c r="W451" s="20" t="str">
        <f>IF(ISBLANK(O451),"是","否")</f>
        <v>是</v>
      </c>
      <c r="X451" s="20" t="s">
        <v>76</v>
      </c>
      <c r="Y451" s="24">
        <v>157</v>
      </c>
      <c r="Z451" s="25" t="s">
        <v>60</v>
      </c>
      <c r="AC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</row>
    <row r="452" ht="39.879699248120296" customHeight="1" spans="1:52" x14ac:dyDescent="0.25">
      <c r="A452" s="19" t="s">
        <v>2214</v>
      </c>
      <c r="B452" s="20" t="s">
        <v>57</v>
      </c>
      <c r="C452" s="21" t="s">
        <v>2198</v>
      </c>
      <c r="D452" s="22" t="s">
        <v>2199</v>
      </c>
      <c r="E452" s="21" t="s">
        <v>2215</v>
      </c>
      <c r="F452" s="23" t="s">
        <v>2215</v>
      </c>
      <c r="G452" s="20" t="str">
        <f>SUBSTITUTE(SUBSTITUTE(SUBSTITUTE(O452,"/@","_"),"/cac:","_"),"/cbc:","_")</f>
        <v>Invoice_InvoiceLine_Item_Certificate_ID</v>
      </c>
      <c r="H452" s="19" t="s">
        <v>2216</v>
      </c>
      <c r="I452" s="19"/>
      <c r="J452" s="19" t="s">
        <v>2217</v>
      </c>
      <c r="K452" s="20"/>
      <c r="L452" s="25" t="s">
        <v>909</v>
      </c>
      <c r="M452" s="20" t="s">
        <v>165</v>
      </c>
      <c r="N452" s="26" t="str">
        <f>IF(O452="","",LEN(O452)-LEN(SUBSTITUTE(O452,"/",""))+IF(ISNUMBER(SEARCH("@",O452)),0,1))</f>
        <v>5</v>
      </c>
      <c r="O452" s="19" t="s">
        <v>2218</v>
      </c>
      <c r="P452" s="19" t="s">
        <v>2219</v>
      </c>
      <c r="Q452" s="20"/>
      <c r="R452" s="20"/>
      <c r="S452" s="19"/>
      <c r="T452" s="20"/>
      <c r="U452" s="20" t="s">
        <v>1663</v>
      </c>
      <c r="V452" s="20" t="s">
        <v>68</v>
      </c>
      <c r="W452" s="20" t="str">
        <f>IF(ISBLANK(O452),"是","否")</f>
        <v>否</v>
      </c>
      <c r="X452" s="20" t="s">
        <v>76</v>
      </c>
      <c r="Y452" s="24">
        <v>158</v>
      </c>
      <c r="Z452" s="25" t="s">
        <v>2215</v>
      </c>
      <c r="AC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</row>
    <row r="453" ht="29.59398496240601" customHeight="1" spans="1:52" x14ac:dyDescent="0.25">
      <c r="A453" s="19" t="s">
        <v>1559</v>
      </c>
      <c r="B453" s="20" t="s">
        <v>57</v>
      </c>
      <c r="C453" s="21" t="s">
        <v>2198</v>
      </c>
      <c r="D453" s="22" t="s">
        <v>2199</v>
      </c>
      <c r="E453" s="21" t="s">
        <v>2220</v>
      </c>
      <c r="F453" s="23" t="s">
        <v>2220</v>
      </c>
      <c r="G453" s="20" t="str">
        <f>SUBSTITUTE(SUBSTITUTE(SUBSTITUTE(O453,"/@","_"),"/cac:","_"),"/cbc:","_")</f>
        <v>Invoice_InvoiceLine_Item_ItemInstance_SerialID</v>
      </c>
      <c r="H453" s="19" t="s">
        <v>2221</v>
      </c>
      <c r="I453" s="19"/>
      <c r="J453" s="19" t="s">
        <v>2222</v>
      </c>
      <c r="K453" s="20"/>
      <c r="L453" s="25" t="s">
        <v>2223</v>
      </c>
      <c r="M453" s="20" t="s">
        <v>64</v>
      </c>
      <c r="N453" s="26" t="str">
        <f>IF(O453="","",LEN(O453)-LEN(SUBSTITUTE(O453,"/",""))+IF(ISNUMBER(SEARCH("@",O453)),0,1))</f>
        <v>5</v>
      </c>
      <c r="O453" s="19" t="s">
        <v>1587</v>
      </c>
      <c r="P453" s="19" t="s">
        <v>2224</v>
      </c>
      <c r="Q453" s="20"/>
      <c r="R453" s="20"/>
      <c r="S453" s="19" t="s">
        <v>2225</v>
      </c>
      <c r="T453" s="20"/>
      <c r="U453" s="20" t="s">
        <v>1663</v>
      </c>
      <c r="V453" s="20" t="s">
        <v>68</v>
      </c>
      <c r="W453" s="20" t="str">
        <f>IF(ISBLANK(O453),"是","否")</f>
        <v>否</v>
      </c>
      <c r="X453" s="20" t="s">
        <v>76</v>
      </c>
      <c r="Y453" s="24">
        <v>159</v>
      </c>
      <c r="Z453" s="25" t="s">
        <v>2220</v>
      </c>
      <c r="AC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</row>
    <row r="454" ht="39.879699248120296" customHeight="1" spans="1:52" x14ac:dyDescent="0.25">
      <c r="A454" s="19" t="s">
        <v>2214</v>
      </c>
      <c r="B454" s="20" t="s">
        <v>57</v>
      </c>
      <c r="C454" s="21" t="s">
        <v>2198</v>
      </c>
      <c r="D454" s="22" t="s">
        <v>2199</v>
      </c>
      <c r="E454" s="21" t="s">
        <v>2226</v>
      </c>
      <c r="F454" s="23" t="s">
        <v>2226</v>
      </c>
      <c r="G454" s="20" t="str">
        <f>SUBSTITUTE(SUBSTITUTE(SUBSTITUTE(O454,"/@","_"),"/cac:","_"),"/cbc:","_")</f>
        <v>Invoice_InvoiceLine_Item_Certificate_ID</v>
      </c>
      <c r="H454" s="19" t="s">
        <v>2227</v>
      </c>
      <c r="I454" s="19"/>
      <c r="J454" s="19" t="s">
        <v>2217</v>
      </c>
      <c r="K454" s="24"/>
      <c r="L454" s="25" t="s">
        <v>909</v>
      </c>
      <c r="M454" s="20" t="s">
        <v>165</v>
      </c>
      <c r="N454" s="26" t="str">
        <f>IF(O454="","",LEN(O454)-LEN(SUBSTITUTE(O454,"/",""))+IF(ISNUMBER(SEARCH("@",O454)),0,1))</f>
        <v>5</v>
      </c>
      <c r="O454" s="19" t="s">
        <v>2218</v>
      </c>
      <c r="P454" s="19" t="s">
        <v>2228</v>
      </c>
      <c r="Q454" s="20"/>
      <c r="R454" s="20"/>
      <c r="S454" s="19"/>
      <c r="T454" s="20"/>
      <c r="U454" s="20" t="s">
        <v>1663</v>
      </c>
      <c r="V454" s="20" t="s">
        <v>68</v>
      </c>
      <c r="W454" s="20" t="str">
        <f>IF(ISBLANK(O454),"是","否")</f>
        <v>否</v>
      </c>
      <c r="X454" s="20" t="s">
        <v>76</v>
      </c>
      <c r="Y454" s="24">
        <v>160</v>
      </c>
      <c r="Z454" s="25" t="s">
        <v>2226</v>
      </c>
      <c r="AC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</row>
    <row r="455" ht="39.879699248120296" customHeight="1" spans="1:52" x14ac:dyDescent="0.25">
      <c r="A455" s="19" t="s">
        <v>1559</v>
      </c>
      <c r="B455" s="20" t="s">
        <v>57</v>
      </c>
      <c r="C455" s="21" t="s">
        <v>2198</v>
      </c>
      <c r="D455" s="22" t="s">
        <v>2199</v>
      </c>
      <c r="E455" s="21" t="s">
        <v>2229</v>
      </c>
      <c r="F455" s="23" t="s">
        <v>2229</v>
      </c>
      <c r="G455" s="20" t="str">
        <f>SUBSTITUTE(SUBSTITUTE(SUBSTITUTE(O455,"/@","_"),"/cac:","_"),"/cbc:","_")</f>
        <v>Invoice_InvoiceLine_Item_ItemInstance_SerialID</v>
      </c>
      <c r="H455" s="19" t="s">
        <v>2230</v>
      </c>
      <c r="I455" s="19"/>
      <c r="J455" s="19" t="s">
        <v>2222</v>
      </c>
      <c r="K455" s="20"/>
      <c r="L455" s="25" t="s">
        <v>2223</v>
      </c>
      <c r="M455" s="20" t="s">
        <v>64</v>
      </c>
      <c r="N455" s="26" t="str">
        <f>IF(O455="","",LEN(O455)-LEN(SUBSTITUTE(O455,"/",""))+IF(ISNUMBER(SEARCH("@",O455)),0,1))</f>
        <v>5</v>
      </c>
      <c r="O455" s="19" t="s">
        <v>1587</v>
      </c>
      <c r="P455" s="19" t="s">
        <v>2231</v>
      </c>
      <c r="Q455" s="20"/>
      <c r="R455" s="20"/>
      <c r="S455" s="19" t="s">
        <v>2225</v>
      </c>
      <c r="T455" s="20"/>
      <c r="U455" s="20" t="s">
        <v>1663</v>
      </c>
      <c r="V455" s="20" t="s">
        <v>68</v>
      </c>
      <c r="W455" s="20" t="str">
        <f>IF(ISBLANK(O455),"是","否")</f>
        <v>否</v>
      </c>
      <c r="X455" s="20" t="s">
        <v>76</v>
      </c>
      <c r="Y455" s="24">
        <v>161</v>
      </c>
      <c r="Z455" s="25" t="s">
        <v>2229</v>
      </c>
      <c r="AC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</row>
    <row r="456" ht="50.16541353383458" customHeight="1" spans="1:52" x14ac:dyDescent="0.25">
      <c r="A456" s="19" t="s">
        <v>139</v>
      </c>
      <c r="B456" s="20" t="s">
        <v>57</v>
      </c>
      <c r="C456" s="21" t="s">
        <v>2198</v>
      </c>
      <c r="D456" s="22" t="s">
        <v>2199</v>
      </c>
      <c r="E456" s="21" t="s">
        <v>2232</v>
      </c>
      <c r="F456" s="23" t="s">
        <v>2232</v>
      </c>
      <c r="G456" s="20" t="str">
        <f>SUBSTITUTE(SUBSTITUTE(SUBSTITUTE(O456,"/@","_"),"/cac:","_"),"/cbc:","_")</f>
        <v>Invoice_AdditionalDocumentReference_ID</v>
      </c>
      <c r="H456" s="19" t="s">
        <v>2233</v>
      </c>
      <c r="I456" s="19"/>
      <c r="J456" s="19" t="s">
        <v>1993</v>
      </c>
      <c r="K456" s="20"/>
      <c r="L456" s="25" t="s">
        <v>909</v>
      </c>
      <c r="M456" s="20" t="s">
        <v>165</v>
      </c>
      <c r="N456" s="26" t="str">
        <f>IF(O456="","",LEN(O456)-LEN(SUBSTITUTE(O456,"/",""))+IF(ISNUMBER(SEARCH("@",O456)),0,1))</f>
        <v>3</v>
      </c>
      <c r="O456" s="19" t="s">
        <v>173</v>
      </c>
      <c r="P456" s="19" t="s">
        <v>2234</v>
      </c>
      <c r="Q456" s="20"/>
      <c r="R456" s="20"/>
      <c r="S456" s="19" t="s">
        <v>138</v>
      </c>
      <c r="T456" s="20"/>
      <c r="U456" s="20" t="s">
        <v>1663</v>
      </c>
      <c r="V456" s="20" t="s">
        <v>68</v>
      </c>
      <c r="W456" s="20" t="str">
        <f>IF(ISBLANK(O456),"是","否")</f>
        <v>否</v>
      </c>
      <c r="X456" s="20" t="s">
        <v>76</v>
      </c>
      <c r="Y456" s="24">
        <v>162</v>
      </c>
      <c r="Z456" s="25" t="s">
        <v>2232</v>
      </c>
      <c r="AC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</row>
    <row r="457" ht="60.45112781954887" customHeight="1" spans="1:52" x14ac:dyDescent="0.25">
      <c r="A457" s="19" t="s">
        <v>366</v>
      </c>
      <c r="B457" s="20" t="s">
        <v>57</v>
      </c>
      <c r="C457" s="21" t="s">
        <v>2198</v>
      </c>
      <c r="D457" s="22" t="s">
        <v>2199</v>
      </c>
      <c r="E457" s="21" t="s">
        <v>2235</v>
      </c>
      <c r="F457" s="23" t="s">
        <v>2235</v>
      </c>
      <c r="G457" s="20" t="str">
        <f>SUBSTITUTE(SUBSTITUTE(SUBSTITUTE(O457,"/@","_"),"/cac:","_"),"/cbc:","_")</f>
        <v>Invoice_InvoiceLine_Item_ManufacturerParty_PartyLegalEntity_RegistrationName</v>
      </c>
      <c r="H457" s="19" t="s">
        <v>2236</v>
      </c>
      <c r="I457" s="19"/>
      <c r="J457" s="19" t="s">
        <v>2237</v>
      </c>
      <c r="K457" s="20"/>
      <c r="L457" s="25" t="s">
        <v>927</v>
      </c>
      <c r="M457" s="20" t="s">
        <v>64</v>
      </c>
      <c r="N457" s="26" t="str">
        <f>IF(O457="","",LEN(O457)-LEN(SUBSTITUTE(O457,"/",""))+IF(ISNUMBER(SEARCH("@",O457)),0,1))</f>
        <v>6</v>
      </c>
      <c r="O457" s="19" t="s">
        <v>2238</v>
      </c>
      <c r="P457" s="19" t="s">
        <v>2239</v>
      </c>
      <c r="Q457" s="20"/>
      <c r="R457" s="20"/>
      <c r="S457" s="19" t="s">
        <v>371</v>
      </c>
      <c r="T457" s="20"/>
      <c r="U457" s="20" t="s">
        <v>1663</v>
      </c>
      <c r="V457" s="20" t="s">
        <v>68</v>
      </c>
      <c r="W457" s="20" t="str">
        <f>IF(ISBLANK(O457),"是","否")</f>
        <v>否</v>
      </c>
      <c r="X457" s="20" t="s">
        <v>76</v>
      </c>
      <c r="Y457" s="24">
        <v>163</v>
      </c>
      <c r="Z457" s="25" t="s">
        <v>2235</v>
      </c>
      <c r="AC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</row>
    <row r="458" ht="29.59398496240601" customHeight="1" spans="1:52" x14ac:dyDescent="0.25">
      <c r="A458" s="19" t="s">
        <v>1357</v>
      </c>
      <c r="B458" s="20" t="s">
        <v>57</v>
      </c>
      <c r="C458" s="21" t="s">
        <v>2198</v>
      </c>
      <c r="D458" s="22" t="s">
        <v>2199</v>
      </c>
      <c r="E458" s="21" t="s">
        <v>2240</v>
      </c>
      <c r="F458" s="23" t="s">
        <v>2240</v>
      </c>
      <c r="G458" s="20" t="str">
        <f>SUBSTITUTE(SUBSTITUTE(SUBSTITUTE(O458,"/@","_"),"/cac:","_"),"/cbc:","_")</f>
        <v>Invoice_InvoiceLine_Item_ModelName</v>
      </c>
      <c r="H458" s="19" t="s">
        <v>2241</v>
      </c>
      <c r="I458" s="19"/>
      <c r="J458" s="19" t="s">
        <v>2242</v>
      </c>
      <c r="K458" s="24"/>
      <c r="L458" s="25" t="s">
        <v>2223</v>
      </c>
      <c r="M458" s="20" t="s">
        <v>49</v>
      </c>
      <c r="N458" s="26" t="str">
        <f>IF(O458="","",LEN(O458)-LEN(SUBSTITUTE(O458,"/",""))+IF(ISNUMBER(SEARCH("@",O458)),0,1))</f>
        <v>4</v>
      </c>
      <c r="O458" s="19" t="s">
        <v>2243</v>
      </c>
      <c r="P458" s="19" t="s">
        <v>2244</v>
      </c>
      <c r="Q458" s="20"/>
      <c r="R458" s="20"/>
      <c r="S458" s="19" t="s">
        <v>2245</v>
      </c>
      <c r="T458" s="20"/>
      <c r="U458" s="20" t="s">
        <v>1663</v>
      </c>
      <c r="V458" s="20" t="s">
        <v>68</v>
      </c>
      <c r="W458" s="20" t="str">
        <f>IF(ISBLANK(O458),"是","否")</f>
        <v>否</v>
      </c>
      <c r="X458" s="20" t="s">
        <v>76</v>
      </c>
      <c r="Y458" s="24">
        <v>164</v>
      </c>
      <c r="Z458" s="25" t="s">
        <v>2240</v>
      </c>
      <c r="AC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</row>
    <row r="459" ht="29.59398496240601" customHeight="1" spans="1:52" x14ac:dyDescent="0.25">
      <c r="A459" s="19" t="s">
        <v>328</v>
      </c>
      <c r="B459" s="20" t="s">
        <v>57</v>
      </c>
      <c r="C459" s="21" t="s">
        <v>2198</v>
      </c>
      <c r="D459" s="22" t="s">
        <v>2199</v>
      </c>
      <c r="E459" s="21" t="s">
        <v>2246</v>
      </c>
      <c r="F459" s="23" t="s">
        <v>2246</v>
      </c>
      <c r="G459" s="20" t="str">
        <f>SUBSTITUTE(SUBSTITUTE(SUBSTITUTE(O459,"/@","_"),"/cac:","_"),"/cbc:","_")</f>
        <v>Invoice_InvoiceLine_Item_OriginCountry</v>
      </c>
      <c r="H459" s="19" t="s">
        <v>2247</v>
      </c>
      <c r="I459" s="19"/>
      <c r="J459" s="19" t="s">
        <v>2248</v>
      </c>
      <c r="K459" s="20"/>
      <c r="L459" s="25" t="s">
        <v>927</v>
      </c>
      <c r="M459" s="20" t="s">
        <v>64</v>
      </c>
      <c r="N459" s="26" t="str">
        <f>IF(O459="","",LEN(O459)-LEN(SUBSTITUTE(O459,"/",""))+IF(ISNUMBER(SEARCH("@",O459)),0,1))</f>
        <v>4</v>
      </c>
      <c r="O459" s="19" t="s">
        <v>1459</v>
      </c>
      <c r="P459" s="19" t="s">
        <v>2249</v>
      </c>
      <c r="Q459" s="20"/>
      <c r="R459" s="20"/>
      <c r="S459" s="19"/>
      <c r="T459" s="20"/>
      <c r="U459" s="20" t="s">
        <v>1663</v>
      </c>
      <c r="V459" s="20" t="s">
        <v>222</v>
      </c>
      <c r="W459" s="20" t="str">
        <f>IF(ISBLANK(O459),"是","否")</f>
        <v>否</v>
      </c>
      <c r="X459" s="20" t="s">
        <v>76</v>
      </c>
      <c r="Y459" s="24">
        <v>165</v>
      </c>
      <c r="Z459" s="25" t="s">
        <v>2246</v>
      </c>
      <c r="AC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</row>
    <row r="460" ht="39.879699248120296" customHeight="1" spans="1:52" x14ac:dyDescent="0.25">
      <c r="A460" s="19" t="s">
        <v>41</v>
      </c>
      <c r="B460" s="20" t="s">
        <v>57</v>
      </c>
      <c r="C460" s="21" t="s">
        <v>2198</v>
      </c>
      <c r="D460" s="22" t="s">
        <v>2199</v>
      </c>
      <c r="E460" s="21" t="s">
        <v>2007</v>
      </c>
      <c r="F460" s="23" t="s">
        <v>2007</v>
      </c>
      <c r="G460" s="20" t="str">
        <f>SUBSTITUTE(SUBSTITUTE(SUBSTITUTE(O460,"/@","_"),"/cac:","_"),"/cbc:","_")</f>
        <v>Invoice_UUID</v>
      </c>
      <c r="H460" s="19" t="s">
        <v>1314</v>
      </c>
      <c r="I460" s="19"/>
      <c r="J460" s="19" t="s">
        <v>2008</v>
      </c>
      <c r="K460" s="20"/>
      <c r="L460" s="25" t="s">
        <v>72</v>
      </c>
      <c r="M460" s="20" t="s">
        <v>64</v>
      </c>
      <c r="N460" s="26" t="str">
        <f>IF(O460="","",LEN(O460)-LEN(SUBSTITUTE(O460,"/",""))+IF(ISNUMBER(SEARCH("@",O460)),0,1))</f>
        <v>2</v>
      </c>
      <c r="O460" s="19" t="s">
        <v>65</v>
      </c>
      <c r="P460" s="19" t="s">
        <v>2250</v>
      </c>
      <c r="Q460" s="20"/>
      <c r="R460" s="20"/>
      <c r="S460" s="19"/>
      <c r="T460" s="20"/>
      <c r="U460" s="20" t="s">
        <v>1663</v>
      </c>
      <c r="V460" s="20" t="s">
        <v>68</v>
      </c>
      <c r="W460" s="20" t="str">
        <f>IF(ISBLANK(O460),"是","否")</f>
        <v>否</v>
      </c>
      <c r="X460" s="20" t="s">
        <v>76</v>
      </c>
      <c r="Y460" s="24">
        <v>123</v>
      </c>
      <c r="Z460" s="25" t="s">
        <v>2007</v>
      </c>
      <c r="AC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</row>
    <row r="461" ht="60.45112781954887" customHeight="1" spans="1:52" x14ac:dyDescent="0.25">
      <c r="A461" s="27"/>
      <c r="B461" s="20" t="s">
        <v>57</v>
      </c>
      <c r="C461" s="21" t="s">
        <v>2198</v>
      </c>
      <c r="D461" s="22" t="s">
        <v>2199</v>
      </c>
      <c r="E461" s="21" t="s">
        <v>2251</v>
      </c>
      <c r="F461" s="23" t="s">
        <v>2251</v>
      </c>
      <c r="G461" s="20" t="str">
        <f>SUBSTITUTE(SUBSTITUTE(SUBSTITUTE(O461,"/@","_"),"/cac:","_"),"/cbc:","_")</f>
        <v/>
      </c>
      <c r="H461" s="19" t="s">
        <v>2252</v>
      </c>
      <c r="I461" s="19"/>
      <c r="J461" s="19"/>
      <c r="K461" s="20"/>
      <c r="L461" s="25" t="s">
        <v>909</v>
      </c>
      <c r="M461" s="20"/>
      <c r="N461" s="26" t="str">
        <f>IF(O461="","",LEN(O461)-LEN(SUBSTITUTE(O461,"/",""))+IF(ISNUMBER(SEARCH("@",O461)),0,1))</f>
        <v/>
      </c>
      <c r="O461" s="19"/>
      <c r="P461" s="19" t="s">
        <v>2253</v>
      </c>
      <c r="Q461" s="20"/>
      <c r="R461" s="20"/>
      <c r="S461" s="19"/>
      <c r="T461" s="20"/>
      <c r="U461" s="20" t="s">
        <v>1663</v>
      </c>
      <c r="V461" s="20"/>
      <c r="W461" s="20" t="str">
        <f>IF(ISBLANK(O461),"是","否")</f>
        <v>是</v>
      </c>
      <c r="X461" s="20" t="s">
        <v>76</v>
      </c>
      <c r="Y461" s="24">
        <v>167</v>
      </c>
      <c r="Z461" s="25" t="s">
        <v>2251</v>
      </c>
      <c r="AC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</row>
    <row r="462" ht="39.879699248120296" customHeight="1" spans="1:52" x14ac:dyDescent="0.25">
      <c r="A462" s="19" t="s">
        <v>2186</v>
      </c>
      <c r="B462" s="20" t="s">
        <v>57</v>
      </c>
      <c r="C462" s="21" t="s">
        <v>2198</v>
      </c>
      <c r="D462" s="22" t="s">
        <v>2199</v>
      </c>
      <c r="E462" s="21" t="s">
        <v>2254</v>
      </c>
      <c r="F462" s="23" t="s">
        <v>2254</v>
      </c>
      <c r="G462" s="20" t="str">
        <f>SUBSTITUTE(SUBSTITUTE(SUBSTITUTE(O462,"/@","_"),"/cac:","_"),"/cbc:","_")</f>
        <v>Invoice_Delivery_Shipment_ShipmentStage_PassengerQuantity</v>
      </c>
      <c r="H462" s="19" t="s">
        <v>2255</v>
      </c>
      <c r="I462" s="19"/>
      <c r="J462" s="19" t="s">
        <v>2256</v>
      </c>
      <c r="K462" s="20"/>
      <c r="L462" s="25" t="s">
        <v>85</v>
      </c>
      <c r="M462" s="20" t="s">
        <v>64</v>
      </c>
      <c r="N462" s="26" t="str">
        <f>IF(O462="","",LEN(O462)-LEN(SUBSTITUTE(O462,"/",""))+IF(ISNUMBER(SEARCH("@",O462)),0,1))</f>
        <v>5</v>
      </c>
      <c r="O462" s="19" t="s">
        <v>2257</v>
      </c>
      <c r="P462" s="19" t="s">
        <v>2258</v>
      </c>
      <c r="Q462" s="20"/>
      <c r="R462" s="20"/>
      <c r="S462" s="19"/>
      <c r="T462" s="20"/>
      <c r="U462" s="20" t="s">
        <v>1663</v>
      </c>
      <c r="V462" s="20" t="s">
        <v>68</v>
      </c>
      <c r="W462" s="20" t="str">
        <f>IF(ISBLANK(O462),"是","否")</f>
        <v>否</v>
      </c>
      <c r="X462" s="20" t="s">
        <v>76</v>
      </c>
      <c r="Y462" s="24">
        <v>168</v>
      </c>
      <c r="Z462" s="25" t="s">
        <v>2254</v>
      </c>
      <c r="AC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</row>
    <row r="463" ht="50.16541353383458" customHeight="1" spans="1:52" x14ac:dyDescent="0.25">
      <c r="A463" s="19" t="s">
        <v>2259</v>
      </c>
      <c r="B463" s="20" t="s">
        <v>57</v>
      </c>
      <c r="C463" s="21" t="s">
        <v>2198</v>
      </c>
      <c r="D463" s="22" t="s">
        <v>2199</v>
      </c>
      <c r="E463" s="21" t="s">
        <v>2260</v>
      </c>
      <c r="F463" s="23" t="s">
        <v>2260</v>
      </c>
      <c r="G463" s="20" t="str">
        <f>SUBSTITUTE(SUBSTITUTE(SUBSTITUTE(O463,"/@","_"),"/cac:","_"),"/cbc:","_")</f>
        <v>Invoice_Delivery_Shipment_TransportHandlingUnit_TransportEquipment_TransportEquipmentTypeCode</v>
      </c>
      <c r="H463" s="19" t="s">
        <v>2261</v>
      </c>
      <c r="I463" s="19"/>
      <c r="J463" s="19" t="s">
        <v>2262</v>
      </c>
      <c r="K463" s="20"/>
      <c r="L463" s="25" t="s">
        <v>2263</v>
      </c>
      <c r="M463" s="20" t="s">
        <v>64</v>
      </c>
      <c r="N463" s="26" t="str">
        <f>IF(O463="","",LEN(O463)-LEN(SUBSTITUTE(O463,"/",""))+IF(ISNUMBER(SEARCH("@",O463)),0,1))</f>
        <v>6</v>
      </c>
      <c r="O463" s="19" t="s">
        <v>2264</v>
      </c>
      <c r="P463" s="19" t="s">
        <v>2265</v>
      </c>
      <c r="Q463" s="20"/>
      <c r="R463" s="20"/>
      <c r="S463" s="19"/>
      <c r="T463" s="20"/>
      <c r="U463" s="20" t="s">
        <v>1663</v>
      </c>
      <c r="V463" s="20" t="s">
        <v>68</v>
      </c>
      <c r="W463" s="20" t="str">
        <f>IF(ISBLANK(O463),"是","否")</f>
        <v>否</v>
      </c>
      <c r="X463" s="20" t="s">
        <v>76</v>
      </c>
      <c r="Y463" s="24">
        <v>169</v>
      </c>
      <c r="Z463" s="25" t="s">
        <v>2260</v>
      </c>
      <c r="AC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</row>
    <row r="464" ht="39.879699248120296" customHeight="1" spans="1:52" x14ac:dyDescent="0.25">
      <c r="A464" s="19" t="s">
        <v>2259</v>
      </c>
      <c r="B464" s="20" t="s">
        <v>57</v>
      </c>
      <c r="C464" s="21" t="s">
        <v>2198</v>
      </c>
      <c r="D464" s="22" t="s">
        <v>2199</v>
      </c>
      <c r="E464" s="21" t="s">
        <v>2266</v>
      </c>
      <c r="F464" s="23" t="s">
        <v>2266</v>
      </c>
      <c r="G464" s="20" t="str">
        <f>SUBSTITUTE(SUBSTITUTE(SUBSTITUTE(O464,"/@","_"),"/cac:","_"),"/cbc:","_")</f>
        <v>Invoice_Delivery_Shipment_TransportHandlingUnit_TransportEquipment_ID</v>
      </c>
      <c r="H464" s="19" t="s">
        <v>2267</v>
      </c>
      <c r="I464" s="19"/>
      <c r="J464" s="19" t="s">
        <v>2268</v>
      </c>
      <c r="K464" s="20"/>
      <c r="L464" s="25" t="s">
        <v>909</v>
      </c>
      <c r="M464" s="20" t="s">
        <v>64</v>
      </c>
      <c r="N464" s="26" t="str">
        <f>IF(O464="","",LEN(O464)-LEN(SUBSTITUTE(O464,"/",""))+IF(ISNUMBER(SEARCH("@",O464)),0,1))</f>
        <v>6</v>
      </c>
      <c r="O464" s="19" t="s">
        <v>2269</v>
      </c>
      <c r="P464" s="19" t="s">
        <v>2270</v>
      </c>
      <c r="Q464" s="20"/>
      <c r="R464" s="20"/>
      <c r="S464" s="19" t="s">
        <v>2271</v>
      </c>
      <c r="T464" s="20"/>
      <c r="U464" s="20" t="s">
        <v>1663</v>
      </c>
      <c r="V464" s="20" t="s">
        <v>68</v>
      </c>
      <c r="W464" s="20" t="str">
        <f>IF(ISBLANK(O464),"是","否")</f>
        <v>否</v>
      </c>
      <c r="X464" s="20" t="s">
        <v>76</v>
      </c>
      <c r="Y464" s="24">
        <v>170</v>
      </c>
      <c r="Z464" s="25" t="s">
        <v>2266</v>
      </c>
      <c r="AC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</row>
    <row r="465" ht="39.879699248120296" customHeight="1" spans="1:52" x14ac:dyDescent="0.25">
      <c r="A465" s="19" t="s">
        <v>2259</v>
      </c>
      <c r="B465" s="20" t="s">
        <v>57</v>
      </c>
      <c r="C465" s="21" t="s">
        <v>2198</v>
      </c>
      <c r="D465" s="22" t="s">
        <v>2199</v>
      </c>
      <c r="E465" s="21" t="s">
        <v>2272</v>
      </c>
      <c r="F465" s="23" t="s">
        <v>2272</v>
      </c>
      <c r="G465" s="20" t="str">
        <f>SUBSTITUTE(SUBSTITUTE(SUBSTITUTE(O465,"/@","_"),"/cac:","_"),"/cbc:","_")</f>
        <v>Invoice_Delivery_Shipment_TransportHandlingUnit_TransportEquipment_GrossWeightMeasure</v>
      </c>
      <c r="H465" s="19" t="s">
        <v>2273</v>
      </c>
      <c r="I465" s="19"/>
      <c r="J465" s="19" t="s">
        <v>2274</v>
      </c>
      <c r="K465" s="20"/>
      <c r="L465" s="25" t="s">
        <v>2275</v>
      </c>
      <c r="M465" s="20" t="s">
        <v>64</v>
      </c>
      <c r="N465" s="26" t="str">
        <f>IF(O465="","",LEN(O465)-LEN(SUBSTITUTE(O465,"/",""))+IF(ISNUMBER(SEARCH("@",O465)),0,1))</f>
        <v>6</v>
      </c>
      <c r="O465" s="19" t="s">
        <v>2276</v>
      </c>
      <c r="P465" s="19" t="s">
        <v>2277</v>
      </c>
      <c r="Q465" s="20"/>
      <c r="R465" s="20"/>
      <c r="S465" s="19"/>
      <c r="T465" s="20"/>
      <c r="U465" s="20" t="s">
        <v>1663</v>
      </c>
      <c r="V465" s="20" t="s">
        <v>68</v>
      </c>
      <c r="W465" s="20" t="str">
        <f>IF(ISBLANK(O465),"是","否")</f>
        <v>否</v>
      </c>
      <c r="X465" s="20" t="s">
        <v>76</v>
      </c>
      <c r="Y465" s="24">
        <v>171</v>
      </c>
      <c r="Z465" s="25" t="s">
        <v>2272</v>
      </c>
      <c r="AC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</row>
    <row r="466" ht="60.45112781954887" customHeight="1" spans="1:52" x14ac:dyDescent="0.25">
      <c r="A466" s="27"/>
      <c r="B466" s="20" t="s">
        <v>57</v>
      </c>
      <c r="C466" s="21" t="s">
        <v>2278</v>
      </c>
      <c r="D466" s="22" t="s">
        <v>2279</v>
      </c>
      <c r="E466" s="21" t="s">
        <v>60</v>
      </c>
      <c r="F466" s="23" t="s">
        <v>60</v>
      </c>
      <c r="G466" s="20" t="str">
        <f>SUBSTITUTE(SUBSTITUTE(SUBSTITUTE(O466,"/@","_"),"/cac:","_"),"/cbc:","_")</f>
        <v/>
      </c>
      <c r="H466" s="19" t="s">
        <v>2280</v>
      </c>
      <c r="I466" s="19"/>
      <c r="J466" s="19"/>
      <c r="K466" s="20"/>
      <c r="L466" s="25" t="s">
        <v>63</v>
      </c>
      <c r="M466" s="20"/>
      <c r="N466" s="26" t="str">
        <f>IF(O466="","",LEN(O466)-LEN(SUBSTITUTE(O466,"/",""))+IF(ISNUMBER(SEARCH("@",O466)),0,1))</f>
        <v/>
      </c>
      <c r="O466" s="19"/>
      <c r="P466" s="19" t="s">
        <v>2281</v>
      </c>
      <c r="Q466" s="20"/>
      <c r="R466" s="20"/>
      <c r="S466" s="19"/>
      <c r="T466" s="20"/>
      <c r="U466" s="20" t="s">
        <v>1663</v>
      </c>
      <c r="V466" s="20"/>
      <c r="W466" s="20" t="str">
        <f>IF(ISBLANK(O466),"是","否")</f>
        <v>是</v>
      </c>
      <c r="X466" s="20" t="s">
        <v>76</v>
      </c>
      <c r="Y466" s="24">
        <v>172</v>
      </c>
      <c r="Z466" s="25" t="s">
        <v>60</v>
      </c>
      <c r="AC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</row>
    <row r="467" ht="50.16541353383458" customHeight="1" spans="1:52" x14ac:dyDescent="0.25">
      <c r="A467" s="19" t="s">
        <v>1559</v>
      </c>
      <c r="B467" s="20" t="s">
        <v>57</v>
      </c>
      <c r="C467" s="21" t="s">
        <v>2278</v>
      </c>
      <c r="D467" s="22" t="s">
        <v>2279</v>
      </c>
      <c r="E467" s="21" t="s">
        <v>2220</v>
      </c>
      <c r="F467" s="23" t="s">
        <v>2220</v>
      </c>
      <c r="G467" s="20" t="str">
        <f>SUBSTITUTE(SUBSTITUTE(SUBSTITUTE(O467,"/@","_"),"/cac:","_"),"/cbc:","_")</f>
        <v>Invoice_InvoiceLine_Item_ItemInstance_SerialID</v>
      </c>
      <c r="H467" s="19" t="s">
        <v>2282</v>
      </c>
      <c r="I467" s="19"/>
      <c r="J467" s="19" t="s">
        <v>2222</v>
      </c>
      <c r="K467" s="20" t="s">
        <v>2283</v>
      </c>
      <c r="L467" s="25" t="s">
        <v>2223</v>
      </c>
      <c r="M467" s="20" t="s">
        <v>64</v>
      </c>
      <c r="N467" s="26" t="str">
        <f>IF(O467="","",LEN(O467)-LEN(SUBSTITUTE(O467,"/",""))+IF(ISNUMBER(SEARCH("@",O467)),0,1))</f>
        <v>5</v>
      </c>
      <c r="O467" s="19" t="s">
        <v>1587</v>
      </c>
      <c r="P467" s="19" t="s">
        <v>2284</v>
      </c>
      <c r="Q467" s="20"/>
      <c r="R467" s="20"/>
      <c r="S467" s="19" t="s">
        <v>2225</v>
      </c>
      <c r="T467" s="20"/>
      <c r="U467" s="20" t="s">
        <v>1663</v>
      </c>
      <c r="V467" s="20" t="s">
        <v>68</v>
      </c>
      <c r="W467" s="20" t="str">
        <f>IF(ISBLANK(O467),"是","否")</f>
        <v>否</v>
      </c>
      <c r="X467" s="20" t="s">
        <v>76</v>
      </c>
      <c r="Y467" s="24">
        <v>173</v>
      </c>
      <c r="Z467" s="25" t="s">
        <v>2220</v>
      </c>
      <c r="AC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</row>
    <row r="468" ht="60.45112781954887" customHeight="1" spans="1:52" x14ac:dyDescent="0.25">
      <c r="A468" s="19" t="s">
        <v>1542</v>
      </c>
      <c r="B468" s="20" t="s">
        <v>57</v>
      </c>
      <c r="C468" s="21" t="s">
        <v>2278</v>
      </c>
      <c r="D468" s="22" t="s">
        <v>2279</v>
      </c>
      <c r="E468" s="21" t="s">
        <v>2229</v>
      </c>
      <c r="F468" s="23" t="s">
        <v>2229</v>
      </c>
      <c r="G468" s="20" t="str">
        <f>SUBSTITUTE(SUBSTITUTE(SUBSTITUTE(O468,"/@","_"),"/cac:","_"),"/cbc:","_")</f>
        <v>Invoice_InvoiceLine_Item_ItemInstance_AdditionalItemProperty_Value</v>
      </c>
      <c r="H468" s="19" t="s">
        <v>2230</v>
      </c>
      <c r="I468" s="19"/>
      <c r="J468" s="19" t="s">
        <v>2164</v>
      </c>
      <c r="K468" s="20" t="s">
        <v>2283</v>
      </c>
      <c r="L468" s="25" t="s">
        <v>2223</v>
      </c>
      <c r="M468" s="20" t="s">
        <v>64</v>
      </c>
      <c r="N468" s="26" t="str">
        <f>IF(O468="","",LEN(O468)-LEN(SUBSTITUTE(O468,"/",""))+IF(ISNUMBER(SEARCH("@",O468)),0,1))</f>
        <v>6</v>
      </c>
      <c r="O468" s="19" t="s">
        <v>2285</v>
      </c>
      <c r="P468" s="19" t="s">
        <v>2286</v>
      </c>
      <c r="Q468" s="20"/>
      <c r="R468" s="20"/>
      <c r="S468" s="19" t="s">
        <v>2166</v>
      </c>
      <c r="T468" s="20"/>
      <c r="U468" s="20" t="s">
        <v>1663</v>
      </c>
      <c r="V468" s="20" t="s">
        <v>68</v>
      </c>
      <c r="W468" s="20" t="str">
        <f>IF(ISBLANK(O468),"是","否")</f>
        <v>否</v>
      </c>
      <c r="X468" s="20" t="s">
        <v>76</v>
      </c>
      <c r="Y468" s="24">
        <v>174</v>
      </c>
      <c r="Z468" s="25" t="s">
        <v>2229</v>
      </c>
      <c r="AC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</row>
    <row r="469" ht="60.45112781954887" customHeight="1" spans="1:52" x14ac:dyDescent="0.25">
      <c r="A469" s="19" t="s">
        <v>1542</v>
      </c>
      <c r="B469" s="20" t="s">
        <v>57</v>
      </c>
      <c r="C469" s="21" t="s">
        <v>2278</v>
      </c>
      <c r="D469" s="22" t="s">
        <v>2279</v>
      </c>
      <c r="E469" s="21" t="s">
        <v>2287</v>
      </c>
      <c r="F469" s="23" t="s">
        <v>2287</v>
      </c>
      <c r="G469" s="20" t="str">
        <f>SUBSTITUTE(SUBSTITUTE(SUBSTITUTE(O469,"/@","_"),"/cac:","_"),"/cbc:","_")</f>
        <v>Invoice_InvoiceLine_Item_ItemInstance_AdditionalItemProperty_Value</v>
      </c>
      <c r="H469" s="19" t="s">
        <v>2288</v>
      </c>
      <c r="I469" s="19"/>
      <c r="J469" s="19" t="s">
        <v>2164</v>
      </c>
      <c r="K469" s="20"/>
      <c r="L469" s="25" t="s">
        <v>204</v>
      </c>
      <c r="M469" s="20" t="s">
        <v>64</v>
      </c>
      <c r="N469" s="26" t="str">
        <f>IF(O469="","",LEN(O469)-LEN(SUBSTITUTE(O469,"/",""))+IF(ISNUMBER(SEARCH("@",O469)),0,1))</f>
        <v>6</v>
      </c>
      <c r="O469" s="19" t="s">
        <v>2285</v>
      </c>
      <c r="P469" s="19" t="s">
        <v>2289</v>
      </c>
      <c r="Q469" s="20"/>
      <c r="R469" s="20"/>
      <c r="S469" s="19" t="s">
        <v>2166</v>
      </c>
      <c r="T469" s="20"/>
      <c r="U469" s="20" t="s">
        <v>1663</v>
      </c>
      <c r="V469" s="20" t="s">
        <v>68</v>
      </c>
      <c r="W469" s="20" t="str">
        <f>IF(ISBLANK(O469),"是","否")</f>
        <v>否</v>
      </c>
      <c r="X469" s="20" t="s">
        <v>76</v>
      </c>
      <c r="Y469" s="24">
        <v>175</v>
      </c>
      <c r="Z469" s="25" t="s">
        <v>2287</v>
      </c>
      <c r="AC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</row>
    <row r="470" ht="39.879699248120296" customHeight="1" spans="1:52" x14ac:dyDescent="0.25">
      <c r="A470" s="19" t="s">
        <v>41</v>
      </c>
      <c r="B470" s="20" t="s">
        <v>57</v>
      </c>
      <c r="C470" s="21" t="s">
        <v>2278</v>
      </c>
      <c r="D470" s="22" t="s">
        <v>2279</v>
      </c>
      <c r="E470" s="21" t="s">
        <v>2007</v>
      </c>
      <c r="F470" s="23" t="s">
        <v>2007</v>
      </c>
      <c r="G470" s="20" t="str">
        <f>SUBSTITUTE(SUBSTITUTE(SUBSTITUTE(O470,"/@","_"),"/cac:","_"),"/cbc:","_")</f>
        <v>Invoice_UUID</v>
      </c>
      <c r="H470" s="19" t="s">
        <v>1314</v>
      </c>
      <c r="I470" s="19"/>
      <c r="J470" s="19" t="s">
        <v>2290</v>
      </c>
      <c r="K470" s="25"/>
      <c r="L470" s="25" t="s">
        <v>72</v>
      </c>
      <c r="M470" s="20" t="s">
        <v>64</v>
      </c>
      <c r="N470" s="26" t="str">
        <f>IF(O470="","",LEN(O470)-LEN(SUBSTITUTE(O470,"/",""))+IF(ISNUMBER(SEARCH("@",O470)),0,1))</f>
        <v>2</v>
      </c>
      <c r="O470" s="19" t="s">
        <v>65</v>
      </c>
      <c r="P470" s="19" t="s">
        <v>2291</v>
      </c>
      <c r="Q470" s="20"/>
      <c r="R470" s="25"/>
      <c r="S470" s="19"/>
      <c r="T470" s="20"/>
      <c r="U470" s="20" t="s">
        <v>1663</v>
      </c>
      <c r="V470" s="20" t="s">
        <v>68</v>
      </c>
      <c r="W470" s="20" t="str">
        <f>IF(ISBLANK(O470),"是","否")</f>
        <v>否</v>
      </c>
      <c r="X470" s="20" t="s">
        <v>76</v>
      </c>
      <c r="Y470" s="24">
        <v>176</v>
      </c>
      <c r="Z470" s="25" t="s">
        <v>2007</v>
      </c>
      <c r="AC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</row>
    <row r="471" ht="39.879699248120296" customHeight="1" spans="1:52" x14ac:dyDescent="0.25">
      <c r="A471" s="27"/>
      <c r="B471" s="20" t="s">
        <v>57</v>
      </c>
      <c r="C471" s="21" t="s">
        <v>2292</v>
      </c>
      <c r="D471" s="22" t="s">
        <v>2293</v>
      </c>
      <c r="E471" s="21" t="s">
        <v>60</v>
      </c>
      <c r="F471" s="23" t="s">
        <v>60</v>
      </c>
      <c r="G471" s="20" t="str">
        <f>SUBSTITUTE(SUBSTITUTE(SUBSTITUTE(O471,"/@","_"),"/cac:","_"),"/cbc:","_")</f>
        <v/>
      </c>
      <c r="H471" s="19" t="s">
        <v>2294</v>
      </c>
      <c r="I471" s="19"/>
      <c r="J471" s="19"/>
      <c r="K471" s="24"/>
      <c r="L471" s="25" t="s">
        <v>63</v>
      </c>
      <c r="M471" s="20"/>
      <c r="N471" s="26" t="str">
        <f>IF(O471="","",LEN(O471)-LEN(SUBSTITUTE(O471,"/",""))+IF(ISNUMBER(SEARCH("@",O471)),0,1))</f>
        <v/>
      </c>
      <c r="O471" s="19"/>
      <c r="P471" s="19" t="s">
        <v>2295</v>
      </c>
      <c r="Q471" s="20"/>
      <c r="R471" s="20"/>
      <c r="S471" s="19"/>
      <c r="T471" s="20"/>
      <c r="U471" s="20" t="s">
        <v>1663</v>
      </c>
      <c r="V471" s="20"/>
      <c r="W471" s="20" t="str">
        <f>IF(ISBLANK(O471),"是","否")</f>
        <v>是</v>
      </c>
      <c r="X471" s="20" t="s">
        <v>76</v>
      </c>
      <c r="Y471" s="24">
        <v>177</v>
      </c>
      <c r="Z471" s="25" t="s">
        <v>60</v>
      </c>
      <c r="AA471" s="37">
        <v>226</v>
      </c>
      <c r="AB471" s="35" t="s">
        <v>1313</v>
      </c>
      <c r="AC471" s="20"/>
      <c r="AD471" s="37"/>
      <c r="AE471" s="35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</row>
    <row r="472" ht="60.45112781954887" customHeight="1" spans="1:52" x14ac:dyDescent="0.25">
      <c r="A472" s="19" t="s">
        <v>139</v>
      </c>
      <c r="B472" s="20" t="s">
        <v>57</v>
      </c>
      <c r="C472" s="21" t="s">
        <v>2292</v>
      </c>
      <c r="D472" s="22" t="s">
        <v>2293</v>
      </c>
      <c r="E472" s="21" t="s">
        <v>2296</v>
      </c>
      <c r="F472" s="23" t="s">
        <v>2296</v>
      </c>
      <c r="G472" s="20" t="str">
        <f>SUBSTITUTE(SUBSTITUTE(SUBSTITUTE(O472,"/@","_"),"/cac:","_"),"/cbc:","_")</f>
        <v>Invoice_AccountingCustomerParty_Party_Person_IdentityDocumentReference_ID</v>
      </c>
      <c r="H472" s="19" t="s">
        <v>2297</v>
      </c>
      <c r="I472" s="19"/>
      <c r="J472" s="19" t="s">
        <v>1993</v>
      </c>
      <c r="K472" s="20"/>
      <c r="L472" s="25" t="s">
        <v>2223</v>
      </c>
      <c r="M472" s="20" t="s">
        <v>165</v>
      </c>
      <c r="N472" s="26" t="str">
        <f>IF(O472="","",LEN(O472)-LEN(SUBSTITUTE(O472,"/",""))+IF(ISNUMBER(SEARCH("@",O472)),0,1))</f>
        <v>6</v>
      </c>
      <c r="O472" s="19" t="s">
        <v>2298</v>
      </c>
      <c r="P472" s="19" t="s">
        <v>2299</v>
      </c>
      <c r="Q472" s="20"/>
      <c r="R472" s="20"/>
      <c r="S472" s="19" t="s">
        <v>2300</v>
      </c>
      <c r="T472" s="20"/>
      <c r="U472" s="20" t="s">
        <v>1663</v>
      </c>
      <c r="V472" s="20" t="s">
        <v>68</v>
      </c>
      <c r="W472" s="20" t="str">
        <f>IF(ISBLANK(O472),"是","否")</f>
        <v>否</v>
      </c>
      <c r="X472" s="20" t="s">
        <v>76</v>
      </c>
      <c r="Y472" s="24">
        <v>178</v>
      </c>
      <c r="Z472" s="25" t="s">
        <v>2296</v>
      </c>
      <c r="AC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</row>
    <row r="473" ht="39.879699248120296" customHeight="1" spans="1:52" x14ac:dyDescent="0.25">
      <c r="A473" s="19" t="s">
        <v>139</v>
      </c>
      <c r="B473" s="20" t="s">
        <v>57</v>
      </c>
      <c r="C473" s="21" t="s">
        <v>2292</v>
      </c>
      <c r="D473" s="22" t="s">
        <v>2293</v>
      </c>
      <c r="E473" s="21" t="s">
        <v>1955</v>
      </c>
      <c r="F473" s="23" t="s">
        <v>1955</v>
      </c>
      <c r="G473" s="20" t="str">
        <f>SUBSTITUTE(SUBSTITUTE(SUBSTITUTE(O473,"/@","_"),"/cac:","_"),"/cbc:","_")</f>
        <v>Invoice_AccountingCustomerParty_Party_Person_IdentityDocumentReference_DocumentTypeCode</v>
      </c>
      <c r="H473" s="19" t="s">
        <v>2301</v>
      </c>
      <c r="I473" s="19"/>
      <c r="J473" s="19" t="s">
        <v>2302</v>
      </c>
      <c r="K473" s="20"/>
      <c r="L473" s="25" t="s">
        <v>909</v>
      </c>
      <c r="M473" s="20" t="s">
        <v>64</v>
      </c>
      <c r="N473" s="26" t="str">
        <f>IF(O473="","",LEN(O473)-LEN(SUBSTITUTE(O473,"/",""))+IF(ISNUMBER(SEARCH("@",O473)),0,1))</f>
        <v>6</v>
      </c>
      <c r="O473" s="19" t="s">
        <v>1958</v>
      </c>
      <c r="P473" s="19" t="s">
        <v>2303</v>
      </c>
      <c r="Q473" s="20"/>
      <c r="R473" s="20"/>
      <c r="S473" s="19"/>
      <c r="T473" s="20"/>
      <c r="U473" s="20" t="s">
        <v>1663</v>
      </c>
      <c r="V473" s="20" t="s">
        <v>68</v>
      </c>
      <c r="W473" s="20" t="str">
        <f>IF(ISBLANK(O473),"是","否")</f>
        <v>否</v>
      </c>
      <c r="X473" s="20" t="s">
        <v>76</v>
      </c>
      <c r="Y473" s="24">
        <v>179</v>
      </c>
      <c r="Z473" s="25" t="s">
        <v>1955</v>
      </c>
      <c r="AA473" s="37">
        <v>234</v>
      </c>
      <c r="AB473" s="35" t="s">
        <v>2304</v>
      </c>
      <c r="AC473" s="20"/>
      <c r="AD473" s="37"/>
      <c r="AE473" s="35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</row>
    <row r="474" ht="39.879699248120296" customHeight="1" spans="1:52" x14ac:dyDescent="0.25">
      <c r="A474" s="19" t="s">
        <v>282</v>
      </c>
      <c r="B474" s="20" t="s">
        <v>57</v>
      </c>
      <c r="C474" s="21" t="s">
        <v>2292</v>
      </c>
      <c r="D474" s="22" t="s">
        <v>2293</v>
      </c>
      <c r="E474" s="21" t="s">
        <v>2181</v>
      </c>
      <c r="F474" s="23" t="s">
        <v>2181</v>
      </c>
      <c r="G474" s="20" t="str">
        <f>SUBSTITUTE(SUBSTITUTE(SUBSTITUTE(O474,"/@","_"),"/cac:","_"),"/cbc:","_")</f>
        <v>Invoice_Delivery_DeliveryAddress_CountrySubentity</v>
      </c>
      <c r="H474" s="19" t="s">
        <v>2183</v>
      </c>
      <c r="I474" s="19" t="s">
        <v>300</v>
      </c>
      <c r="J474" s="19" t="s">
        <v>2305</v>
      </c>
      <c r="K474" s="25"/>
      <c r="L474" s="25" t="s">
        <v>927</v>
      </c>
      <c r="M474" s="20" t="s">
        <v>64</v>
      </c>
      <c r="N474" s="26" t="str">
        <f>IF(O474="","",LEN(O474)-LEN(SUBSTITUTE(O474,"/",""))+IF(ISNUMBER(SEARCH("@",O474)),0,1))</f>
        <v>4</v>
      </c>
      <c r="O474" s="19" t="s">
        <v>2100</v>
      </c>
      <c r="P474" s="19" t="s">
        <v>2306</v>
      </c>
      <c r="Q474" s="20"/>
      <c r="R474" s="25"/>
      <c r="S474" s="19" t="s">
        <v>2307</v>
      </c>
      <c r="T474" s="20"/>
      <c r="U474" s="20" t="s">
        <v>1663</v>
      </c>
      <c r="V474" s="20" t="s">
        <v>68</v>
      </c>
      <c r="W474" s="20" t="str">
        <f>IF(ISBLANK(O474),"是","否")</f>
        <v>否</v>
      </c>
      <c r="X474" s="20" t="s">
        <v>76</v>
      </c>
      <c r="Y474" s="24">
        <v>180</v>
      </c>
      <c r="Z474" s="25" t="s">
        <v>2181</v>
      </c>
      <c r="AC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</row>
    <row r="475" ht="60.45112781954887" customHeight="1" spans="1:52" x14ac:dyDescent="0.25">
      <c r="A475" s="27"/>
      <c r="B475" s="20" t="s">
        <v>57</v>
      </c>
      <c r="C475" s="21" t="s">
        <v>2292</v>
      </c>
      <c r="D475" s="22" t="s">
        <v>2293</v>
      </c>
      <c r="E475" s="21" t="s">
        <v>2308</v>
      </c>
      <c r="F475" s="23" t="s">
        <v>2308</v>
      </c>
      <c r="G475" s="20" t="str">
        <f>SUBSTITUTE(SUBSTITUTE(SUBSTITUTE(O475,"/@","_"),"/cac:","_"),"/cbc:","_")</f>
        <v/>
      </c>
      <c r="H475" s="19" t="s">
        <v>2309</v>
      </c>
      <c r="I475" s="19"/>
      <c r="J475" s="19"/>
      <c r="K475" s="25" t="s">
        <v>2310</v>
      </c>
      <c r="L475" s="25" t="s">
        <v>909</v>
      </c>
      <c r="M475" s="20"/>
      <c r="N475" s="26" t="str">
        <f>IF(O475="","",LEN(O475)-LEN(SUBSTITUTE(O475,"/",""))+IF(ISNUMBER(SEARCH("@",O475)),0,1))</f>
        <v/>
      </c>
      <c r="O475" s="19"/>
      <c r="P475" s="19" t="s">
        <v>2311</v>
      </c>
      <c r="Q475" s="20"/>
      <c r="R475" s="20"/>
      <c r="S475" s="19"/>
      <c r="T475" s="20"/>
      <c r="U475" s="20" t="s">
        <v>1663</v>
      </c>
      <c r="V475" s="20"/>
      <c r="W475" s="20" t="str">
        <f>IF(ISBLANK(O475),"是","否")</f>
        <v>是</v>
      </c>
      <c r="X475" s="20" t="s">
        <v>76</v>
      </c>
      <c r="Y475" s="24">
        <v>181</v>
      </c>
      <c r="Z475" s="25" t="s">
        <v>2308</v>
      </c>
      <c r="AA475" s="37">
        <v>233</v>
      </c>
      <c r="AB475" s="35" t="s">
        <v>2312</v>
      </c>
      <c r="AC475" s="20"/>
      <c r="AD475" s="37"/>
      <c r="AE475" s="35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</row>
    <row r="476" ht="39.879699248120296" customHeight="1" spans="1:52" x14ac:dyDescent="0.25">
      <c r="A476" s="19" t="s">
        <v>41</v>
      </c>
      <c r="B476" s="20" t="s">
        <v>57</v>
      </c>
      <c r="C476" s="21" t="s">
        <v>2292</v>
      </c>
      <c r="D476" s="22" t="s">
        <v>2293</v>
      </c>
      <c r="E476" s="21" t="s">
        <v>2007</v>
      </c>
      <c r="F476" s="23" t="s">
        <v>2007</v>
      </c>
      <c r="G476" s="20" t="str">
        <f>SUBSTITUTE(SUBSTITUTE(SUBSTITUTE(O476,"/@","_"),"/cac:","_"),"/cbc:","_")</f>
        <v>Invoice_UUID</v>
      </c>
      <c r="H476" s="19" t="s">
        <v>1314</v>
      </c>
      <c r="I476" s="19"/>
      <c r="J476" s="19" t="s">
        <v>2008</v>
      </c>
      <c r="K476" s="24"/>
      <c r="L476" s="25" t="s">
        <v>72</v>
      </c>
      <c r="M476" s="20" t="s">
        <v>64</v>
      </c>
      <c r="N476" s="26" t="str">
        <f>IF(O476="","",LEN(O476)-LEN(SUBSTITUTE(O476,"/",""))+IF(ISNUMBER(SEARCH("@",O476)),0,1))</f>
        <v>2</v>
      </c>
      <c r="O476" s="19" t="s">
        <v>65</v>
      </c>
      <c r="P476" s="19" t="s">
        <v>2313</v>
      </c>
      <c r="Q476" s="20"/>
      <c r="R476" s="20"/>
      <c r="S476" s="19"/>
      <c r="T476" s="20"/>
      <c r="U476" s="20" t="s">
        <v>1663</v>
      </c>
      <c r="V476" s="20" t="s">
        <v>68</v>
      </c>
      <c r="W476" s="20" t="str">
        <f>IF(ISBLANK(O476),"是","否")</f>
        <v>否</v>
      </c>
      <c r="X476" s="20" t="s">
        <v>76</v>
      </c>
      <c r="Y476" s="24">
        <v>182</v>
      </c>
      <c r="Z476" s="25" t="s">
        <v>2007</v>
      </c>
      <c r="AC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</row>
    <row r="477" ht="60.45112781954887" customHeight="1" spans="1:52" x14ac:dyDescent="0.25">
      <c r="A477" s="19" t="s">
        <v>282</v>
      </c>
      <c r="B477" s="20" t="s">
        <v>57</v>
      </c>
      <c r="C477" s="21" t="s">
        <v>2292</v>
      </c>
      <c r="D477" s="22" t="s">
        <v>2293</v>
      </c>
      <c r="E477" s="21" t="s">
        <v>2194</v>
      </c>
      <c r="F477" s="23" t="s">
        <v>2194</v>
      </c>
      <c r="G477" s="20" t="str">
        <f>SUBSTITUTE(SUBSTITUTE(SUBSTITUTE(O477,"/@","_"),"/cac:","_"),"/cbc:","_")</f>
        <v>Invoice_Delivery_Shipment_ShipmentStage_ActualDepartureTransportEvent_Location_Address_CountrySubentity</v>
      </c>
      <c r="H477" s="19" t="s">
        <v>2314</v>
      </c>
      <c r="I477" s="19"/>
      <c r="J477" s="19" t="s">
        <v>2315</v>
      </c>
      <c r="K477" s="24"/>
      <c r="L477" s="25" t="s">
        <v>927</v>
      </c>
      <c r="M477" s="20" t="s">
        <v>64</v>
      </c>
      <c r="N477" s="26" t="str">
        <f>IF(O477="","",LEN(O477)-LEN(SUBSTITUTE(O477,"/",""))+IF(ISNUMBER(SEARCH("@",O477)),0,1))</f>
        <v>8</v>
      </c>
      <c r="O477" s="19" t="s">
        <v>2316</v>
      </c>
      <c r="P477" s="19" t="s">
        <v>2317</v>
      </c>
      <c r="Q477" s="20"/>
      <c r="R477" s="20"/>
      <c r="S477" s="19" t="s">
        <v>2318</v>
      </c>
      <c r="T477" s="20"/>
      <c r="U477" s="20" t="s">
        <v>1663</v>
      </c>
      <c r="V477" s="20" t="s">
        <v>68</v>
      </c>
      <c r="W477" s="20" t="str">
        <f>IF(ISBLANK(O477),"是","否")</f>
        <v>否</v>
      </c>
      <c r="X477" s="20" t="s">
        <v>76</v>
      </c>
      <c r="Y477" s="24">
        <v>183</v>
      </c>
      <c r="Z477" s="25" t="s">
        <v>2194</v>
      </c>
      <c r="AC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</row>
    <row r="478" ht="50.16541353383458" customHeight="1" spans="1:52" x14ac:dyDescent="0.25">
      <c r="A478" s="19" t="s">
        <v>2186</v>
      </c>
      <c r="B478" s="20" t="s">
        <v>57</v>
      </c>
      <c r="C478" s="21" t="s">
        <v>2292</v>
      </c>
      <c r="D478" s="22" t="s">
        <v>2293</v>
      </c>
      <c r="E478" s="21" t="s">
        <v>2207</v>
      </c>
      <c r="F478" s="23" t="s">
        <v>2207</v>
      </c>
      <c r="G478" s="20" t="str">
        <f>SUBSTITUTE(SUBSTITUTE(SUBSTITUTE(O478,"/@","_"),"/cac:","_"),"/cbc:","_")</f>
        <v>Invoice_Delivery_Shipment_ShipmentStage_TransportModeCode</v>
      </c>
      <c r="H478" s="19" t="s">
        <v>2319</v>
      </c>
      <c r="I478" s="19"/>
      <c r="J478" s="19" t="s">
        <v>2191</v>
      </c>
      <c r="K478" s="20"/>
      <c r="L478" s="25" t="s">
        <v>1939</v>
      </c>
      <c r="M478" s="20" t="s">
        <v>64</v>
      </c>
      <c r="N478" s="26" t="str">
        <f>IF(O478="","",LEN(O478)-LEN(SUBSTITUTE(O478,"/",""))+IF(ISNUMBER(SEARCH("@",O478)),0,1))</f>
        <v>5</v>
      </c>
      <c r="O478" s="19" t="s">
        <v>2192</v>
      </c>
      <c r="P478" s="19" t="s">
        <v>2320</v>
      </c>
      <c r="Q478" s="20"/>
      <c r="R478" s="20" t="s">
        <v>2321</v>
      </c>
      <c r="S478" s="19"/>
      <c r="T478" s="20"/>
      <c r="U478" s="20" t="s">
        <v>1663</v>
      </c>
      <c r="V478" s="20" t="s">
        <v>68</v>
      </c>
      <c r="W478" s="20" t="str">
        <f>IF(ISBLANK(O478),"是","否")</f>
        <v>否</v>
      </c>
      <c r="X478" s="20" t="s">
        <v>76</v>
      </c>
      <c r="Y478" s="24">
        <v>184</v>
      </c>
      <c r="Z478" s="25" t="s">
        <v>2207</v>
      </c>
      <c r="AA478" s="24">
        <v>232</v>
      </c>
      <c r="AB478" s="25" t="s">
        <v>2322</v>
      </c>
      <c r="AC478" s="20"/>
      <c r="AD478" s="24"/>
      <c r="AE478" s="25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</row>
    <row r="479" ht="39.879699248120296" customHeight="1" spans="1:52" x14ac:dyDescent="0.25">
      <c r="A479" s="19" t="s">
        <v>1845</v>
      </c>
      <c r="B479" s="20" t="s">
        <v>57</v>
      </c>
      <c r="C479" s="21" t="s">
        <v>2292</v>
      </c>
      <c r="D479" s="22" t="s">
        <v>2293</v>
      </c>
      <c r="E479" s="21" t="s">
        <v>2323</v>
      </c>
      <c r="F479" s="23" t="s">
        <v>2323</v>
      </c>
      <c r="G479" s="20" t="str">
        <f>SUBSTITUTE(SUBSTITUTE(SUBSTITUTE(O479,"/@","_"),"/cac:","_"),"/cbc:","_")</f>
        <v>Invoice_Delivery_Shipment_ShipmentStage_TransitPeriod_StartDate</v>
      </c>
      <c r="H479" s="19" t="s">
        <v>2324</v>
      </c>
      <c r="I479" s="19"/>
      <c r="J479" s="19" t="s">
        <v>2105</v>
      </c>
      <c r="K479" s="20" t="s">
        <v>2138</v>
      </c>
      <c r="L479" s="25" t="s">
        <v>909</v>
      </c>
      <c r="M479" s="20" t="s">
        <v>64</v>
      </c>
      <c r="N479" s="26" t="str">
        <f>IF(O479="","",LEN(O479)-LEN(SUBSTITUTE(O479,"/",""))+IF(ISNUMBER(SEARCH("@",O479)),0,1))</f>
        <v>6</v>
      </c>
      <c r="O479" s="19" t="s">
        <v>2325</v>
      </c>
      <c r="P479" s="19" t="s">
        <v>2326</v>
      </c>
      <c r="Q479" s="20"/>
      <c r="R479" s="20"/>
      <c r="S479" s="19"/>
      <c r="T479" s="20"/>
      <c r="U479" s="20" t="s">
        <v>1663</v>
      </c>
      <c r="V479" s="20" t="s">
        <v>68</v>
      </c>
      <c r="W479" s="20" t="str">
        <f>IF(ISBLANK(O479),"是","否")</f>
        <v>否</v>
      </c>
      <c r="X479" s="20" t="s">
        <v>76</v>
      </c>
      <c r="Y479" s="24">
        <v>185</v>
      </c>
      <c r="Z479" s="25" t="s">
        <v>2323</v>
      </c>
      <c r="AA479" s="24">
        <v>235</v>
      </c>
      <c r="AB479" s="25" t="s">
        <v>2323</v>
      </c>
      <c r="AC479" s="20"/>
      <c r="AD479" s="24"/>
      <c r="AE479" s="25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</row>
    <row r="480" ht="39.879699248120296" customHeight="1" spans="1:52" x14ac:dyDescent="0.25">
      <c r="A480" s="19" t="s">
        <v>402</v>
      </c>
      <c r="B480" s="20" t="s">
        <v>57</v>
      </c>
      <c r="C480" s="21" t="s">
        <v>2292</v>
      </c>
      <c r="D480" s="22" t="s">
        <v>2293</v>
      </c>
      <c r="E480" s="21" t="s">
        <v>2327</v>
      </c>
      <c r="F480" s="23" t="s">
        <v>2327</v>
      </c>
      <c r="G480" s="20" t="str">
        <f>SUBSTITUTE(SUBSTITUTE(SUBSTITUTE(O480,"/@","_"),"/cac:","_"),"/cbc:","_")</f>
        <v>Invoice_Delivery_Shipment_ShipmentStage_PassengerPerson_FirstName</v>
      </c>
      <c r="H480" s="19" t="s">
        <v>2328</v>
      </c>
      <c r="I480" s="19"/>
      <c r="J480" s="19" t="s">
        <v>2329</v>
      </c>
      <c r="K480" s="20"/>
      <c r="L480" s="25" t="s">
        <v>927</v>
      </c>
      <c r="M480" s="20" t="s">
        <v>64</v>
      </c>
      <c r="N480" s="26" t="str">
        <f>IF(O480="","",LEN(O480)-LEN(SUBSTITUTE(O480,"/",""))+IF(ISNUMBER(SEARCH("@",O480)),0,1))</f>
        <v>6</v>
      </c>
      <c r="O480" s="19" t="s">
        <v>2330</v>
      </c>
      <c r="P480" s="19" t="s">
        <v>2331</v>
      </c>
      <c r="Q480" s="20"/>
      <c r="R480" s="20"/>
      <c r="S480" s="19"/>
      <c r="T480" s="20"/>
      <c r="U480" s="20" t="s">
        <v>1663</v>
      </c>
      <c r="V480" s="20" t="s">
        <v>68</v>
      </c>
      <c r="W480" s="20" t="str">
        <f>IF(ISBLANK(O480),"是","否")</f>
        <v>否</v>
      </c>
      <c r="X480" s="20" t="s">
        <v>76</v>
      </c>
      <c r="Y480" s="24">
        <v>186</v>
      </c>
      <c r="Z480" s="25" t="s">
        <v>2327</v>
      </c>
      <c r="AA480" s="24">
        <v>228</v>
      </c>
      <c r="AB480" s="25" t="s">
        <v>2327</v>
      </c>
      <c r="AC480" s="20"/>
      <c r="AD480" s="24"/>
      <c r="AE480" s="25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</row>
    <row r="481" ht="29.59398496240601" customHeight="1" spans="1:52" x14ac:dyDescent="0.25">
      <c r="A481" s="27"/>
      <c r="B481" s="20" t="s">
        <v>57</v>
      </c>
      <c r="C481" s="21" t="s">
        <v>2332</v>
      </c>
      <c r="D481" s="22" t="s">
        <v>2333</v>
      </c>
      <c r="E481" s="21" t="s">
        <v>60</v>
      </c>
      <c r="F481" s="23" t="s">
        <v>60</v>
      </c>
      <c r="G481" s="20" t="str">
        <f>SUBSTITUTE(SUBSTITUTE(SUBSTITUTE(O481,"/@","_"),"/cac:","_"),"/cbc:","_")</f>
        <v/>
      </c>
      <c r="H481" s="19" t="s">
        <v>2334</v>
      </c>
      <c r="I481" s="19"/>
      <c r="J481" s="19"/>
      <c r="K481" s="20"/>
      <c r="L481" s="25" t="s">
        <v>63</v>
      </c>
      <c r="M481" s="20"/>
      <c r="N481" s="26" t="str">
        <f>IF(O481="","",LEN(O481)-LEN(SUBSTITUTE(O481,"/",""))+IF(ISNUMBER(SEARCH("@",O481)),0,1))</f>
        <v/>
      </c>
      <c r="O481" s="19"/>
      <c r="P481" s="19" t="s">
        <v>2335</v>
      </c>
      <c r="Q481" s="20"/>
      <c r="R481" s="20"/>
      <c r="S481" s="19"/>
      <c r="T481" s="20"/>
      <c r="U481" s="20" t="s">
        <v>1663</v>
      </c>
      <c r="V481" s="20"/>
      <c r="W481" s="20" t="str">
        <f>IF(ISBLANK(O481),"是","否")</f>
        <v>是</v>
      </c>
      <c r="X481" s="20" t="s">
        <v>76</v>
      </c>
      <c r="Y481" s="24">
        <v>187</v>
      </c>
      <c r="Z481" s="25" t="s">
        <v>60</v>
      </c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</row>
    <row r="482" ht="50.16541353383458" customHeight="1" spans="1:52" x14ac:dyDescent="0.25">
      <c r="A482" s="19" t="s">
        <v>1559</v>
      </c>
      <c r="B482" s="20" t="s">
        <v>57</v>
      </c>
      <c r="C482" s="21" t="s">
        <v>2332</v>
      </c>
      <c r="D482" s="22" t="s">
        <v>2333</v>
      </c>
      <c r="E482" s="21" t="s">
        <v>2220</v>
      </c>
      <c r="F482" s="23" t="s">
        <v>2220</v>
      </c>
      <c r="G482" s="20" t="str">
        <f>SUBSTITUTE(SUBSTITUTE(SUBSTITUTE(O482,"/@","_"),"/cac:","_"),"/cbc:","_")</f>
        <v>Invoice_InvoiceLine_Item_ItemInstance_SerialID</v>
      </c>
      <c r="H482" s="19" t="s">
        <v>2221</v>
      </c>
      <c r="I482" s="19"/>
      <c r="J482" s="19" t="s">
        <v>2222</v>
      </c>
      <c r="K482" s="24"/>
      <c r="L482" s="25" t="s">
        <v>909</v>
      </c>
      <c r="M482" s="20" t="s">
        <v>64</v>
      </c>
      <c r="N482" s="26" t="str">
        <f>IF(O482="","",LEN(O482)-LEN(SUBSTITUTE(O482,"/",""))+IF(ISNUMBER(SEARCH("@",O482)),0,1))</f>
        <v>5</v>
      </c>
      <c r="O482" s="19" t="s">
        <v>1587</v>
      </c>
      <c r="P482" s="19" t="s">
        <v>2336</v>
      </c>
      <c r="Q482" s="20"/>
      <c r="R482" s="20"/>
      <c r="S482" s="19" t="s">
        <v>2225</v>
      </c>
      <c r="T482" s="20"/>
      <c r="U482" s="20" t="s">
        <v>1663</v>
      </c>
      <c r="V482" s="20" t="s">
        <v>68</v>
      </c>
      <c r="W482" s="20" t="str">
        <f>IF(ISBLANK(O482),"是","否")</f>
        <v>否</v>
      </c>
      <c r="X482" s="20" t="s">
        <v>76</v>
      </c>
      <c r="Y482" s="24">
        <v>188</v>
      </c>
      <c r="Z482" s="25" t="s">
        <v>2220</v>
      </c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</row>
    <row r="483" ht="50.16541353383458" customHeight="1" spans="1:52" x14ac:dyDescent="0.25">
      <c r="A483" s="19" t="s">
        <v>1559</v>
      </c>
      <c r="B483" s="20" t="s">
        <v>57</v>
      </c>
      <c r="C483" s="21" t="s">
        <v>2332</v>
      </c>
      <c r="D483" s="22" t="s">
        <v>2333</v>
      </c>
      <c r="E483" s="21" t="s">
        <v>2337</v>
      </c>
      <c r="F483" s="23" t="s">
        <v>2337</v>
      </c>
      <c r="G483" s="20" t="str">
        <f>SUBSTITUTE(SUBSTITUTE(SUBSTITUTE(O483,"/@","_"),"/cac:","_"),"/cbc:","_")</f>
        <v>Invoice_InvoiceLine_Item_ItemInstance_RegistrationID</v>
      </c>
      <c r="H483" s="19" t="s">
        <v>2338</v>
      </c>
      <c r="I483" s="19"/>
      <c r="J483" s="19" t="s">
        <v>2339</v>
      </c>
      <c r="K483" s="20"/>
      <c r="L483" s="25" t="s">
        <v>927</v>
      </c>
      <c r="M483" s="20" t="s">
        <v>64</v>
      </c>
      <c r="N483" s="26" t="str">
        <f>IF(O483="","",LEN(O483)-LEN(SUBSTITUTE(O483,"/",""))+IF(ISNUMBER(SEARCH("@",O483)),0,1))</f>
        <v>5</v>
      </c>
      <c r="O483" s="19" t="s">
        <v>2340</v>
      </c>
      <c r="P483" s="19" t="s">
        <v>2341</v>
      </c>
      <c r="Q483" s="20"/>
      <c r="R483" s="20"/>
      <c r="S483" s="19" t="s">
        <v>2342</v>
      </c>
      <c r="T483" s="20"/>
      <c r="U483" s="20" t="s">
        <v>1663</v>
      </c>
      <c r="V483" s="20" t="s">
        <v>68</v>
      </c>
      <c r="W483" s="20" t="str">
        <f>IF(ISBLANK(O483),"是","否")</f>
        <v>否</v>
      </c>
      <c r="X483" s="20" t="s">
        <v>76</v>
      </c>
      <c r="Y483" s="24">
        <v>189</v>
      </c>
      <c r="Z483" s="25" t="s">
        <v>2337</v>
      </c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</row>
    <row r="484" ht="29.59398496240601" customHeight="1" spans="1:52" x14ac:dyDescent="0.25">
      <c r="A484" s="19" t="s">
        <v>1357</v>
      </c>
      <c r="B484" s="20" t="s">
        <v>57</v>
      </c>
      <c r="C484" s="21" t="s">
        <v>2332</v>
      </c>
      <c r="D484" s="22" t="s">
        <v>2333</v>
      </c>
      <c r="E484" s="21" t="s">
        <v>2240</v>
      </c>
      <c r="F484" s="23" t="s">
        <v>2240</v>
      </c>
      <c r="G484" s="20" t="str">
        <f>SUBSTITUTE(SUBSTITUTE(SUBSTITUTE(O484,"/@","_"),"/cac:","_"),"/cbc:","_")</f>
        <v>Invoice_InvoiceLine_Item_ModelName</v>
      </c>
      <c r="H484" s="19" t="s">
        <v>2241</v>
      </c>
      <c r="I484" s="19"/>
      <c r="J484" s="19" t="s">
        <v>2242</v>
      </c>
      <c r="K484" s="20"/>
      <c r="L484" s="25" t="s">
        <v>2223</v>
      </c>
      <c r="M484" s="20" t="s">
        <v>64</v>
      </c>
      <c r="N484" s="26" t="str">
        <f>IF(O484="","",LEN(O484)-LEN(SUBSTITUTE(O484,"/",""))+IF(ISNUMBER(SEARCH("@",O484)),0,1))</f>
        <v>4</v>
      </c>
      <c r="O484" s="19" t="s">
        <v>2243</v>
      </c>
      <c r="P484" s="19" t="s">
        <v>2343</v>
      </c>
      <c r="Q484" s="20"/>
      <c r="R484" s="20"/>
      <c r="S484" s="19"/>
      <c r="T484" s="20"/>
      <c r="U484" s="20" t="s">
        <v>1663</v>
      </c>
      <c r="V484" s="20" t="s">
        <v>68</v>
      </c>
      <c r="W484" s="20" t="str">
        <f>IF(ISBLANK(O484),"是","否")</f>
        <v>否</v>
      </c>
      <c r="X484" s="20" t="s">
        <v>76</v>
      </c>
      <c r="Y484" s="24">
        <v>190</v>
      </c>
      <c r="Z484" s="25" t="s">
        <v>2240</v>
      </c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</row>
    <row r="485" ht="60.45112781954887" customHeight="1" spans="1:52" x14ac:dyDescent="0.25">
      <c r="A485" s="19" t="s">
        <v>139</v>
      </c>
      <c r="B485" s="20" t="s">
        <v>57</v>
      </c>
      <c r="C485" s="21" t="s">
        <v>2332</v>
      </c>
      <c r="D485" s="22" t="s">
        <v>2333</v>
      </c>
      <c r="E485" s="21" t="s">
        <v>2344</v>
      </c>
      <c r="F485" s="23" t="s">
        <v>2344</v>
      </c>
      <c r="G485" s="20" t="str">
        <f>SUBSTITUTE(SUBSTITUTE(SUBSTITUTE(O485,"/@","_"),"/cac:","_"),"/cbc:","_")</f>
        <v>Invoice_AccountingSupplierParty_Party_Person_IdentityDocumentReference_ID</v>
      </c>
      <c r="H485" s="19" t="s">
        <v>2345</v>
      </c>
      <c r="I485" s="19"/>
      <c r="J485" s="19" t="s">
        <v>1993</v>
      </c>
      <c r="K485" s="20"/>
      <c r="L485" s="25" t="s">
        <v>909</v>
      </c>
      <c r="M485" s="20" t="s">
        <v>165</v>
      </c>
      <c r="N485" s="26" t="str">
        <f>IF(O485="","",LEN(O485)-LEN(SUBSTITUTE(O485,"/",""))+IF(ISNUMBER(SEARCH("@",O485)),0,1))</f>
        <v>6</v>
      </c>
      <c r="O485" s="19" t="s">
        <v>2346</v>
      </c>
      <c r="P485" s="19" t="s">
        <v>2347</v>
      </c>
      <c r="Q485" s="20"/>
      <c r="R485" s="20"/>
      <c r="S485" s="19"/>
      <c r="T485" s="20"/>
      <c r="U485" s="20" t="s">
        <v>1663</v>
      </c>
      <c r="V485" s="20" t="s">
        <v>68</v>
      </c>
      <c r="W485" s="20" t="str">
        <f>IF(ISBLANK(O485),"是","否")</f>
        <v>否</v>
      </c>
      <c r="X485" s="20" t="s">
        <v>76</v>
      </c>
      <c r="Y485" s="24">
        <v>191</v>
      </c>
      <c r="Z485" s="25" t="s">
        <v>2344</v>
      </c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</row>
    <row r="486" ht="50.16541353383458" customHeight="1" spans="1:52" x14ac:dyDescent="0.25">
      <c r="A486" s="19" t="s">
        <v>139</v>
      </c>
      <c r="B486" s="20" t="s">
        <v>57</v>
      </c>
      <c r="C486" s="21" t="s">
        <v>2332</v>
      </c>
      <c r="D486" s="22" t="s">
        <v>2333</v>
      </c>
      <c r="E486" s="21" t="s">
        <v>2348</v>
      </c>
      <c r="F486" s="23" t="s">
        <v>2348</v>
      </c>
      <c r="G486" s="20" t="str">
        <f>SUBSTITUTE(SUBSTITUTE(SUBSTITUTE(O486,"/@","_"),"/cac:","_"),"/cbc:","_")</f>
        <v>Invoice_AccountingSupplierParty_Party_Person_IdentityDocumentReference_DocumentTypeCode</v>
      </c>
      <c r="H486" s="19" t="s">
        <v>2349</v>
      </c>
      <c r="I486" s="19"/>
      <c r="J486" s="19" t="s">
        <v>2350</v>
      </c>
      <c r="K486" s="25"/>
      <c r="L486" s="25" t="s">
        <v>85</v>
      </c>
      <c r="M486" s="20" t="s">
        <v>64</v>
      </c>
      <c r="N486" s="26" t="str">
        <f>IF(O486="","",LEN(O486)-LEN(SUBSTITUTE(O486,"/",""))+IF(ISNUMBER(SEARCH("@",O486)),0,1))</f>
        <v>6</v>
      </c>
      <c r="O486" s="19" t="s">
        <v>2351</v>
      </c>
      <c r="P486" s="19" t="s">
        <v>2352</v>
      </c>
      <c r="Q486" s="20"/>
      <c r="R486" s="20"/>
      <c r="S486" s="19"/>
      <c r="T486" s="20"/>
      <c r="U486" s="20" t="s">
        <v>1663</v>
      </c>
      <c r="V486" s="20" t="s">
        <v>68</v>
      </c>
      <c r="W486" s="20" t="str">
        <f>IF(ISBLANK(O486),"是","否")</f>
        <v>否</v>
      </c>
      <c r="X486" s="20" t="s">
        <v>76</v>
      </c>
      <c r="Y486" s="24">
        <v>192</v>
      </c>
      <c r="Z486" s="25" t="s">
        <v>2348</v>
      </c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</row>
    <row r="487" ht="39.879699248120296" customHeight="1" spans="1:52" x14ac:dyDescent="0.25">
      <c r="A487" s="19" t="s">
        <v>402</v>
      </c>
      <c r="B487" s="20" t="s">
        <v>57</v>
      </c>
      <c r="C487" s="21" t="s">
        <v>2332</v>
      </c>
      <c r="D487" s="22" t="s">
        <v>2333</v>
      </c>
      <c r="E487" s="21" t="s">
        <v>2353</v>
      </c>
      <c r="F487" s="23" t="s">
        <v>2353</v>
      </c>
      <c r="G487" s="20" t="str">
        <f>SUBSTITUTE(SUBSTITUTE(SUBSTITUTE(O487,"/@","_"),"/cac:","_"),"/cbc:","_")</f>
        <v>Invoice_AccountingSupplierParty_Party_Person_NationalityID</v>
      </c>
      <c r="H487" s="19" t="s">
        <v>2354</v>
      </c>
      <c r="I487" s="19"/>
      <c r="J487" s="19" t="s">
        <v>2355</v>
      </c>
      <c r="K487" s="24"/>
      <c r="L487" s="25" t="s">
        <v>2275</v>
      </c>
      <c r="M487" s="20" t="s">
        <v>49</v>
      </c>
      <c r="N487" s="26" t="str">
        <f>IF(O487="","",LEN(O487)-LEN(SUBSTITUTE(O487,"/",""))+IF(ISNUMBER(SEARCH("@",O487)),0,1))</f>
        <v>5</v>
      </c>
      <c r="O487" s="19" t="s">
        <v>2356</v>
      </c>
      <c r="P487" s="19" t="s">
        <v>2357</v>
      </c>
      <c r="Q487" s="20"/>
      <c r="R487" s="20"/>
      <c r="S487" s="19"/>
      <c r="T487" s="20"/>
      <c r="U487" s="20" t="s">
        <v>1663</v>
      </c>
      <c r="V487" s="20" t="s">
        <v>68</v>
      </c>
      <c r="W487" s="20" t="str">
        <f>IF(ISBLANK(O487),"是","否")</f>
        <v>否</v>
      </c>
      <c r="X487" s="20" t="s">
        <v>76</v>
      </c>
      <c r="Y487" s="24">
        <v>193</v>
      </c>
      <c r="Z487" s="25" t="s">
        <v>2353</v>
      </c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</row>
    <row r="488" ht="70.73684210526315" customHeight="1" spans="1:52" x14ac:dyDescent="0.25">
      <c r="A488" s="19" t="s">
        <v>139</v>
      </c>
      <c r="B488" s="20" t="s">
        <v>57</v>
      </c>
      <c r="C488" s="21" t="s">
        <v>2332</v>
      </c>
      <c r="D488" s="22" t="s">
        <v>2333</v>
      </c>
      <c r="E488" s="21" t="s">
        <v>2358</v>
      </c>
      <c r="F488" s="23" t="s">
        <v>2358</v>
      </c>
      <c r="G488" s="20" t="str">
        <f>SUBSTITUTE(SUBSTITUTE(SUBSTITUTE(O488,"/@","_"),"/cac:","_"),"/cbc:","_")</f>
        <v>Invoice_AdditionalDocumentReference_ID</v>
      </c>
      <c r="H488" s="19" t="s">
        <v>2359</v>
      </c>
      <c r="I488" s="19"/>
      <c r="J488" s="19" t="s">
        <v>1993</v>
      </c>
      <c r="K488" s="24"/>
      <c r="L488" s="25" t="s">
        <v>2223</v>
      </c>
      <c r="M488" s="20" t="s">
        <v>165</v>
      </c>
      <c r="N488" s="26" t="str">
        <f>IF(O488="","",LEN(O488)-LEN(SUBSTITUTE(O488,"/",""))+IF(ISNUMBER(SEARCH("@",O488)),0,1))</f>
        <v>3</v>
      </c>
      <c r="O488" s="19" t="s">
        <v>173</v>
      </c>
      <c r="P488" s="19" t="s">
        <v>2360</v>
      </c>
      <c r="Q488" s="20"/>
      <c r="R488" s="20"/>
      <c r="S488" s="19"/>
      <c r="T488" s="20"/>
      <c r="U488" s="20" t="s">
        <v>1663</v>
      </c>
      <c r="V488" s="20" t="s">
        <v>68</v>
      </c>
      <c r="W488" s="20" t="str">
        <f>IF(ISBLANK(O488),"是","否")</f>
        <v>否</v>
      </c>
      <c r="X488" s="20" t="s">
        <v>76</v>
      </c>
      <c r="Y488" s="24">
        <v>194</v>
      </c>
      <c r="Z488" s="25" t="s">
        <v>2358</v>
      </c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</row>
    <row r="489" ht="50.16541353383458" customHeight="1" spans="1:52" x14ac:dyDescent="0.25">
      <c r="A489" s="19" t="s">
        <v>316</v>
      </c>
      <c r="B489" s="20" t="s">
        <v>57</v>
      </c>
      <c r="C489" s="21" t="s">
        <v>2332</v>
      </c>
      <c r="D489" s="22" t="s">
        <v>2333</v>
      </c>
      <c r="E489" s="21" t="s">
        <v>2361</v>
      </c>
      <c r="F489" s="23" t="s">
        <v>2361</v>
      </c>
      <c r="G489" s="20" t="str">
        <f>SUBSTITUTE(SUBSTITUTE(SUBSTITUTE(O489,"/@","_"),"/cac:","_"),"/cbc:","_")</f>
        <v>Invoice_AccountingSupplierParty_Party_PostalAddress_AddressLine_Line</v>
      </c>
      <c r="H489" s="19" t="s">
        <v>2362</v>
      </c>
      <c r="I489" s="19"/>
      <c r="J489" s="19" t="s">
        <v>1997</v>
      </c>
      <c r="K489" s="24"/>
      <c r="L489" s="25" t="s">
        <v>927</v>
      </c>
      <c r="M489" s="20" t="s">
        <v>165</v>
      </c>
      <c r="N489" s="26" t="str">
        <f>IF(O489="","",LEN(O489)-LEN(SUBSTITUTE(O489,"/",""))+IF(ISNUMBER(SEARCH("@",O489)),0,1))</f>
        <v>6</v>
      </c>
      <c r="O489" s="19" t="s">
        <v>326</v>
      </c>
      <c r="P489" s="19" t="s">
        <v>2363</v>
      </c>
      <c r="Q489" s="20"/>
      <c r="R489" s="20"/>
      <c r="S489" s="19" t="s">
        <v>327</v>
      </c>
      <c r="T489" s="20"/>
      <c r="U489" s="20" t="s">
        <v>1663</v>
      </c>
      <c r="V489" s="20" t="s">
        <v>68</v>
      </c>
      <c r="W489" s="20" t="str">
        <f>IF(ISBLANK(O489),"是","否")</f>
        <v>否</v>
      </c>
      <c r="X489" s="20" t="s">
        <v>76</v>
      </c>
      <c r="Y489" s="24">
        <v>195</v>
      </c>
      <c r="Z489" s="25" t="s">
        <v>2361</v>
      </c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</row>
    <row r="490" ht="50.16541353383458" customHeight="1" spans="1:52" x14ac:dyDescent="0.25">
      <c r="A490" s="19" t="s">
        <v>344</v>
      </c>
      <c r="B490" s="20" t="s">
        <v>57</v>
      </c>
      <c r="C490" s="21" t="s">
        <v>2332</v>
      </c>
      <c r="D490" s="22" t="s">
        <v>2333</v>
      </c>
      <c r="E490" s="21" t="s">
        <v>2364</v>
      </c>
      <c r="F490" s="23" t="s">
        <v>2364</v>
      </c>
      <c r="G490" s="20" t="str">
        <f>SUBSTITUTE(SUBSTITUTE(SUBSTITUTE(O490,"/@","_"),"/cac:","_"),"/cbc:","_")</f>
        <v>Invoice_AccountingSupplierParty_Party_PartyTaxScheme_CompanyID</v>
      </c>
      <c r="H490" s="19" t="s">
        <v>2365</v>
      </c>
      <c r="I490" s="19" t="s">
        <v>357</v>
      </c>
      <c r="J490" s="19" t="s">
        <v>2366</v>
      </c>
      <c r="K490" s="24"/>
      <c r="L490" s="25" t="s">
        <v>909</v>
      </c>
      <c r="M490" s="20" t="s">
        <v>64</v>
      </c>
      <c r="N490" s="26" t="str">
        <f>IF(O490="","",LEN(O490)-LEN(SUBSTITUTE(O490,"/",""))+IF(ISNUMBER(SEARCH("@",O490)),0,1))</f>
        <v>5</v>
      </c>
      <c r="O490" s="19" t="s">
        <v>359</v>
      </c>
      <c r="P490" s="19" t="s">
        <v>2367</v>
      </c>
      <c r="Q490" s="20"/>
      <c r="R490" s="20"/>
      <c r="S490" s="28">
        <v>3556625</v>
      </c>
      <c r="T490" s="20"/>
      <c r="U490" s="20" t="s">
        <v>1663</v>
      </c>
      <c r="V490" s="20" t="s">
        <v>68</v>
      </c>
      <c r="W490" s="20" t="str">
        <f>IF(ISBLANK(O490),"是","否")</f>
        <v>否</v>
      </c>
      <c r="X490" s="20" t="s">
        <v>76</v>
      </c>
      <c r="Y490" s="24">
        <v>196</v>
      </c>
      <c r="Z490" s="25" t="s">
        <v>2364</v>
      </c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</row>
    <row r="491" ht="39.879699248120296" customHeight="1" spans="1:52" x14ac:dyDescent="0.25">
      <c r="A491" s="19" t="s">
        <v>175</v>
      </c>
      <c r="B491" s="20" t="s">
        <v>57</v>
      </c>
      <c r="C491" s="21" t="s">
        <v>2332</v>
      </c>
      <c r="D491" s="22" t="s">
        <v>2333</v>
      </c>
      <c r="E491" s="21" t="s">
        <v>2368</v>
      </c>
      <c r="F491" s="23" t="s">
        <v>2368</v>
      </c>
      <c r="G491" s="20" t="str">
        <f>SUBSTITUTE(SUBSTITUTE(SUBSTITUTE(O491,"/@","_"),"/cac:","_"),"/cbc:","_")</f>
        <v>Invoice_AccountingSupplierParty_SellerContact_Telephone</v>
      </c>
      <c r="H491" s="19" t="s">
        <v>2369</v>
      </c>
      <c r="I491" s="19"/>
      <c r="J491" s="19" t="s">
        <v>2370</v>
      </c>
      <c r="K491" s="24"/>
      <c r="L491" s="25" t="s">
        <v>927</v>
      </c>
      <c r="M491" s="20" t="s">
        <v>64</v>
      </c>
      <c r="N491" s="26" t="str">
        <f>IF(O491="","",LEN(O491)-LEN(SUBSTITUTE(O491,"/",""))+IF(ISNUMBER(SEARCH("@",O491)),0,1))</f>
        <v>4</v>
      </c>
      <c r="O491" s="19" t="s">
        <v>2371</v>
      </c>
      <c r="P491" s="19" t="s">
        <v>2372</v>
      </c>
      <c r="Q491" s="20"/>
      <c r="R491" s="20"/>
      <c r="S491" s="19"/>
      <c r="T491" s="20"/>
      <c r="U491" s="20" t="s">
        <v>1663</v>
      </c>
      <c r="V491" s="20" t="s">
        <v>68</v>
      </c>
      <c r="W491" s="20" t="str">
        <f>IF(ISBLANK(O491),"是","否")</f>
        <v>否</v>
      </c>
      <c r="X491" s="20" t="s">
        <v>76</v>
      </c>
      <c r="Y491" s="24">
        <v>197</v>
      </c>
      <c r="Z491" s="25" t="s">
        <v>2368</v>
      </c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</row>
    <row r="492" ht="39.879699248120296" customHeight="1" spans="1:52" x14ac:dyDescent="0.25">
      <c r="A492" s="19" t="s">
        <v>188</v>
      </c>
      <c r="B492" s="20" t="s">
        <v>57</v>
      </c>
      <c r="C492" s="21" t="s">
        <v>2332</v>
      </c>
      <c r="D492" s="22" t="s">
        <v>2333</v>
      </c>
      <c r="E492" s="21" t="s">
        <v>2373</v>
      </c>
      <c r="F492" s="23" t="s">
        <v>2373</v>
      </c>
      <c r="G492" s="20" t="str">
        <f>SUBSTITUTE(SUBSTITUTE(SUBSTITUTE(O492,"/@","_"),"/cac:","_"),"/cbc:","_")</f>
        <v>Invoice_AccountingSupplierParty_Party_PartyName_Name</v>
      </c>
      <c r="H492" s="19" t="s">
        <v>2374</v>
      </c>
      <c r="I492" s="19"/>
      <c r="J492" s="19" t="s">
        <v>2375</v>
      </c>
      <c r="K492" s="20"/>
      <c r="L492" s="25" t="s">
        <v>927</v>
      </c>
      <c r="M492" s="20" t="s">
        <v>165</v>
      </c>
      <c r="N492" s="26" t="str">
        <f>IF(O492="","",LEN(O492)-LEN(SUBSTITUTE(O492,"/",""))+IF(ISNUMBER(SEARCH("@",O492)),0,1))</f>
        <v>5</v>
      </c>
      <c r="O492" s="19" t="s">
        <v>276</v>
      </c>
      <c r="P492" s="19" t="s">
        <v>2376</v>
      </c>
      <c r="Q492" s="20"/>
      <c r="R492" s="20"/>
      <c r="S492" s="19" t="s">
        <v>194</v>
      </c>
      <c r="T492" s="20"/>
      <c r="U492" s="20" t="s">
        <v>1663</v>
      </c>
      <c r="V492" s="20" t="s">
        <v>68</v>
      </c>
      <c r="W492" s="20" t="str">
        <f>IF(ISBLANK(O492),"是","否")</f>
        <v>否</v>
      </c>
      <c r="X492" s="20" t="s">
        <v>76</v>
      </c>
      <c r="Y492" s="24">
        <v>198</v>
      </c>
      <c r="Z492" s="25" t="s">
        <v>2373</v>
      </c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</row>
    <row r="493" ht="50.16541353383458" customHeight="1" spans="1:52" x14ac:dyDescent="0.25">
      <c r="A493" s="19" t="s">
        <v>139</v>
      </c>
      <c r="B493" s="20" t="s">
        <v>57</v>
      </c>
      <c r="C493" s="21" t="s">
        <v>2332</v>
      </c>
      <c r="D493" s="22" t="s">
        <v>2333</v>
      </c>
      <c r="E493" s="21" t="s">
        <v>2377</v>
      </c>
      <c r="F493" s="23" t="s">
        <v>2377</v>
      </c>
      <c r="G493" s="20" t="str">
        <f>SUBSTITUTE(SUBSTITUTE(SUBSTITUTE(O493,"/@","_"),"/cac:","_"),"/cbc:","_")</f>
        <v>Invoice_AccountingSupplierParty_Party_Person_IdentityDocumentReference_ID</v>
      </c>
      <c r="H493" s="19" t="s">
        <v>2345</v>
      </c>
      <c r="I493" s="19"/>
      <c r="J493" s="19" t="s">
        <v>1993</v>
      </c>
      <c r="K493" s="20"/>
      <c r="L493" s="25" t="s">
        <v>909</v>
      </c>
      <c r="M493" s="20" t="s">
        <v>165</v>
      </c>
      <c r="N493" s="26" t="str">
        <f>IF(O493="","",LEN(O493)-LEN(SUBSTITUTE(O493,"/",""))+IF(ISNUMBER(SEARCH("@",O493)),0,1))</f>
        <v>6</v>
      </c>
      <c r="O493" s="19" t="s">
        <v>2346</v>
      </c>
      <c r="P493" s="19" t="s">
        <v>2378</v>
      </c>
      <c r="Q493" s="20"/>
      <c r="R493" s="20"/>
      <c r="S493" s="19" t="s">
        <v>2379</v>
      </c>
      <c r="T493" s="20"/>
      <c r="U493" s="20" t="s">
        <v>1663</v>
      </c>
      <c r="V493" s="20" t="s">
        <v>68</v>
      </c>
      <c r="W493" s="20" t="str">
        <f>IF(ISBLANK(O493),"是","否")</f>
        <v>否</v>
      </c>
      <c r="X493" s="20" t="s">
        <v>76</v>
      </c>
      <c r="Y493" s="24">
        <v>199</v>
      </c>
      <c r="Z493" s="25" t="s">
        <v>2377</v>
      </c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</row>
    <row r="494" ht="39.879699248120296" customHeight="1" spans="1:52" x14ac:dyDescent="0.25">
      <c r="A494" s="19" t="s">
        <v>139</v>
      </c>
      <c r="B494" s="20" t="s">
        <v>57</v>
      </c>
      <c r="C494" s="21" t="s">
        <v>2332</v>
      </c>
      <c r="D494" s="22" t="s">
        <v>2333</v>
      </c>
      <c r="E494" s="21" t="s">
        <v>2380</v>
      </c>
      <c r="F494" s="23" t="s">
        <v>2380</v>
      </c>
      <c r="G494" s="20" t="str">
        <f>SUBSTITUTE(SUBSTITUTE(SUBSTITUTE(O494,"/@","_"),"/cac:","_"),"/cbc:","_")</f>
        <v>Invoice_AccountingSupplierParty_Party_Person_IdentityDocumentReference_DocumentTypeCode</v>
      </c>
      <c r="H494" s="19" t="s">
        <v>2349</v>
      </c>
      <c r="I494" s="19"/>
      <c r="J494" s="19" t="s">
        <v>2302</v>
      </c>
      <c r="K494" s="24"/>
      <c r="L494" s="25" t="s">
        <v>85</v>
      </c>
      <c r="M494" s="20" t="s">
        <v>64</v>
      </c>
      <c r="N494" s="26" t="str">
        <f>IF(O494="","",LEN(O494)-LEN(SUBSTITUTE(O494,"/",""))+IF(ISNUMBER(SEARCH("@",O494)),0,1))</f>
        <v>6</v>
      </c>
      <c r="O494" s="19" t="s">
        <v>2351</v>
      </c>
      <c r="P494" s="19" t="s">
        <v>2381</v>
      </c>
      <c r="Q494" s="20"/>
      <c r="R494" s="20"/>
      <c r="S494" s="19" t="s">
        <v>2382</v>
      </c>
      <c r="T494" s="20"/>
      <c r="U494" s="20" t="s">
        <v>1663</v>
      </c>
      <c r="V494" s="20" t="s">
        <v>68</v>
      </c>
      <c r="W494" s="20" t="str">
        <f>IF(ISBLANK(O494),"是","否")</f>
        <v>否</v>
      </c>
      <c r="X494" s="20" t="s">
        <v>76</v>
      </c>
      <c r="Y494" s="24">
        <v>200</v>
      </c>
      <c r="Z494" s="25" t="s">
        <v>2380</v>
      </c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</row>
    <row r="495" ht="29.59398496240601" customHeight="1" spans="1:52" x14ac:dyDescent="0.25">
      <c r="A495" s="19" t="s">
        <v>402</v>
      </c>
      <c r="B495" s="20" t="s">
        <v>57</v>
      </c>
      <c r="C495" s="21" t="s">
        <v>2332</v>
      </c>
      <c r="D495" s="22" t="s">
        <v>2333</v>
      </c>
      <c r="E495" s="21" t="s">
        <v>2383</v>
      </c>
      <c r="F495" s="23" t="s">
        <v>2383</v>
      </c>
      <c r="G495" s="20" t="str">
        <f>SUBSTITUTE(SUBSTITUTE(SUBSTITUTE(O495,"/@","_"),"/cac:","_"),"/cbc:","_")</f>
        <v>Invoice_AccountingSupplierParty_Party_Person_NationalityID</v>
      </c>
      <c r="H495" s="19" t="s">
        <v>2354</v>
      </c>
      <c r="I495" s="19"/>
      <c r="J495" s="19" t="s">
        <v>2384</v>
      </c>
      <c r="K495" s="24"/>
      <c r="L495" s="25" t="s">
        <v>2275</v>
      </c>
      <c r="M495" s="20" t="s">
        <v>64</v>
      </c>
      <c r="N495" s="26" t="str">
        <f>IF(O495="","",LEN(O495)-LEN(SUBSTITUTE(O495,"/",""))+IF(ISNUMBER(SEARCH("@",O495)),0,1))</f>
        <v>5</v>
      </c>
      <c r="O495" s="19" t="s">
        <v>2356</v>
      </c>
      <c r="P495" s="19" t="s">
        <v>2385</v>
      </c>
      <c r="Q495" s="20"/>
      <c r="R495" s="20"/>
      <c r="S495" s="19"/>
      <c r="T495" s="20"/>
      <c r="U495" s="20" t="s">
        <v>1663</v>
      </c>
      <c r="V495" s="20" t="s">
        <v>68</v>
      </c>
      <c r="W495" s="20" t="str">
        <f>IF(ISBLANK(O495),"是","否")</f>
        <v>否</v>
      </c>
      <c r="X495" s="20" t="s">
        <v>76</v>
      </c>
      <c r="Y495" s="24">
        <v>201</v>
      </c>
      <c r="Z495" s="25" t="s">
        <v>2383</v>
      </c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</row>
    <row r="496" ht="39.879699248120296" customHeight="1" spans="1:52" x14ac:dyDescent="0.25">
      <c r="A496" s="19" t="s">
        <v>41</v>
      </c>
      <c r="B496" s="20" t="s">
        <v>57</v>
      </c>
      <c r="C496" s="21" t="s">
        <v>2332</v>
      </c>
      <c r="D496" s="22" t="s">
        <v>2333</v>
      </c>
      <c r="E496" s="21" t="s">
        <v>2007</v>
      </c>
      <c r="F496" s="23" t="s">
        <v>2007</v>
      </c>
      <c r="G496" s="20" t="str">
        <f>SUBSTITUTE(SUBSTITUTE(SUBSTITUTE(O496,"/@","_"),"/cac:","_"),"/cbc:","_")</f>
        <v>Invoice_UUID</v>
      </c>
      <c r="H496" s="19" t="s">
        <v>1314</v>
      </c>
      <c r="I496" s="19"/>
      <c r="J496" s="19" t="s">
        <v>2008</v>
      </c>
      <c r="K496" s="24"/>
      <c r="L496" s="25" t="s">
        <v>72</v>
      </c>
      <c r="M496" s="20" t="s">
        <v>64</v>
      </c>
      <c r="N496" s="26" t="str">
        <f>IF(O496="","",LEN(O496)-LEN(SUBSTITUTE(O496,"/",""))+IF(ISNUMBER(SEARCH("@",O496)),0,1))</f>
        <v>2</v>
      </c>
      <c r="O496" s="19" t="s">
        <v>65</v>
      </c>
      <c r="P496" s="19" t="s">
        <v>2386</v>
      </c>
      <c r="Q496" s="20"/>
      <c r="R496" s="20"/>
      <c r="S496" s="19"/>
      <c r="T496" s="20"/>
      <c r="U496" s="20" t="s">
        <v>1663</v>
      </c>
      <c r="V496" s="20" t="s">
        <v>68</v>
      </c>
      <c r="W496" s="20" t="str">
        <f>IF(ISBLANK(O496),"是","否")</f>
        <v>否</v>
      </c>
      <c r="X496" s="20" t="s">
        <v>76</v>
      </c>
      <c r="Y496" s="24">
        <v>202</v>
      </c>
      <c r="Z496" s="25" t="s">
        <v>2007</v>
      </c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</row>
    <row r="497" ht="50.16541353383458" customHeight="1" spans="1:52" x14ac:dyDescent="0.25">
      <c r="A497" s="27"/>
      <c r="B497" s="20" t="s">
        <v>57</v>
      </c>
      <c r="C497" s="21" t="s">
        <v>2332</v>
      </c>
      <c r="D497" s="22" t="s">
        <v>2333</v>
      </c>
      <c r="E497" s="21" t="s">
        <v>2387</v>
      </c>
      <c r="F497" s="23" t="s">
        <v>2387</v>
      </c>
      <c r="G497" s="20" t="str">
        <f>SUBSTITUTE(SUBSTITUTE(SUBSTITUTE(O497,"/@","_"),"/cac:","_"),"/cbc:","_")</f>
        <v/>
      </c>
      <c r="H497" s="19" t="s">
        <v>2388</v>
      </c>
      <c r="I497" s="19"/>
      <c r="J497" s="19"/>
      <c r="K497" s="24"/>
      <c r="L497" s="25" t="s">
        <v>927</v>
      </c>
      <c r="M497" s="20"/>
      <c r="N497" s="26" t="str">
        <f>IF(O497="","",LEN(O497)-LEN(SUBSTITUTE(O497,"/",""))+IF(ISNUMBER(SEARCH("@",O497)),0,1))</f>
        <v/>
      </c>
      <c r="O497" s="19"/>
      <c r="P497" s="19" t="s">
        <v>2389</v>
      </c>
      <c r="Q497" s="20"/>
      <c r="R497" s="20"/>
      <c r="S497" s="19"/>
      <c r="T497" s="20"/>
      <c r="U497" s="20" t="s">
        <v>1663</v>
      </c>
      <c r="V497" s="20"/>
      <c r="W497" s="20" t="str">
        <f>IF(ISBLANK(O497),"是","否")</f>
        <v>是</v>
      </c>
      <c r="X497" s="20" t="s">
        <v>76</v>
      </c>
      <c r="Y497" s="24">
        <v>203</v>
      </c>
      <c r="Z497" s="25" t="s">
        <v>2387</v>
      </c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</row>
    <row r="498" ht="39.879699248120296" customHeight="1" spans="1:52" x14ac:dyDescent="0.25">
      <c r="A498" s="19" t="s">
        <v>230</v>
      </c>
      <c r="B498" s="20" t="s">
        <v>57</v>
      </c>
      <c r="C498" s="21" t="s">
        <v>2332</v>
      </c>
      <c r="D498" s="22" t="s">
        <v>2333</v>
      </c>
      <c r="E498" s="21" t="s">
        <v>2390</v>
      </c>
      <c r="F498" s="23" t="s">
        <v>2390</v>
      </c>
      <c r="G498" s="20" t="str">
        <f>SUBSTITUTE(SUBSTITUTE(SUBSTITUTE(O498,"/@","_"),"/cac:","_"),"/cbc:","_")</f>
        <v>Invoice_AccountingSupplierParty_Party_IndustryClassificationCode</v>
      </c>
      <c r="H498" s="19" t="s">
        <v>2391</v>
      </c>
      <c r="I498" s="19"/>
      <c r="J498" s="19" t="s">
        <v>2392</v>
      </c>
      <c r="K498" s="24"/>
      <c r="L498" s="25" t="s">
        <v>1939</v>
      </c>
      <c r="M498" s="20" t="s">
        <v>64</v>
      </c>
      <c r="N498" s="26" t="str">
        <f>IF(O498="","",LEN(O498)-LEN(SUBSTITUTE(O498,"/",""))+IF(ISNUMBER(SEARCH("@",O498)),0,1))</f>
        <v>4</v>
      </c>
      <c r="O498" s="19" t="s">
        <v>249</v>
      </c>
      <c r="P498" s="19" t="s">
        <v>2393</v>
      </c>
      <c r="Q498" s="20"/>
      <c r="R498" s="20"/>
      <c r="S498" s="19" t="s">
        <v>2394</v>
      </c>
      <c r="T498" s="20"/>
      <c r="U498" s="20" t="s">
        <v>1663</v>
      </c>
      <c r="V498" s="20" t="s">
        <v>68</v>
      </c>
      <c r="W498" s="20" t="str">
        <f>IF(ISBLANK(O498),"是","否")</f>
        <v>否</v>
      </c>
      <c r="X498" s="20" t="s">
        <v>76</v>
      </c>
      <c r="Y498" s="24">
        <v>204</v>
      </c>
      <c r="Z498" s="25" t="s">
        <v>2390</v>
      </c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</row>
    <row r="499" ht="60.45112781954887" customHeight="1" spans="1:52" x14ac:dyDescent="0.25">
      <c r="A499" s="19" t="s">
        <v>139</v>
      </c>
      <c r="B499" s="20" t="s">
        <v>57</v>
      </c>
      <c r="C499" s="21" t="s">
        <v>2395</v>
      </c>
      <c r="D499" s="22" t="s">
        <v>2396</v>
      </c>
      <c r="E499" s="21" t="s">
        <v>2397</v>
      </c>
      <c r="F499" s="23" t="s">
        <v>2397</v>
      </c>
      <c r="G499" s="20" t="str">
        <f>SUBSTITUTE(SUBSTITUTE(SUBSTITUTE(O499,"/@","_"),"/cac:","_"),"/cbc:","_")</f>
        <v>Invoice_AccountingSupplierParty_Party_AgentParty_Person_IdentityDocumentReference_ID</v>
      </c>
      <c r="H499" s="19" t="s">
        <v>2398</v>
      </c>
      <c r="I499" s="19"/>
      <c r="J499" s="19" t="s">
        <v>1993</v>
      </c>
      <c r="K499" s="25"/>
      <c r="L499" s="25" t="s">
        <v>2024</v>
      </c>
      <c r="M499" s="20" t="s">
        <v>165</v>
      </c>
      <c r="N499" s="26" t="str">
        <f>IF(O499="","",LEN(O499)-LEN(SUBSTITUTE(O499,"/",""))+IF(ISNUMBER(SEARCH("@",O499)),0,1))</f>
        <v>7</v>
      </c>
      <c r="O499" s="19" t="s">
        <v>2399</v>
      </c>
      <c r="P499" s="19" t="s">
        <v>2400</v>
      </c>
      <c r="Q499" s="20"/>
      <c r="R499" s="25"/>
      <c r="S499" s="19" t="s">
        <v>138</v>
      </c>
      <c r="T499" s="20"/>
      <c r="U499" s="20" t="s">
        <v>1663</v>
      </c>
      <c r="V499" s="20" t="s">
        <v>68</v>
      </c>
      <c r="W499" s="20" t="str">
        <f>IF(ISBLANK(O499),"是","否")</f>
        <v>否</v>
      </c>
      <c r="X499" s="20" t="s">
        <v>76</v>
      </c>
      <c r="Y499" s="24">
        <v>205</v>
      </c>
      <c r="Z499" s="25" t="s">
        <v>2397</v>
      </c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</row>
    <row r="500" ht="50.16541353383458" customHeight="1" spans="1:52" x14ac:dyDescent="0.25">
      <c r="A500" s="19" t="s">
        <v>139</v>
      </c>
      <c r="B500" s="20" t="s">
        <v>57</v>
      </c>
      <c r="C500" s="21" t="s">
        <v>2395</v>
      </c>
      <c r="D500" s="22" t="s">
        <v>2396</v>
      </c>
      <c r="E500" s="21" t="s">
        <v>2401</v>
      </c>
      <c r="F500" s="23" t="s">
        <v>2401</v>
      </c>
      <c r="G500" s="20" t="str">
        <f>SUBSTITUTE(SUBSTITUTE(SUBSTITUTE(O500,"/@","_"),"/cac:","_"),"/cbc:","_")</f>
        <v>Invoice_AccountingSupplierParty_Party_AgentParty_Person_IdentityDocumentReference_DocumentTypeCode</v>
      </c>
      <c r="H500" s="19" t="s">
        <v>2402</v>
      </c>
      <c r="I500" s="19"/>
      <c r="J500" s="19" t="s">
        <v>2302</v>
      </c>
      <c r="K500" s="24"/>
      <c r="L500" s="25" t="s">
        <v>2403</v>
      </c>
      <c r="M500" s="20" t="s">
        <v>64</v>
      </c>
      <c r="N500" s="26" t="str">
        <f>IF(O500="","",LEN(O500)-LEN(SUBSTITUTE(O500,"/",""))+IF(ISNUMBER(SEARCH("@",O500)),0,1))</f>
        <v>7</v>
      </c>
      <c r="O500" s="19" t="s">
        <v>2404</v>
      </c>
      <c r="P500" s="19" t="s">
        <v>2405</v>
      </c>
      <c r="Q500" s="20"/>
      <c r="R500" s="20"/>
      <c r="S500" s="19"/>
      <c r="T500" s="20"/>
      <c r="U500" s="20" t="s">
        <v>1663</v>
      </c>
      <c r="V500" s="20" t="s">
        <v>68</v>
      </c>
      <c r="W500" s="20" t="str">
        <f>IF(ISBLANK(O500),"是","否")</f>
        <v>否</v>
      </c>
      <c r="X500" s="20" t="s">
        <v>76</v>
      </c>
      <c r="Y500" s="24">
        <v>206</v>
      </c>
      <c r="Z500" s="25" t="s">
        <v>2401</v>
      </c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</row>
    <row r="501" ht="29.59398496240601" customHeight="1" spans="1:52" x14ac:dyDescent="0.25">
      <c r="A501" s="19" t="s">
        <v>402</v>
      </c>
      <c r="B501" s="20" t="s">
        <v>57</v>
      </c>
      <c r="C501" s="21" t="s">
        <v>2395</v>
      </c>
      <c r="D501" s="22" t="s">
        <v>2396</v>
      </c>
      <c r="E501" s="21" t="s">
        <v>2406</v>
      </c>
      <c r="F501" s="23" t="s">
        <v>2406</v>
      </c>
      <c r="G501" s="20" t="str">
        <f>SUBSTITUTE(SUBSTITUTE(SUBSTITUTE(O501,"/@","_"),"/cac:","_"),"/cbc:","_")</f>
        <v>Invoice_AccountingSupplierParty_Party_Person_NationalityID</v>
      </c>
      <c r="H501" s="19" t="s">
        <v>2407</v>
      </c>
      <c r="I501" s="19"/>
      <c r="J501" s="19" t="s">
        <v>2408</v>
      </c>
      <c r="K501" s="20"/>
      <c r="L501" s="25" t="s">
        <v>2403</v>
      </c>
      <c r="M501" s="20" t="s">
        <v>64</v>
      </c>
      <c r="N501" s="26" t="str">
        <f>IF(O501="","",LEN(O501)-LEN(SUBSTITUTE(O501,"/",""))+IF(ISNUMBER(SEARCH("@",O501)),0,1))</f>
        <v>5</v>
      </c>
      <c r="O501" s="19" t="s">
        <v>2356</v>
      </c>
      <c r="P501" s="19" t="s">
        <v>2409</v>
      </c>
      <c r="Q501" s="20"/>
      <c r="R501" s="20"/>
      <c r="S501" s="19"/>
      <c r="T501" s="20"/>
      <c r="U501" s="20" t="s">
        <v>1663</v>
      </c>
      <c r="V501" s="20" t="s">
        <v>68</v>
      </c>
      <c r="W501" s="20" t="str">
        <f>IF(ISBLANK(O501),"是","否")</f>
        <v>否</v>
      </c>
      <c r="X501" s="20" t="s">
        <v>76</v>
      </c>
      <c r="Y501" s="24">
        <v>207</v>
      </c>
      <c r="Z501" s="25" t="s">
        <v>2406</v>
      </c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</row>
    <row r="502" ht="50.16541353383458" customHeight="1" spans="1:52" x14ac:dyDescent="0.25">
      <c r="A502" s="19" t="s">
        <v>344</v>
      </c>
      <c r="B502" s="20" t="s">
        <v>57</v>
      </c>
      <c r="C502" s="21" t="s">
        <v>2395</v>
      </c>
      <c r="D502" s="22" t="s">
        <v>2396</v>
      </c>
      <c r="E502" s="21" t="s">
        <v>2410</v>
      </c>
      <c r="F502" s="23" t="s">
        <v>2410</v>
      </c>
      <c r="G502" s="20" t="str">
        <f>SUBSTITUTE(SUBSTITUTE(SUBSTITUTE(O502,"/@","_"),"/cac:","_"),"/cbc:","_")</f>
        <v>Invoice_AccountingSupplierParty_Party_PartyTaxScheme_CompanyID</v>
      </c>
      <c r="H502" s="19" t="s">
        <v>2411</v>
      </c>
      <c r="I502" s="19" t="s">
        <v>357</v>
      </c>
      <c r="J502" s="19" t="s">
        <v>2366</v>
      </c>
      <c r="K502" s="20"/>
      <c r="L502" s="25" t="s">
        <v>164</v>
      </c>
      <c r="M502" s="20" t="s">
        <v>64</v>
      </c>
      <c r="N502" s="26" t="str">
        <f>IF(O502="","",LEN(O502)-LEN(SUBSTITUTE(O502,"/",""))+IF(ISNUMBER(SEARCH("@",O502)),0,1))</f>
        <v>5</v>
      </c>
      <c r="O502" s="19" t="s">
        <v>359</v>
      </c>
      <c r="P502" s="19" t="s">
        <v>2412</v>
      </c>
      <c r="Q502" s="20"/>
      <c r="R502" s="20"/>
      <c r="S502" s="28">
        <v>3556625</v>
      </c>
      <c r="T502" s="20"/>
      <c r="U502" s="20" t="s">
        <v>1663</v>
      </c>
      <c r="V502" s="20" t="s">
        <v>68</v>
      </c>
      <c r="W502" s="20" t="str">
        <f>IF(ISBLANK(O502),"是","否")</f>
        <v>否</v>
      </c>
      <c r="X502" s="20" t="s">
        <v>76</v>
      </c>
      <c r="Y502" s="24">
        <v>208</v>
      </c>
      <c r="Z502" s="25" t="s">
        <v>2410</v>
      </c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</row>
    <row r="503" ht="39.879699248120296" customHeight="1" spans="1:52" x14ac:dyDescent="0.25">
      <c r="A503" s="19" t="s">
        <v>402</v>
      </c>
      <c r="B503" s="20" t="s">
        <v>57</v>
      </c>
      <c r="C503" s="21" t="s">
        <v>2395</v>
      </c>
      <c r="D503" s="22" t="s">
        <v>2396</v>
      </c>
      <c r="E503" s="21" t="s">
        <v>2413</v>
      </c>
      <c r="F503" s="23" t="s">
        <v>2413</v>
      </c>
      <c r="G503" s="20" t="str">
        <f>SUBSTITUTE(SUBSTITUTE(SUBSTITUTE(O503,"/@","_"),"/cac:","_"),"/cbc:","_")</f>
        <v>Invoice_AccountingSupplierParty_Party_Person_FirstName</v>
      </c>
      <c r="H503" s="19" t="s">
        <v>2414</v>
      </c>
      <c r="I503" s="19"/>
      <c r="J503" s="19" t="s">
        <v>2415</v>
      </c>
      <c r="K503" s="24"/>
      <c r="L503" s="25" t="s">
        <v>2416</v>
      </c>
      <c r="M503" s="20" t="s">
        <v>64</v>
      </c>
      <c r="N503" s="26" t="str">
        <f>IF(O503="","",LEN(O503)-LEN(SUBSTITUTE(O503,"/",""))+IF(ISNUMBER(SEARCH("@",O503)),0,1))</f>
        <v>5</v>
      </c>
      <c r="O503" s="19" t="s">
        <v>411</v>
      </c>
      <c r="P503" s="19" t="s">
        <v>2417</v>
      </c>
      <c r="Q503" s="20"/>
      <c r="R503" s="20"/>
      <c r="S503" s="19"/>
      <c r="T503" s="20"/>
      <c r="U503" s="20" t="s">
        <v>1663</v>
      </c>
      <c r="V503" s="20" t="s">
        <v>68</v>
      </c>
      <c r="W503" s="20" t="str">
        <f>IF(ISBLANK(O503),"是","否")</f>
        <v>否</v>
      </c>
      <c r="X503" s="20" t="s">
        <v>76</v>
      </c>
      <c r="Y503" s="24">
        <v>209</v>
      </c>
      <c r="Z503" s="25" t="s">
        <v>2413</v>
      </c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</row>
    <row r="504" ht="29.59398496240601" customHeight="1" spans="1:52" x14ac:dyDescent="0.25">
      <c r="A504" s="19" t="s">
        <v>41</v>
      </c>
      <c r="B504" s="20" t="s">
        <v>57</v>
      </c>
      <c r="C504" s="41"/>
      <c r="D504" s="22"/>
      <c r="E504" s="21" t="s">
        <v>2418</v>
      </c>
      <c r="F504" s="29" t="s">
        <v>2418</v>
      </c>
      <c r="G504" s="20" t="str">
        <f>SUBSTITUTE(SUBSTITUTE(SUBSTITUTE(O504,"/@","_"),"/cac:","_"),"/cbc:","_")</f>
        <v>Invoice_Delivery</v>
      </c>
      <c r="H504" s="19" t="s">
        <v>2419</v>
      </c>
      <c r="I504" s="25" t="s">
        <v>2420</v>
      </c>
      <c r="J504" s="25" t="s">
        <v>2421</v>
      </c>
      <c r="K504" s="25" t="s">
        <v>2422</v>
      </c>
      <c r="L504" s="25" t="s">
        <v>220</v>
      </c>
      <c r="M504" s="25" t="s">
        <v>49</v>
      </c>
      <c r="N504" s="26" t="str">
        <f>IF(O504="","",LEN(O504)-LEN(SUBSTITUTE(O504,"/",""))+IF(ISNUMBER(SEARCH("@",O504)),0,1))</f>
        <v>2</v>
      </c>
      <c r="O504" s="26" t="s">
        <v>2423</v>
      </c>
      <c r="P504" s="20"/>
      <c r="Q504" s="20"/>
      <c r="R504" s="20"/>
      <c r="S504" s="25" t="s">
        <v>681</v>
      </c>
      <c r="T504" s="20"/>
      <c r="U504" s="25" t="s">
        <v>1663</v>
      </c>
      <c r="V504" s="25" t="s">
        <v>222</v>
      </c>
      <c r="W504" s="20" t="str">
        <f>IF(ISBLANK(O504),"是","否")</f>
        <v>否</v>
      </c>
      <c r="X504" s="20"/>
      <c r="Y504" s="25"/>
      <c r="Z504" s="25"/>
      <c r="AA504" s="20"/>
      <c r="AB504" s="20"/>
      <c r="AC504" s="20" t="s">
        <v>76</v>
      </c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</row>
    <row r="505" ht="39.879699248120296" customHeight="1" spans="1:52" x14ac:dyDescent="0.25">
      <c r="A505" s="19" t="s">
        <v>2418</v>
      </c>
      <c r="B505" s="20" t="s">
        <v>57</v>
      </c>
      <c r="C505" s="21"/>
      <c r="D505" s="22"/>
      <c r="E505" s="21" t="s">
        <v>2424</v>
      </c>
      <c r="F505" s="29" t="s">
        <v>2425</v>
      </c>
      <c r="G505" s="20" t="str">
        <f>SUBSTITUTE(SUBSTITUTE(SUBSTITUTE(O505,"/@","_"),"/cac:","_"),"/cbc:","_")</f>
        <v>Invoice_Delivery_ActualDeliveryDate</v>
      </c>
      <c r="H505" s="19" t="s">
        <v>2426</v>
      </c>
      <c r="I505" s="25" t="s">
        <v>2427</v>
      </c>
      <c r="J505" s="25" t="s">
        <v>2428</v>
      </c>
      <c r="K505" s="25" t="s">
        <v>2429</v>
      </c>
      <c r="L505" s="25" t="s">
        <v>1016</v>
      </c>
      <c r="M505" s="25" t="s">
        <v>64</v>
      </c>
      <c r="N505" s="26" t="str">
        <f>IF(O505="","",LEN(O505)-LEN(SUBSTITUTE(O505,"/",""))+IF(ISNUMBER(SEARCH("@",O505)),0,1))</f>
        <v>3</v>
      </c>
      <c r="O505" s="26" t="s">
        <v>2430</v>
      </c>
      <c r="P505" s="20"/>
      <c r="Q505" s="20"/>
      <c r="R505" s="20"/>
      <c r="S505" s="20" t="s">
        <v>2431</v>
      </c>
      <c r="T505" s="20"/>
      <c r="U505" s="25" t="s">
        <v>1663</v>
      </c>
      <c r="V505" s="25" t="s">
        <v>68</v>
      </c>
      <c r="W505" s="20" t="str">
        <f>IF(ISBLANK(O505),"是","否")</f>
        <v>否</v>
      </c>
      <c r="X505" s="20"/>
      <c r="Y505" s="25"/>
      <c r="Z505" s="25"/>
      <c r="AA505" s="20"/>
      <c r="AB505" s="20"/>
      <c r="AC505" s="20" t="s">
        <v>76</v>
      </c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</row>
    <row r="506" ht="29.59398496240601" customHeight="1" spans="1:52" x14ac:dyDescent="0.25">
      <c r="A506" s="19" t="s">
        <v>2418</v>
      </c>
      <c r="B506" s="20" t="s">
        <v>57</v>
      </c>
      <c r="C506" s="21"/>
      <c r="D506" s="22"/>
      <c r="E506" s="21" t="s">
        <v>2432</v>
      </c>
      <c r="F506" s="29" t="s">
        <v>2433</v>
      </c>
      <c r="G506" s="20" t="str">
        <f>SUBSTITUTE(SUBSTITUTE(SUBSTITUTE(O506,"/@","_"),"/cac:","_"),"/cbc:","_")</f>
        <v>Invoice_Delivery_LatestDeliveryDate</v>
      </c>
      <c r="H506" s="19" t="s">
        <v>2434</v>
      </c>
      <c r="I506" s="25" t="s">
        <v>2435</v>
      </c>
      <c r="J506" s="25" t="s">
        <v>2436</v>
      </c>
      <c r="K506" s="25" t="s">
        <v>1571</v>
      </c>
      <c r="L506" s="25" t="s">
        <v>1016</v>
      </c>
      <c r="M506" s="25" t="s">
        <v>64</v>
      </c>
      <c r="N506" s="26" t="str">
        <f>IF(O506="","",LEN(O506)-LEN(SUBSTITUTE(O506,"/",""))+IF(ISNUMBER(SEARCH("@",O506)),0,1))</f>
        <v>3</v>
      </c>
      <c r="O506" s="26" t="s">
        <v>2437</v>
      </c>
      <c r="P506" s="20"/>
      <c r="Q506" s="20"/>
      <c r="R506" s="20"/>
      <c r="S506" s="20" t="s">
        <v>2438</v>
      </c>
      <c r="T506" s="20"/>
      <c r="U506" s="25" t="s">
        <v>1663</v>
      </c>
      <c r="V506" s="25" t="s">
        <v>68</v>
      </c>
      <c r="W506" s="20" t="str">
        <f>IF(ISBLANK(O506),"是","否")</f>
        <v>否</v>
      </c>
      <c r="X506" s="20"/>
      <c r="Y506" s="25"/>
      <c r="Z506" s="25"/>
      <c r="AA506" s="20"/>
      <c r="AB506" s="20"/>
      <c r="AC506" s="20" t="s">
        <v>76</v>
      </c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</row>
    <row r="507" ht="29.59398496240601" customHeight="1" spans="1:52" x14ac:dyDescent="0.25">
      <c r="A507" s="19" t="s">
        <v>2439</v>
      </c>
      <c r="B507" s="20" t="s">
        <v>57</v>
      </c>
      <c r="C507" s="21"/>
      <c r="D507" s="22"/>
      <c r="E507" s="21" t="s">
        <v>2440</v>
      </c>
      <c r="F507" s="29" t="s">
        <v>2441</v>
      </c>
      <c r="G507" s="20" t="str">
        <f>SUBSTITUTE(SUBSTITUTE(SUBSTITUTE(O507,"/@","_"),"/cac:","_"),"/cbc:","_")</f>
        <v>Invoice_Delivery_DeliveryLocation_ID</v>
      </c>
      <c r="H507" s="19" t="s">
        <v>2442</v>
      </c>
      <c r="I507" s="25" t="s">
        <v>2443</v>
      </c>
      <c r="J507" s="25" t="s">
        <v>2444</v>
      </c>
      <c r="K507" s="25" t="s">
        <v>2445</v>
      </c>
      <c r="L507" s="25" t="s">
        <v>228</v>
      </c>
      <c r="M507" s="25" t="s">
        <v>64</v>
      </c>
      <c r="N507" s="26" t="str">
        <f>IF(O507="","",LEN(O507)-LEN(SUBSTITUTE(O507,"/",""))+IF(ISNUMBER(SEARCH("@",O507)),0,1))</f>
        <v>4</v>
      </c>
      <c r="O507" s="26" t="s">
        <v>2446</v>
      </c>
      <c r="P507" s="20"/>
      <c r="Q507" s="20"/>
      <c r="R507" s="20"/>
      <c r="S507" s="25">
        <v>5790000000000</v>
      </c>
      <c r="T507" s="20"/>
      <c r="U507" s="25" t="s">
        <v>1663</v>
      </c>
      <c r="V507" s="25" t="s">
        <v>68</v>
      </c>
      <c r="W507" s="20" t="str">
        <f>IF(ISBLANK(O507),"是","否")</f>
        <v>否</v>
      </c>
      <c r="X507" s="20"/>
      <c r="Y507" s="25"/>
      <c r="Z507" s="25"/>
      <c r="AA507" s="20"/>
      <c r="AB507" s="20"/>
      <c r="AC507" s="20" t="s">
        <v>76</v>
      </c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</row>
    <row r="508" ht="39.879699248120296" customHeight="1" spans="1:52" x14ac:dyDescent="0.25">
      <c r="A508" s="19" t="s">
        <v>2439</v>
      </c>
      <c r="B508" s="20" t="s">
        <v>57</v>
      </c>
      <c r="C508" s="21"/>
      <c r="D508" s="22"/>
      <c r="E508" s="21" t="s">
        <v>2447</v>
      </c>
      <c r="F508" s="29" t="s">
        <v>2448</v>
      </c>
      <c r="G508" s="20" t="str">
        <f>SUBSTITUTE(SUBSTITUTE(SUBSTITUTE(O508,"/@","_"),"/cac:","_"),"/cbc:","_")</f>
        <v>Invoice_Delivery_DeliveryLocation_ID_schemeID</v>
      </c>
      <c r="H508" s="19" t="s">
        <v>2449</v>
      </c>
      <c r="I508" s="25" t="s">
        <v>2450</v>
      </c>
      <c r="J508" s="25" t="s">
        <v>2451</v>
      </c>
      <c r="K508" s="25" t="s">
        <v>2452</v>
      </c>
      <c r="L508" s="25" t="s">
        <v>1661</v>
      </c>
      <c r="M508" s="25" t="s">
        <v>64</v>
      </c>
      <c r="N508" s="26" t="str">
        <f>IF(O508="","",LEN(O508)-LEN(SUBSTITUTE(O508,"/",""))+IF(ISNUMBER(SEARCH("@",O508)),0,1))</f>
        <v>4</v>
      </c>
      <c r="O508" s="26" t="s">
        <v>2453</v>
      </c>
      <c r="P508" s="20"/>
      <c r="Q508" s="20"/>
      <c r="R508" s="20"/>
      <c r="S508" s="25">
        <v>88</v>
      </c>
      <c r="T508" s="20"/>
      <c r="U508" s="25" t="s">
        <v>1663</v>
      </c>
      <c r="V508" s="25" t="s">
        <v>68</v>
      </c>
      <c r="W508" s="20" t="str">
        <f>IF(ISBLANK(O508),"是","否")</f>
        <v>否</v>
      </c>
      <c r="X508" s="20"/>
      <c r="Y508" s="25"/>
      <c r="Z508" s="25"/>
      <c r="AA508" s="20"/>
      <c r="AB508" s="20"/>
      <c r="AC508" s="20" t="s">
        <v>76</v>
      </c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</row>
    <row r="509" ht="29.59398496240601" customHeight="1" spans="1:52" x14ac:dyDescent="0.25">
      <c r="A509" s="19" t="s">
        <v>2439</v>
      </c>
      <c r="B509" s="20" t="s">
        <v>57</v>
      </c>
      <c r="C509" s="21"/>
      <c r="D509" s="22"/>
      <c r="E509" s="21" t="s">
        <v>2454</v>
      </c>
      <c r="F509" s="29" t="s">
        <v>2455</v>
      </c>
      <c r="G509" s="20" t="str">
        <f>SUBSTITUTE(SUBSTITUTE(SUBSTITUTE(O509,"/@","_"),"/cac:","_"),"/cbc:","_")</f>
        <v>Invoice_Delivery_DeliveryLocation_Description</v>
      </c>
      <c r="H509" s="19" t="s">
        <v>2456</v>
      </c>
      <c r="I509" s="25" t="s">
        <v>2457</v>
      </c>
      <c r="J509" s="25" t="s">
        <v>2458</v>
      </c>
      <c r="K509" s="25" t="s">
        <v>2459</v>
      </c>
      <c r="L509" s="25" t="s">
        <v>228</v>
      </c>
      <c r="M509" s="25" t="s">
        <v>64</v>
      </c>
      <c r="N509" s="26" t="str">
        <f>IF(O509="","",LEN(O509)-LEN(SUBSTITUTE(O509,"/",""))+IF(ISNUMBER(SEARCH("@",O509)),0,1))</f>
        <v>4</v>
      </c>
      <c r="O509" s="26" t="s">
        <v>2460</v>
      </c>
      <c r="P509" s="20"/>
      <c r="Q509" s="20"/>
      <c r="R509" s="20"/>
      <c r="S509" s="25" t="s">
        <v>2461</v>
      </c>
      <c r="T509" s="20"/>
      <c r="U509" s="25" t="s">
        <v>1663</v>
      </c>
      <c r="V509" s="25" t="s">
        <v>68</v>
      </c>
      <c r="W509" s="20" t="str">
        <f>IF(ISBLANK(O509),"是","否")</f>
        <v>否</v>
      </c>
      <c r="X509" s="20"/>
      <c r="Y509" s="25"/>
      <c r="Z509" s="25"/>
      <c r="AA509" s="20"/>
      <c r="AB509" s="20"/>
      <c r="AC509" s="20" t="s">
        <v>76</v>
      </c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</row>
    <row r="510" ht="29.59398496240601" customHeight="1" spans="1:52" x14ac:dyDescent="0.25">
      <c r="A510" s="19" t="s">
        <v>2439</v>
      </c>
      <c r="B510" s="20" t="s">
        <v>57</v>
      </c>
      <c r="C510" s="21"/>
      <c r="D510" s="22"/>
      <c r="E510" s="41"/>
      <c r="F510" s="29" t="s">
        <v>2462</v>
      </c>
      <c r="G510" s="20" t="str">
        <f>SUBSTITUTE(SUBSTITUTE(SUBSTITUTE(O510,"/@","_"),"/cac:","_"),"/cbc:","_")</f>
        <v>Invoice_Delivery_DeliveryLocation_Address</v>
      </c>
      <c r="H510" s="19" t="s">
        <v>2463</v>
      </c>
      <c r="I510" s="25" t="s">
        <v>2464</v>
      </c>
      <c r="J510" s="25" t="s">
        <v>2465</v>
      </c>
      <c r="K510" s="25" t="s">
        <v>2466</v>
      </c>
      <c r="L510" s="25" t="s">
        <v>220</v>
      </c>
      <c r="M510" s="25" t="s">
        <v>64</v>
      </c>
      <c r="N510" s="26" t="str">
        <f>IF(O510="","",LEN(O510)-LEN(SUBSTITUTE(O510,"/",""))+IF(ISNUMBER(SEARCH("@",O510)),0,1))</f>
        <v>4</v>
      </c>
      <c r="O510" s="26" t="s">
        <v>2467</v>
      </c>
      <c r="P510" s="20"/>
      <c r="Q510" s="20"/>
      <c r="R510" s="20"/>
      <c r="S510" s="25" t="s">
        <v>681</v>
      </c>
      <c r="T510" s="20"/>
      <c r="U510" s="25" t="s">
        <v>1663</v>
      </c>
      <c r="V510" s="25" t="s">
        <v>222</v>
      </c>
      <c r="W510" s="20" t="str">
        <f>IF(ISBLANK(O510),"是","否")</f>
        <v>否</v>
      </c>
      <c r="X510" s="20"/>
      <c r="Y510" s="25"/>
      <c r="Z510" s="25"/>
      <c r="AA510" s="20"/>
      <c r="AB510" s="20"/>
      <c r="AC510" s="20" t="s">
        <v>76</v>
      </c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</row>
    <row r="511" ht="39.879699248120296" customHeight="1" spans="1:52" x14ac:dyDescent="0.25">
      <c r="A511" s="19" t="s">
        <v>282</v>
      </c>
      <c r="B511" s="20" t="s">
        <v>57</v>
      </c>
      <c r="C511" s="21"/>
      <c r="D511" s="22"/>
      <c r="E511" s="21" t="s">
        <v>2468</v>
      </c>
      <c r="F511" s="29" t="s">
        <v>2469</v>
      </c>
      <c r="G511" s="20" t="str">
        <f>SUBSTITUTE(SUBSTITUTE(SUBSTITUTE(O511,"/@","_"),"/cac:","_"),"/cbc:","_")</f>
        <v>Invoice_Delivery_DeliveryLocation_Address_Postbox</v>
      </c>
      <c r="H511" s="19" t="s">
        <v>2470</v>
      </c>
      <c r="I511" s="25" t="s">
        <v>2471</v>
      </c>
      <c r="J511" s="25" t="s">
        <v>2472</v>
      </c>
      <c r="K511" s="25" t="s">
        <v>2473</v>
      </c>
      <c r="L511" s="25" t="s">
        <v>228</v>
      </c>
      <c r="M511" s="25" t="s">
        <v>64</v>
      </c>
      <c r="N511" s="26" t="str">
        <f>IF(O511="","",LEN(O511)-LEN(SUBSTITUTE(O511,"/",""))+IF(ISNUMBER(SEARCH("@",O511)),0,1))</f>
        <v>5</v>
      </c>
      <c r="O511" s="26" t="s">
        <v>2474</v>
      </c>
      <c r="P511" s="20"/>
      <c r="Q511" s="20"/>
      <c r="R511" s="20"/>
      <c r="S511" s="25">
        <v>1001</v>
      </c>
      <c r="T511" s="20"/>
      <c r="U511" s="25" t="s">
        <v>1663</v>
      </c>
      <c r="V511" s="25" t="s">
        <v>68</v>
      </c>
      <c r="W511" s="20" t="str">
        <f>IF(ISBLANK(O511),"是","否")</f>
        <v>否</v>
      </c>
      <c r="X511" s="20"/>
      <c r="Y511" s="25"/>
      <c r="Z511" s="25"/>
      <c r="AA511" s="20"/>
      <c r="AB511" s="20"/>
      <c r="AC511" s="20" t="s">
        <v>76</v>
      </c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</row>
    <row r="512" ht="39.879699248120296" customHeight="1" spans="1:52" x14ac:dyDescent="0.25">
      <c r="A512" s="19" t="s">
        <v>282</v>
      </c>
      <c r="B512" s="20" t="s">
        <v>57</v>
      </c>
      <c r="C512" s="21"/>
      <c r="D512" s="22"/>
      <c r="E512" s="21" t="s">
        <v>2475</v>
      </c>
      <c r="F512" s="29" t="s">
        <v>2476</v>
      </c>
      <c r="G512" s="20" t="str">
        <f>SUBSTITUTE(SUBSTITUTE(SUBSTITUTE(O512,"/@","_"),"/cac:","_"),"/cbc:","_")</f>
        <v>Invoice_Delivery_DeliveryLocation_Address_Floor</v>
      </c>
      <c r="H512" s="19" t="s">
        <v>2477</v>
      </c>
      <c r="I512" s="25" t="s">
        <v>2478</v>
      </c>
      <c r="J512" s="25" t="s">
        <v>2479</v>
      </c>
      <c r="K512" s="25" t="s">
        <v>1392</v>
      </c>
      <c r="L512" s="25" t="s">
        <v>228</v>
      </c>
      <c r="M512" s="25" t="s">
        <v>64</v>
      </c>
      <c r="N512" s="26" t="str">
        <f>IF(O512="","",LEN(O512)-LEN(SUBSTITUTE(O512,"/",""))+IF(ISNUMBER(SEARCH("@",O512)),0,1))</f>
        <v>5</v>
      </c>
      <c r="O512" s="26" t="s">
        <v>2480</v>
      </c>
      <c r="P512" s="20"/>
      <c r="Q512" s="20"/>
      <c r="R512" s="20"/>
      <c r="S512" s="25" t="s">
        <v>2481</v>
      </c>
      <c r="T512" s="20"/>
      <c r="U512" s="25" t="s">
        <v>1663</v>
      </c>
      <c r="V512" s="25" t="s">
        <v>68</v>
      </c>
      <c r="W512" s="20" t="str">
        <f>IF(ISBLANK(O512),"是","否")</f>
        <v>否</v>
      </c>
      <c r="X512" s="20"/>
      <c r="Y512" s="25"/>
      <c r="Z512" s="25"/>
      <c r="AA512" s="20"/>
      <c r="AB512" s="20"/>
      <c r="AC512" s="20" t="s">
        <v>76</v>
      </c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</row>
    <row r="513" ht="39.879699248120296" customHeight="1" spans="1:52" x14ac:dyDescent="0.25">
      <c r="A513" s="19" t="s">
        <v>282</v>
      </c>
      <c r="B513" s="20" t="s">
        <v>57</v>
      </c>
      <c r="C513" s="21"/>
      <c r="D513" s="22"/>
      <c r="E513" s="21" t="s">
        <v>2482</v>
      </c>
      <c r="F513" s="29" t="s">
        <v>2483</v>
      </c>
      <c r="G513" s="20" t="str">
        <f>SUBSTITUTE(SUBSTITUTE(SUBSTITUTE(O513,"/@","_"),"/cac:","_"),"/cbc:","_")</f>
        <v>Invoice_Delivery_DeliveryLocation_Address_Room</v>
      </c>
      <c r="H513" s="19" t="s">
        <v>2484</v>
      </c>
      <c r="I513" s="25" t="s">
        <v>2485</v>
      </c>
      <c r="J513" s="25" t="s">
        <v>2486</v>
      </c>
      <c r="K513" s="25" t="s">
        <v>1392</v>
      </c>
      <c r="L513" s="25" t="s">
        <v>228</v>
      </c>
      <c r="M513" s="25" t="s">
        <v>64</v>
      </c>
      <c r="N513" s="26" t="str">
        <f>IF(O513="","",LEN(O513)-LEN(SUBSTITUTE(O513,"/",""))+IF(ISNUMBER(SEARCH("@",O513)),0,1))</f>
        <v>5</v>
      </c>
      <c r="O513" s="26" t="s">
        <v>2487</v>
      </c>
      <c r="P513" s="20"/>
      <c r="Q513" s="20"/>
      <c r="R513" s="20"/>
      <c r="S513" s="25">
        <v>501</v>
      </c>
      <c r="T513" s="20"/>
      <c r="U513" s="25" t="s">
        <v>1663</v>
      </c>
      <c r="V513" s="25" t="s">
        <v>68</v>
      </c>
      <c r="W513" s="20" t="str">
        <f>IF(ISBLANK(O513),"是","否")</f>
        <v>否</v>
      </c>
      <c r="X513" s="20"/>
      <c r="Y513" s="25"/>
      <c r="Z513" s="25"/>
      <c r="AA513" s="20"/>
      <c r="AB513" s="20"/>
      <c r="AC513" s="20" t="s">
        <v>76</v>
      </c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</row>
    <row r="514" ht="39.879699248120296" customHeight="1" spans="1:52" x14ac:dyDescent="0.25">
      <c r="A514" s="19" t="s">
        <v>282</v>
      </c>
      <c r="B514" s="20" t="s">
        <v>57</v>
      </c>
      <c r="C514" s="21"/>
      <c r="D514" s="22"/>
      <c r="E514" s="21" t="s">
        <v>2488</v>
      </c>
      <c r="F514" s="29" t="s">
        <v>2489</v>
      </c>
      <c r="G514" s="20" t="str">
        <f>SUBSTITUTE(SUBSTITUTE(SUBSTITUTE(O514,"/@","_"),"/cac:","_"),"/cbc:","_")</f>
        <v>Invoice_Delivery_DeliveryLocation_Address_StreetName</v>
      </c>
      <c r="H514" s="19" t="s">
        <v>2490</v>
      </c>
      <c r="I514" s="25" t="s">
        <v>2491</v>
      </c>
      <c r="J514" s="25" t="s">
        <v>2492</v>
      </c>
      <c r="K514" s="25" t="s">
        <v>2493</v>
      </c>
      <c r="L514" s="25" t="s">
        <v>228</v>
      </c>
      <c r="M514" s="25" t="s">
        <v>64</v>
      </c>
      <c r="N514" s="26" t="str">
        <f>IF(O514="","",LEN(O514)-LEN(SUBSTITUTE(O514,"/",""))+IF(ISNUMBER(SEARCH("@",O514)),0,1))</f>
        <v>5</v>
      </c>
      <c r="O514" s="26" t="s">
        <v>2494</v>
      </c>
      <c r="P514" s="20"/>
      <c r="Q514" s="20"/>
      <c r="R514" s="20"/>
      <c r="S514" s="25" t="s">
        <v>2495</v>
      </c>
      <c r="T514" s="20"/>
      <c r="U514" s="25" t="s">
        <v>1663</v>
      </c>
      <c r="V514" s="25" t="s">
        <v>68</v>
      </c>
      <c r="W514" s="20" t="str">
        <f>IF(ISBLANK(O514),"是","否")</f>
        <v>否</v>
      </c>
      <c r="X514" s="20"/>
      <c r="Y514" s="25"/>
      <c r="Z514" s="25"/>
      <c r="AA514" s="20"/>
      <c r="AB514" s="20"/>
      <c r="AC514" s="20" t="s">
        <v>76</v>
      </c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</row>
    <row r="515" ht="50.16541353383458" customHeight="1" spans="1:52" x14ac:dyDescent="0.25">
      <c r="A515" s="19" t="s">
        <v>282</v>
      </c>
      <c r="B515" s="20" t="s">
        <v>57</v>
      </c>
      <c r="C515" s="21"/>
      <c r="D515" s="22"/>
      <c r="E515" s="21" t="s">
        <v>2496</v>
      </c>
      <c r="F515" s="29" t="s">
        <v>2497</v>
      </c>
      <c r="G515" s="20" t="str">
        <f>SUBSTITUTE(SUBSTITUTE(SUBSTITUTE(O515,"/@","_"),"/cac:","_"),"/cbc:","_")</f>
        <v>Invoice_Delivery_DeliveryLocation_Address_AdditionalStreetName</v>
      </c>
      <c r="H515" s="19" t="s">
        <v>2498</v>
      </c>
      <c r="I515" s="25" t="s">
        <v>2499</v>
      </c>
      <c r="J515" s="25" t="s">
        <v>2500</v>
      </c>
      <c r="K515" s="25" t="s">
        <v>2501</v>
      </c>
      <c r="L515" s="25" t="s">
        <v>228</v>
      </c>
      <c r="M515" s="25" t="s">
        <v>64</v>
      </c>
      <c r="N515" s="26" t="str">
        <f>IF(O515="","",LEN(O515)-LEN(SUBSTITUTE(O515,"/",""))+IF(ISNUMBER(SEARCH("@",O515)),0,1))</f>
        <v>5</v>
      </c>
      <c r="O515" s="26" t="s">
        <v>2502</v>
      </c>
      <c r="P515" s="20"/>
      <c r="Q515" s="20"/>
      <c r="R515" s="20"/>
      <c r="S515" s="25" t="s">
        <v>2503</v>
      </c>
      <c r="T515" s="20"/>
      <c r="U515" s="25" t="s">
        <v>1663</v>
      </c>
      <c r="V515" s="25" t="s">
        <v>68</v>
      </c>
      <c r="W515" s="20" t="str">
        <f>IF(ISBLANK(O515),"是","否")</f>
        <v>否</v>
      </c>
      <c r="X515" s="20"/>
      <c r="Y515" s="25"/>
      <c r="Z515" s="25"/>
      <c r="AA515" s="20"/>
      <c r="AB515" s="20"/>
      <c r="AC515" s="20" t="s">
        <v>76</v>
      </c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</row>
    <row r="516" ht="39.879699248120296" customHeight="1" spans="1:52" x14ac:dyDescent="0.25">
      <c r="A516" s="19" t="s">
        <v>282</v>
      </c>
      <c r="B516" s="20" t="s">
        <v>57</v>
      </c>
      <c r="C516" s="21"/>
      <c r="D516" s="22"/>
      <c r="E516" s="21" t="s">
        <v>2504</v>
      </c>
      <c r="F516" s="29" t="s">
        <v>2505</v>
      </c>
      <c r="G516" s="20" t="str">
        <f>SUBSTITUTE(SUBSTITUTE(SUBSTITUTE(O516,"/@","_"),"/cac:","_"),"/cbc:","_")</f>
        <v>Invoice_Delivery_DeliveryLocation_Address_CityName</v>
      </c>
      <c r="H516" s="19" t="s">
        <v>2506</v>
      </c>
      <c r="I516" s="25" t="s">
        <v>2507</v>
      </c>
      <c r="J516" s="25" t="s">
        <v>2508</v>
      </c>
      <c r="K516" s="25" t="s">
        <v>743</v>
      </c>
      <c r="L516" s="25" t="s">
        <v>228</v>
      </c>
      <c r="M516" s="25" t="s">
        <v>64</v>
      </c>
      <c r="N516" s="26" t="str">
        <f>IF(O516="","",LEN(O516)-LEN(SUBSTITUTE(O516,"/",""))+IF(ISNUMBER(SEARCH("@",O516)),0,1))</f>
        <v>5</v>
      </c>
      <c r="O516" s="26" t="s">
        <v>2509</v>
      </c>
      <c r="P516" s="20"/>
      <c r="Q516" s="20"/>
      <c r="R516" s="20"/>
      <c r="S516" s="25" t="s">
        <v>2510</v>
      </c>
      <c r="T516" s="20"/>
      <c r="U516" s="25" t="s">
        <v>1663</v>
      </c>
      <c r="V516" s="25" t="s">
        <v>68</v>
      </c>
      <c r="W516" s="20" t="str">
        <f>IF(ISBLANK(O516),"是","否")</f>
        <v>否</v>
      </c>
      <c r="X516" s="20"/>
      <c r="Y516" s="25"/>
      <c r="Z516" s="25"/>
      <c r="AA516" s="20"/>
      <c r="AB516" s="20"/>
      <c r="AC516" s="20" t="s">
        <v>76</v>
      </c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</row>
    <row r="517" ht="39.879699248120296" customHeight="1" spans="1:52" x14ac:dyDescent="0.25">
      <c r="A517" s="19" t="s">
        <v>282</v>
      </c>
      <c r="B517" s="20" t="s">
        <v>57</v>
      </c>
      <c r="C517" s="21"/>
      <c r="D517" s="22"/>
      <c r="E517" s="21" t="s">
        <v>2511</v>
      </c>
      <c r="F517" s="29" t="s">
        <v>2512</v>
      </c>
      <c r="G517" s="20" t="str">
        <f>SUBSTITUTE(SUBSTITUTE(SUBSTITUTE(O517,"/@","_"),"/cac:","_"),"/cbc:","_")</f>
        <v>Invoice_Delivery_DeliveryLocation_Address_PostalZone</v>
      </c>
      <c r="H517" s="19" t="s">
        <v>2513</v>
      </c>
      <c r="I517" s="25" t="s">
        <v>2514</v>
      </c>
      <c r="J517" s="25" t="s">
        <v>2515</v>
      </c>
      <c r="K517" s="25" t="s">
        <v>2516</v>
      </c>
      <c r="L517" s="25" t="s">
        <v>228</v>
      </c>
      <c r="M517" s="25" t="s">
        <v>64</v>
      </c>
      <c r="N517" s="26" t="str">
        <f>IF(O517="","",LEN(O517)-LEN(SUBSTITUTE(O517,"/",""))+IF(ISNUMBER(SEARCH("@",O517)),0,1))</f>
        <v>5</v>
      </c>
      <c r="O517" s="26" t="s">
        <v>2517</v>
      </c>
      <c r="P517" s="20"/>
      <c r="Q517" s="20"/>
      <c r="R517" s="20"/>
      <c r="S517" s="25">
        <v>200000</v>
      </c>
      <c r="T517" s="20"/>
      <c r="U517" s="25" t="s">
        <v>1663</v>
      </c>
      <c r="V517" s="25" t="s">
        <v>68</v>
      </c>
      <c r="W517" s="20" t="str">
        <f>IF(ISBLANK(O517),"是","否")</f>
        <v>否</v>
      </c>
      <c r="X517" s="20"/>
      <c r="Y517" s="25"/>
      <c r="Z517" s="25"/>
      <c r="AA517" s="20"/>
      <c r="AB517" s="20"/>
      <c r="AC517" s="20" t="s">
        <v>76</v>
      </c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</row>
    <row r="518" ht="39.879699248120296" customHeight="1" spans="1:52" x14ac:dyDescent="0.25">
      <c r="A518" s="19" t="s">
        <v>282</v>
      </c>
      <c r="B518" s="20" t="s">
        <v>57</v>
      </c>
      <c r="C518" s="21"/>
      <c r="D518" s="22"/>
      <c r="E518" s="21" t="s">
        <v>2518</v>
      </c>
      <c r="F518" s="29" t="s">
        <v>2519</v>
      </c>
      <c r="G518" s="20" t="str">
        <f>SUBSTITUTE(SUBSTITUTE(SUBSTITUTE(O518,"/@","_"),"/cac:","_"),"/cbc:","_")</f>
        <v>Invoice_Delivery_DeliveryLocation_Address _CountrySubentity</v>
      </c>
      <c r="H518" s="19" t="s">
        <v>2520</v>
      </c>
      <c r="I518" s="25" t="s">
        <v>2521</v>
      </c>
      <c r="J518" s="25" t="s">
        <v>2522</v>
      </c>
      <c r="K518" s="25" t="s">
        <v>2523</v>
      </c>
      <c r="L518" s="25" t="s">
        <v>228</v>
      </c>
      <c r="M518" s="25" t="s">
        <v>64</v>
      </c>
      <c r="N518" s="26" t="str">
        <f>IF(O518="","",LEN(O518)-LEN(SUBSTITUTE(O518,"/",""))+IF(ISNUMBER(SEARCH("@",O518)),0,1))</f>
        <v>5</v>
      </c>
      <c r="O518" s="26" t="s">
        <v>2524</v>
      </c>
      <c r="P518" s="20"/>
      <c r="Q518" s="20"/>
      <c r="R518" s="20"/>
      <c r="S518" s="25" t="s">
        <v>2510</v>
      </c>
      <c r="T518" s="20"/>
      <c r="U518" s="25" t="s">
        <v>1663</v>
      </c>
      <c r="V518" s="25" t="s">
        <v>68</v>
      </c>
      <c r="W518" s="20" t="str">
        <f>IF(ISBLANK(O518),"是","否")</f>
        <v>否</v>
      </c>
      <c r="X518" s="20"/>
      <c r="Y518" s="25"/>
      <c r="Z518" s="25"/>
      <c r="AA518" s="20"/>
      <c r="AB518" s="20"/>
      <c r="AC518" s="20" t="s">
        <v>76</v>
      </c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</row>
    <row r="519" ht="39.879699248120296" customHeight="1" spans="1:52" x14ac:dyDescent="0.25">
      <c r="A519" s="19" t="s">
        <v>282</v>
      </c>
      <c r="B519" s="20" t="s">
        <v>57</v>
      </c>
      <c r="C519" s="21"/>
      <c r="D519" s="22"/>
      <c r="E519" s="21" t="s">
        <v>2525</v>
      </c>
      <c r="F519" s="29" t="s">
        <v>2526</v>
      </c>
      <c r="G519" s="20" t="str">
        <f>SUBSTITUTE(SUBSTITUTE(SUBSTITUTE(O519,"/@","_"),"/cac:","_"),"/cbc:","_")</f>
        <v>Invoice_Delivery_DeliveryLocation_Address_AddressLine</v>
      </c>
      <c r="H519" s="19" t="s">
        <v>318</v>
      </c>
      <c r="I519" s="25" t="s">
        <v>2527</v>
      </c>
      <c r="J519" s="25" t="s">
        <v>2528</v>
      </c>
      <c r="K519" s="25" t="s">
        <v>2529</v>
      </c>
      <c r="L519" s="25" t="s">
        <v>220</v>
      </c>
      <c r="M519" s="25" t="s">
        <v>64</v>
      </c>
      <c r="N519" s="26" t="str">
        <f>IF(O519="","",LEN(O519)-LEN(SUBSTITUTE(O519,"/",""))+IF(ISNUMBER(SEARCH("@",O519)),0,1))</f>
        <v>5</v>
      </c>
      <c r="O519" s="26" t="s">
        <v>2530</v>
      </c>
      <c r="P519" s="20"/>
      <c r="Q519" s="20"/>
      <c r="R519" s="20"/>
      <c r="S519" s="25" t="s">
        <v>681</v>
      </c>
      <c r="T519" s="20"/>
      <c r="U519" s="25" t="s">
        <v>1663</v>
      </c>
      <c r="V519" s="25" t="s">
        <v>222</v>
      </c>
      <c r="W519" s="20" t="str">
        <f>IF(ISBLANK(O519),"是","否")</f>
        <v>否</v>
      </c>
      <c r="X519" s="20"/>
      <c r="Y519" s="25"/>
      <c r="Z519" s="25"/>
      <c r="AA519" s="20"/>
      <c r="AB519" s="20"/>
      <c r="AC519" s="20" t="s">
        <v>76</v>
      </c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</row>
    <row r="520" ht="39.879699248120296" customHeight="1" spans="1:52" x14ac:dyDescent="0.25">
      <c r="A520" s="19" t="s">
        <v>316</v>
      </c>
      <c r="B520" s="20" t="s">
        <v>57</v>
      </c>
      <c r="C520" s="21"/>
      <c r="D520" s="22"/>
      <c r="E520" s="21" t="s">
        <v>2531</v>
      </c>
      <c r="F520" s="29" t="s">
        <v>2532</v>
      </c>
      <c r="G520" s="20" t="str">
        <f>SUBSTITUTE(SUBSTITUTE(SUBSTITUTE(O520,"/@","_"),"/cac:","_"),"/cbc:","_")</f>
        <v>Invoice_Delivery_DeliveryLocation_Address_AddressLine_Line</v>
      </c>
      <c r="H520" s="19" t="s">
        <v>323</v>
      </c>
      <c r="I520" s="25" t="s">
        <v>2533</v>
      </c>
      <c r="J520" s="25" t="s">
        <v>2534</v>
      </c>
      <c r="K520" s="25" t="s">
        <v>2535</v>
      </c>
      <c r="L520" s="25" t="s">
        <v>228</v>
      </c>
      <c r="M520" s="25" t="s">
        <v>49</v>
      </c>
      <c r="N520" s="26" t="str">
        <f>IF(O520="","",LEN(O520)-LEN(SUBSTITUTE(O520,"/",""))+IF(ISNUMBER(SEARCH("@",O520)),0,1))</f>
        <v>6</v>
      </c>
      <c r="O520" s="26" t="s">
        <v>2536</v>
      </c>
      <c r="P520" s="20"/>
      <c r="Q520" s="20"/>
      <c r="R520" s="20"/>
      <c r="S520" s="25" t="s">
        <v>2537</v>
      </c>
      <c r="T520" s="20"/>
      <c r="U520" s="25" t="s">
        <v>1663</v>
      </c>
      <c r="V520" s="25" t="s">
        <v>68</v>
      </c>
      <c r="W520" s="20" t="str">
        <f>IF(ISBLANK(O520),"是","否")</f>
        <v>否</v>
      </c>
      <c r="X520" s="20"/>
      <c r="Y520" s="25"/>
      <c r="Z520" s="25"/>
      <c r="AA520" s="20"/>
      <c r="AB520" s="20"/>
      <c r="AC520" s="20" t="s">
        <v>76</v>
      </c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</row>
    <row r="521" ht="50.16541353383458" customHeight="1" spans="1:52" x14ac:dyDescent="0.25">
      <c r="A521" s="19" t="s">
        <v>328</v>
      </c>
      <c r="B521" s="20" t="s">
        <v>57</v>
      </c>
      <c r="C521" s="21"/>
      <c r="D521" s="22"/>
      <c r="E521" s="21" t="s">
        <v>2538</v>
      </c>
      <c r="F521" s="29" t="s">
        <v>2539</v>
      </c>
      <c r="G521" s="20" t="str">
        <f>SUBSTITUTE(SUBSTITUTE(SUBSTITUTE(O521,"/@","_"),"/cac:","_"),"/cbc:","_")</f>
        <v>Invoice_Delivery_DeliveryLocation_Address_Country_IdentificationCode</v>
      </c>
      <c r="H521" s="19" t="s">
        <v>2540</v>
      </c>
      <c r="I521" s="25" t="s">
        <v>2541</v>
      </c>
      <c r="J521" s="25" t="s">
        <v>2542</v>
      </c>
      <c r="K521" s="25" t="s">
        <v>1465</v>
      </c>
      <c r="L521" s="25" t="s">
        <v>1661</v>
      </c>
      <c r="M521" s="25" t="s">
        <v>64</v>
      </c>
      <c r="N521" s="26" t="str">
        <f>IF(O521="","",LEN(O521)-LEN(SUBSTITUTE(O521,"/",""))+IF(ISNUMBER(SEARCH("@",O521)),0,1))</f>
        <v>6</v>
      </c>
      <c r="O521" s="26" t="s">
        <v>2543</v>
      </c>
      <c r="P521" s="20"/>
      <c r="Q521" s="20"/>
      <c r="R521" s="20"/>
      <c r="S521" s="25" t="s">
        <v>773</v>
      </c>
      <c r="T521" s="20"/>
      <c r="U521" s="25" t="s">
        <v>1663</v>
      </c>
      <c r="V521" s="25" t="s">
        <v>68</v>
      </c>
      <c r="W521" s="20" t="str">
        <f>IF(ISBLANK(O521),"是","否")</f>
        <v>否</v>
      </c>
      <c r="X521" s="20"/>
      <c r="Y521" s="25"/>
      <c r="Z521" s="25"/>
      <c r="AA521" s="20"/>
      <c r="AB521" s="20"/>
      <c r="AC521" s="20" t="s">
        <v>76</v>
      </c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</row>
    <row r="522" ht="39.879699248120296" customHeight="1" spans="1:52" x14ac:dyDescent="0.25">
      <c r="A522" s="19" t="s">
        <v>328</v>
      </c>
      <c r="B522" s="20" t="s">
        <v>57</v>
      </c>
      <c r="C522" s="21"/>
      <c r="D522" s="22"/>
      <c r="E522" s="21" t="s">
        <v>2544</v>
      </c>
      <c r="F522" s="29" t="s">
        <v>2545</v>
      </c>
      <c r="G522" s="20" t="str">
        <f>SUBSTITUTE(SUBSTITUTE(SUBSTITUTE(O522,"/@","_"),"/cac:","_"),"/cbc:","_")</f>
        <v>Invoice_Delivery_DeliveryLocation_Country_Name</v>
      </c>
      <c r="H522" s="19" t="s">
        <v>2546</v>
      </c>
      <c r="I522" s="25" t="s">
        <v>2547</v>
      </c>
      <c r="J522" s="25" t="s">
        <v>2548</v>
      </c>
      <c r="K522" s="25" t="s">
        <v>1392</v>
      </c>
      <c r="L522" s="25" t="s">
        <v>228</v>
      </c>
      <c r="M522" s="25" t="s">
        <v>64</v>
      </c>
      <c r="N522" s="26" t="str">
        <f>IF(O522="","",LEN(O522)-LEN(SUBSTITUTE(O522,"/",""))+IF(ISNUMBER(SEARCH("@",O522)),0,1))</f>
        <v>5</v>
      </c>
      <c r="O522" s="26" t="s">
        <v>2549</v>
      </c>
      <c r="P522" s="20"/>
      <c r="Q522" s="20"/>
      <c r="R522" s="20"/>
      <c r="S522" s="25" t="s">
        <v>779</v>
      </c>
      <c r="T522" s="20"/>
      <c r="U522" s="25" t="s">
        <v>1663</v>
      </c>
      <c r="V522" s="25" t="s">
        <v>68</v>
      </c>
      <c r="W522" s="20" t="str">
        <f>IF(ISBLANK(O522),"是","否")</f>
        <v>否</v>
      </c>
      <c r="X522" s="20"/>
      <c r="Y522" s="25"/>
      <c r="Z522" s="25"/>
      <c r="AA522" s="20"/>
      <c r="AB522" s="20"/>
      <c r="AC522" s="20" t="s">
        <v>76</v>
      </c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</row>
    <row r="523" ht="29.59398496240601" customHeight="1" spans="1:52" x14ac:dyDescent="0.25">
      <c r="A523" s="19" t="s">
        <v>188</v>
      </c>
      <c r="B523" s="20" t="s">
        <v>57</v>
      </c>
      <c r="C523" s="21"/>
      <c r="D523" s="22"/>
      <c r="E523" s="21" t="s">
        <v>2550</v>
      </c>
      <c r="F523" s="29" t="s">
        <v>2551</v>
      </c>
      <c r="G523" s="20" t="str">
        <f>SUBSTITUTE(SUBSTITUTE(SUBSTITUTE(O523,"/@","_"),"/cac:","_"),"/cbc:","_")</f>
        <v>Invoice_Delivery_CarrierParty_PartyName_Name</v>
      </c>
      <c r="H523" s="19" t="s">
        <v>2552</v>
      </c>
      <c r="I523" s="25" t="s">
        <v>2553</v>
      </c>
      <c r="J523" s="25" t="s">
        <v>2554</v>
      </c>
      <c r="K523" s="25" t="s">
        <v>1392</v>
      </c>
      <c r="L523" s="25" t="s">
        <v>228</v>
      </c>
      <c r="M523" s="25" t="s">
        <v>64</v>
      </c>
      <c r="N523" s="26" t="str">
        <f>IF(O523="","",LEN(O523)-LEN(SUBSTITUTE(O523,"/",""))+IF(ISNUMBER(SEARCH("@",O523)),0,1))</f>
        <v>5</v>
      </c>
      <c r="O523" s="26" t="s">
        <v>2555</v>
      </c>
      <c r="P523" s="20"/>
      <c r="Q523" s="20"/>
      <c r="R523" s="20"/>
      <c r="S523" s="25" t="s">
        <v>2556</v>
      </c>
      <c r="T523" s="20"/>
      <c r="U523" s="25" t="s">
        <v>1663</v>
      </c>
      <c r="V523" s="25" t="s">
        <v>68</v>
      </c>
      <c r="W523" s="20" t="str">
        <f>IF(ISBLANK(O523),"是","否")</f>
        <v>否</v>
      </c>
      <c r="X523" s="20"/>
      <c r="Y523" s="25"/>
      <c r="Z523" s="25"/>
      <c r="AA523" s="20"/>
      <c r="AB523" s="20"/>
      <c r="AC523" s="20" t="s">
        <v>76</v>
      </c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</row>
    <row r="524" ht="29.59398496240601" customHeight="1" spans="1:52" x14ac:dyDescent="0.25">
      <c r="A524" s="19" t="s">
        <v>230</v>
      </c>
      <c r="B524" s="20" t="s">
        <v>57</v>
      </c>
      <c r="C524" s="21"/>
      <c r="D524" s="22"/>
      <c r="E524" s="41"/>
      <c r="F524" s="29" t="s">
        <v>2557</v>
      </c>
      <c r="G524" s="20" t="str">
        <f>SUBSTITUTE(SUBSTITUTE(SUBSTITUTE(O524,"/@","_"),"/cac:","_"),"/cbc:","_")</f>
        <v>Invoice_Delivery_DeliveryParty_PartyTaxScheme</v>
      </c>
      <c r="H524" s="19" t="s">
        <v>2558</v>
      </c>
      <c r="I524" s="25" t="s">
        <v>2559</v>
      </c>
      <c r="J524" s="25" t="s">
        <v>2560</v>
      </c>
      <c r="K524" s="25" t="s">
        <v>2561</v>
      </c>
      <c r="L524" s="25" t="s">
        <v>220</v>
      </c>
      <c r="M524" s="25" t="s">
        <v>49</v>
      </c>
      <c r="N524" s="26" t="str">
        <f>IF(O524="","",LEN(O524)-LEN(SUBSTITUTE(O524,"/",""))+IF(ISNUMBER(SEARCH("@",O524)),0,1))</f>
        <v>4</v>
      </c>
      <c r="O524" s="26" t="s">
        <v>2562</v>
      </c>
      <c r="P524" s="20"/>
      <c r="Q524" s="20"/>
      <c r="R524" s="20"/>
      <c r="S524" s="25" t="s">
        <v>681</v>
      </c>
      <c r="T524" s="20"/>
      <c r="U524" s="25" t="s">
        <v>1663</v>
      </c>
      <c r="V524" s="25" t="s">
        <v>222</v>
      </c>
      <c r="W524" s="20" t="str">
        <f>IF(ISBLANK(O524),"是","否")</f>
        <v>否</v>
      </c>
      <c r="X524" s="20"/>
      <c r="Y524" s="25"/>
      <c r="Z524" s="25"/>
      <c r="AA524" s="20"/>
      <c r="AB524" s="20"/>
      <c r="AC524" s="20" t="s">
        <v>76</v>
      </c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</row>
    <row r="525" ht="29.59398496240601" customHeight="1" spans="1:52" x14ac:dyDescent="0.25">
      <c r="A525" s="19" t="s">
        <v>349</v>
      </c>
      <c r="B525" s="20" t="s">
        <v>57</v>
      </c>
      <c r="C525" s="21"/>
      <c r="D525" s="22"/>
      <c r="E525" s="41"/>
      <c r="F525" s="29" t="s">
        <v>2563</v>
      </c>
      <c r="G525" s="20" t="str">
        <f>SUBSTITUTE(SUBSTITUTE(SUBSTITUTE(O525,"/@","_"),"/cac:","_"),"/cbc:","_")</f>
        <v>Invoice_Delivery_DeliveryParty_PartyTaxScheme_TaxScheme_ID</v>
      </c>
      <c r="H525" s="19" t="s">
        <v>2564</v>
      </c>
      <c r="I525" s="25" t="s">
        <v>1261</v>
      </c>
      <c r="J525" s="25" t="s">
        <v>2565</v>
      </c>
      <c r="K525" s="25" t="s">
        <v>2566</v>
      </c>
      <c r="L525" s="25" t="s">
        <v>1661</v>
      </c>
      <c r="M525" s="25" t="s">
        <v>64</v>
      </c>
      <c r="N525" s="26" t="str">
        <f>IF(O525="","",LEN(O525)-LEN(SUBSTITUTE(O525,"/",""))+IF(ISNUMBER(SEARCH("@",O525)),0,1))</f>
        <v>6</v>
      </c>
      <c r="O525" s="26" t="s">
        <v>2567</v>
      </c>
      <c r="P525" s="20"/>
      <c r="Q525" s="20"/>
      <c r="R525" s="20"/>
      <c r="S525" s="25" t="s">
        <v>791</v>
      </c>
      <c r="T525" s="20"/>
      <c r="U525" s="25" t="s">
        <v>1663</v>
      </c>
      <c r="V525" s="25" t="s">
        <v>68</v>
      </c>
      <c r="W525" s="20" t="str">
        <f>IF(ISBLANK(O525),"是","否")</f>
        <v>否</v>
      </c>
      <c r="X525" s="20"/>
      <c r="Y525" s="25"/>
      <c r="Z525" s="25"/>
      <c r="AA525" s="20"/>
      <c r="AB525" s="20"/>
      <c r="AC525" s="20" t="s">
        <v>76</v>
      </c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</row>
    <row r="526" ht="29.59398496240601" customHeight="1" spans="1:52" x14ac:dyDescent="0.25">
      <c r="A526" s="19" t="s">
        <v>344</v>
      </c>
      <c r="B526" s="20" t="s">
        <v>57</v>
      </c>
      <c r="C526" s="21"/>
      <c r="D526" s="22"/>
      <c r="E526" s="41"/>
      <c r="F526" s="29" t="s">
        <v>2568</v>
      </c>
      <c r="G526" s="20" t="str">
        <f>SUBSTITUTE(SUBSTITUTE(SUBSTITUTE(O526,"/@","_"),"/cac:","_"),"/cbc:","_")</f>
        <v>Invoice_Delivery_DeliveryParty_PartyTaxScheme_CompanyID</v>
      </c>
      <c r="H526" s="19" t="s">
        <v>2569</v>
      </c>
      <c r="I526" s="25" t="s">
        <v>2570</v>
      </c>
      <c r="J526" s="25" t="s">
        <v>2571</v>
      </c>
      <c r="K526" s="25" t="s">
        <v>1392</v>
      </c>
      <c r="L526" s="25" t="s">
        <v>228</v>
      </c>
      <c r="M526" s="25" t="s">
        <v>64</v>
      </c>
      <c r="N526" s="26" t="str">
        <f>IF(O526="","",LEN(O526)-LEN(SUBSTITUTE(O526,"/",""))+IF(ISNUMBER(SEARCH("@",O526)),0,1))</f>
        <v>5</v>
      </c>
      <c r="O526" s="26" t="s">
        <v>2572</v>
      </c>
      <c r="P526" s="20"/>
      <c r="Q526" s="20"/>
      <c r="R526" s="20"/>
      <c r="S526" s="25" t="s">
        <v>54</v>
      </c>
      <c r="T526" s="20"/>
      <c r="U526" s="25" t="s">
        <v>1663</v>
      </c>
      <c r="V526" s="25" t="s">
        <v>68</v>
      </c>
      <c r="W526" s="20" t="str">
        <f>IF(ISBLANK(O526),"是","否")</f>
        <v>否</v>
      </c>
      <c r="X526" s="20"/>
      <c r="Y526" s="25"/>
      <c r="Z526" s="25"/>
      <c r="AA526" s="20"/>
      <c r="AB526" s="20"/>
      <c r="AC526" s="20" t="s">
        <v>76</v>
      </c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</row>
    <row r="527" ht="29.59398496240601" customHeight="1" spans="1:52" x14ac:dyDescent="0.25">
      <c r="A527" s="19" t="s">
        <v>230</v>
      </c>
      <c r="B527" s="20" t="s">
        <v>57</v>
      </c>
      <c r="C527" s="21"/>
      <c r="D527" s="22"/>
      <c r="E527" s="41"/>
      <c r="F527" s="29" t="s">
        <v>2573</v>
      </c>
      <c r="G527" s="20" t="str">
        <f>SUBSTITUTE(SUBSTITUTE(SUBSTITUTE(O527,"/@","_"),"/cac:","_"),"/cbc:","_")</f>
        <v>Invoice_Delivery_DeliveryParty_PartyLegalEntity</v>
      </c>
      <c r="H527" s="19" t="s">
        <v>2574</v>
      </c>
      <c r="I527" s="25" t="s">
        <v>2575</v>
      </c>
      <c r="J527" s="25" t="s">
        <v>2576</v>
      </c>
      <c r="K527" s="25" t="s">
        <v>2577</v>
      </c>
      <c r="L527" s="25" t="s">
        <v>220</v>
      </c>
      <c r="M527" s="25" t="s">
        <v>49</v>
      </c>
      <c r="N527" s="26" t="str">
        <f>IF(O527="","",LEN(O527)-LEN(SUBSTITUTE(O527,"/",""))+IF(ISNUMBER(SEARCH("@",O527)),0,1))</f>
        <v>4</v>
      </c>
      <c r="O527" s="26" t="s">
        <v>2578</v>
      </c>
      <c r="P527" s="20"/>
      <c r="Q527" s="20"/>
      <c r="R527" s="20"/>
      <c r="S527" s="25" t="s">
        <v>681</v>
      </c>
      <c r="T527" s="20"/>
      <c r="U527" s="25" t="s">
        <v>1663</v>
      </c>
      <c r="V527" s="25" t="s">
        <v>222</v>
      </c>
      <c r="W527" s="20" t="str">
        <f>IF(ISBLANK(O527),"是","否")</f>
        <v>否</v>
      </c>
      <c r="X527" s="20"/>
      <c r="Y527" s="25"/>
      <c r="Z527" s="25"/>
      <c r="AA527" s="20"/>
      <c r="AB527" s="20"/>
      <c r="AC527" s="20" t="s">
        <v>76</v>
      </c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</row>
    <row r="528" ht="39.879699248120296" customHeight="1" spans="1:52" x14ac:dyDescent="0.25">
      <c r="A528" s="19" t="s">
        <v>366</v>
      </c>
      <c r="B528" s="20" t="s">
        <v>57</v>
      </c>
      <c r="C528" s="21"/>
      <c r="D528" s="22"/>
      <c r="E528" s="21" t="s">
        <v>2579</v>
      </c>
      <c r="F528" s="29" t="s">
        <v>2580</v>
      </c>
      <c r="G528" s="20" t="str">
        <f>SUBSTITUTE(SUBSTITUTE(SUBSTITUTE(O528,"/@","_"),"/cac:","_"),"/cbc:","_")</f>
        <v>Invoice_Delivery_DeliveryParty_PartyLegalEntity_RegistrationName</v>
      </c>
      <c r="H528" s="19" t="s">
        <v>2581</v>
      </c>
      <c r="I528" s="25" t="s">
        <v>2582</v>
      </c>
      <c r="J528" s="25" t="s">
        <v>2583</v>
      </c>
      <c r="K528" s="25" t="s">
        <v>2584</v>
      </c>
      <c r="L528" s="25" t="s">
        <v>228</v>
      </c>
      <c r="M528" s="25" t="s">
        <v>64</v>
      </c>
      <c r="N528" s="26" t="str">
        <f>IF(O528="","",LEN(O528)-LEN(SUBSTITUTE(O528,"/",""))+IF(ISNUMBER(SEARCH("@",O528)),0,1))</f>
        <v>5</v>
      </c>
      <c r="O528" s="26" t="s">
        <v>2585</v>
      </c>
      <c r="P528" s="20"/>
      <c r="Q528" s="20"/>
      <c r="R528" s="20"/>
      <c r="S528" s="25" t="s">
        <v>2586</v>
      </c>
      <c r="T528" s="20"/>
      <c r="U528" s="25" t="s">
        <v>1663</v>
      </c>
      <c r="V528" s="25" t="s">
        <v>68</v>
      </c>
      <c r="W528" s="20" t="str">
        <f>IF(ISBLANK(O528),"是","否")</f>
        <v>否</v>
      </c>
      <c r="X528" s="20"/>
      <c r="Y528" s="25"/>
      <c r="Z528" s="25"/>
      <c r="AA528" s="20"/>
      <c r="AB528" s="20"/>
      <c r="AC528" s="20" t="s">
        <v>76</v>
      </c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</row>
    <row r="529" ht="29.59398496240601" customHeight="1" spans="1:52" x14ac:dyDescent="0.25">
      <c r="A529" s="19" t="s">
        <v>175</v>
      </c>
      <c r="B529" s="20" t="s">
        <v>57</v>
      </c>
      <c r="C529" s="21"/>
      <c r="D529" s="22"/>
      <c r="E529" s="21" t="s">
        <v>2587</v>
      </c>
      <c r="F529" s="29" t="s">
        <v>2588</v>
      </c>
      <c r="G529" s="20" t="str">
        <f>SUBSTITUTE(SUBSTITUTE(SUBSTITUTE(O529,"/@","_"),"/cac:","_"),"/cbc:","_")</f>
        <v>Invoice_Delivery_DeliveryParty_Contact_Name</v>
      </c>
      <c r="H529" s="19" t="s">
        <v>2589</v>
      </c>
      <c r="I529" s="25" t="s">
        <v>2590</v>
      </c>
      <c r="J529" s="25" t="s">
        <v>2591</v>
      </c>
      <c r="K529" s="25" t="s">
        <v>1392</v>
      </c>
      <c r="L529" s="25" t="s">
        <v>228</v>
      </c>
      <c r="M529" s="25" t="s">
        <v>64</v>
      </c>
      <c r="N529" s="26" t="str">
        <f>IF(O529="","",LEN(O529)-LEN(SUBSTITUTE(O529,"/",""))+IF(ISNUMBER(SEARCH("@",O529)),0,1))</f>
        <v>5</v>
      </c>
      <c r="O529" s="26" t="s">
        <v>2592</v>
      </c>
      <c r="P529" s="20"/>
      <c r="Q529" s="20"/>
      <c r="R529" s="20"/>
      <c r="S529" s="25" t="s">
        <v>2593</v>
      </c>
      <c r="T529" s="20"/>
      <c r="U529" s="25" t="s">
        <v>1663</v>
      </c>
      <c r="V529" s="25" t="s">
        <v>68</v>
      </c>
      <c r="W529" s="20" t="str">
        <f>IF(ISBLANK(O529),"是","否")</f>
        <v>否</v>
      </c>
      <c r="X529" s="20"/>
      <c r="Y529" s="25"/>
      <c r="Z529" s="25"/>
      <c r="AA529" s="20"/>
      <c r="AB529" s="20"/>
      <c r="AC529" s="20" t="s">
        <v>76</v>
      </c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</row>
    <row r="530" ht="39.879699248120296" customHeight="1" spans="1:52" x14ac:dyDescent="0.25">
      <c r="A530" s="19" t="s">
        <v>175</v>
      </c>
      <c r="B530" s="20" t="s">
        <v>57</v>
      </c>
      <c r="C530" s="21"/>
      <c r="D530" s="22"/>
      <c r="E530" s="21" t="s">
        <v>2594</v>
      </c>
      <c r="F530" s="29" t="s">
        <v>2595</v>
      </c>
      <c r="G530" s="20" t="str">
        <f>SUBSTITUTE(SUBSTITUTE(SUBSTITUTE(O530,"/@","_"),"/cac:","_"),"/cbc:","_")</f>
        <v>Invoice_Delivery_DeliveryParty_Contact_Telephone</v>
      </c>
      <c r="H530" s="19" t="s">
        <v>2596</v>
      </c>
      <c r="I530" s="25" t="s">
        <v>2597</v>
      </c>
      <c r="J530" s="25" t="s">
        <v>2598</v>
      </c>
      <c r="K530" s="25" t="s">
        <v>2599</v>
      </c>
      <c r="L530" s="25" t="s">
        <v>228</v>
      </c>
      <c r="M530" s="25" t="s">
        <v>64</v>
      </c>
      <c r="N530" s="26" t="str">
        <f>IF(O530="","",LEN(O530)-LEN(SUBSTITUTE(O530,"/",""))+IF(ISNUMBER(SEARCH("@",O530)),0,1))</f>
        <v>5</v>
      </c>
      <c r="O530" s="26" t="s">
        <v>2600</v>
      </c>
      <c r="P530" s="20"/>
      <c r="Q530" s="20"/>
      <c r="R530" s="20"/>
      <c r="S530" s="25">
        <v>-13899999914</v>
      </c>
      <c r="T530" s="20"/>
      <c r="U530" s="25" t="s">
        <v>1663</v>
      </c>
      <c r="V530" s="25" t="s">
        <v>68</v>
      </c>
      <c r="W530" s="20" t="str">
        <f>IF(ISBLANK(O530),"是","否")</f>
        <v>否</v>
      </c>
      <c r="X530" s="20"/>
      <c r="Y530" s="25"/>
      <c r="Z530" s="25"/>
      <c r="AA530" s="20"/>
      <c r="AB530" s="20"/>
      <c r="AC530" s="20" t="s">
        <v>76</v>
      </c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</row>
    <row r="531" ht="39.879699248120296" customHeight="1" spans="1:52" x14ac:dyDescent="0.25">
      <c r="A531" s="19" t="s">
        <v>175</v>
      </c>
      <c r="B531" s="20" t="s">
        <v>57</v>
      </c>
      <c r="C531" s="21"/>
      <c r="D531" s="22"/>
      <c r="E531" s="21" t="s">
        <v>2601</v>
      </c>
      <c r="F531" s="29" t="s">
        <v>2602</v>
      </c>
      <c r="G531" s="20" t="str">
        <f>SUBSTITUTE(SUBSTITUTE(SUBSTITUTE(O531,"/@","_"),"/cac:","_"),"/cbc:","_")</f>
        <v>Invoice_Delivery_DeliveryParty_Contact_ElectronicMail</v>
      </c>
      <c r="H531" s="19" t="s">
        <v>2603</v>
      </c>
      <c r="I531" s="25" t="s">
        <v>2604</v>
      </c>
      <c r="J531" s="25" t="s">
        <v>2605</v>
      </c>
      <c r="K531" s="25" t="s">
        <v>2606</v>
      </c>
      <c r="L531" s="25" t="s">
        <v>228</v>
      </c>
      <c r="M531" s="25" t="s">
        <v>64</v>
      </c>
      <c r="N531" s="26" t="str">
        <f>IF(O531="","",LEN(O531)-LEN(SUBSTITUTE(O531,"/",""))+IF(ISNUMBER(SEARCH("@",O531)),0,1))</f>
        <v>5</v>
      </c>
      <c r="O531" s="26" t="s">
        <v>2607</v>
      </c>
      <c r="P531" s="20"/>
      <c r="Q531" s="20"/>
      <c r="R531" s="20"/>
      <c r="S531" s="25" t="s">
        <v>2608</v>
      </c>
      <c r="T531" s="20"/>
      <c r="U531" s="25" t="s">
        <v>1663</v>
      </c>
      <c r="V531" s="25" t="s">
        <v>68</v>
      </c>
      <c r="W531" s="20" t="str">
        <f>IF(ISBLANK(O531),"是","否")</f>
        <v>否</v>
      </c>
      <c r="X531" s="20"/>
      <c r="Y531" s="25"/>
      <c r="Z531" s="25"/>
      <c r="AA531" s="20"/>
      <c r="AB531" s="20"/>
      <c r="AC531" s="20" t="s">
        <v>76</v>
      </c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</row>
    <row r="532" ht="29.59398496240601" customHeight="1" spans="1:52" x14ac:dyDescent="0.25">
      <c r="A532" s="19" t="s">
        <v>2172</v>
      </c>
      <c r="B532" s="20" t="s">
        <v>57</v>
      </c>
      <c r="C532" s="21"/>
      <c r="D532" s="22"/>
      <c r="E532" s="41"/>
      <c r="F532" s="29" t="s">
        <v>2609</v>
      </c>
      <c r="G532" s="20" t="str">
        <f>SUBSTITUTE(SUBSTITUTE(SUBSTITUTE(O532,"/@","_"),"/cac:","_"),"/cbc:","_")</f>
        <v>Invoice_Delivery_Shipment_ID</v>
      </c>
      <c r="H532" s="19" t="s">
        <v>2610</v>
      </c>
      <c r="I532" s="25" t="s">
        <v>2611</v>
      </c>
      <c r="J532" s="25" t="s">
        <v>2612</v>
      </c>
      <c r="K532" s="25" t="s">
        <v>2613</v>
      </c>
      <c r="L532" s="25" t="s">
        <v>228</v>
      </c>
      <c r="M532" s="25">
        <v>1</v>
      </c>
      <c r="N532" s="26" t="str">
        <f>IF(O532="","",LEN(O532)-LEN(SUBSTITUTE(O532,"/",""))+IF(ISNUMBER(SEARCH("@",O532)),0,1))</f>
        <v>4</v>
      </c>
      <c r="O532" s="26" t="s">
        <v>2179</v>
      </c>
      <c r="P532" s="20"/>
      <c r="Q532" s="20"/>
      <c r="R532" s="20"/>
      <c r="S532" s="25" t="s">
        <v>2614</v>
      </c>
      <c r="T532" s="20"/>
      <c r="U532" s="25" t="s">
        <v>1663</v>
      </c>
      <c r="V532" s="25" t="s">
        <v>68</v>
      </c>
      <c r="W532" s="20" t="str">
        <f>IF(ISBLANK(O532),"是","否")</f>
        <v>否</v>
      </c>
      <c r="X532" s="20"/>
      <c r="Y532" s="25"/>
      <c r="Z532" s="25"/>
      <c r="AA532" s="20"/>
      <c r="AB532" s="20"/>
      <c r="AC532" s="20" t="s">
        <v>76</v>
      </c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</row>
    <row r="533" ht="29.59398496240601" customHeight="1" spans="1:52" x14ac:dyDescent="0.25">
      <c r="A533" s="19" t="s">
        <v>2172</v>
      </c>
      <c r="B533" s="20" t="s">
        <v>57</v>
      </c>
      <c r="C533" s="21"/>
      <c r="D533" s="22"/>
      <c r="E533" s="41"/>
      <c r="F533" s="29" t="s">
        <v>2615</v>
      </c>
      <c r="G533" s="20" t="str">
        <f>SUBSTITUTE(SUBSTITUTE(SUBSTITUTE(O533,"/@","_"),"/cac:","_"),"/cbc:","_")</f>
        <v>Invoice_Delivery_Shipment_OriginAddress</v>
      </c>
      <c r="H533" s="19" t="s">
        <v>2616</v>
      </c>
      <c r="I533" s="25" t="s">
        <v>2617</v>
      </c>
      <c r="J533" s="25" t="s">
        <v>2618</v>
      </c>
      <c r="K533" s="25" t="s">
        <v>2619</v>
      </c>
      <c r="L533" s="25" t="s">
        <v>220</v>
      </c>
      <c r="M533" s="25" t="s">
        <v>64</v>
      </c>
      <c r="N533" s="26" t="str">
        <f>IF(O533="","",LEN(O533)-LEN(SUBSTITUTE(O533,"/",""))+IF(ISNUMBER(SEARCH("@",O533)),0,1))</f>
        <v>4</v>
      </c>
      <c r="O533" s="26" t="s">
        <v>2620</v>
      </c>
      <c r="P533" s="20"/>
      <c r="Q533" s="20"/>
      <c r="R533" s="20"/>
      <c r="S533" s="25" t="s">
        <v>681</v>
      </c>
      <c r="T533" s="20"/>
      <c r="U533" s="25" t="s">
        <v>1663</v>
      </c>
      <c r="V533" s="25" t="s">
        <v>222</v>
      </c>
      <c r="W533" s="20" t="str">
        <f>IF(ISBLANK(O533),"是","否")</f>
        <v>否</v>
      </c>
      <c r="X533" s="20"/>
      <c r="Y533" s="25"/>
      <c r="Z533" s="25"/>
      <c r="AA533" s="20"/>
      <c r="AB533" s="20"/>
      <c r="AC533" s="20" t="s">
        <v>76</v>
      </c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</row>
    <row r="534" ht="29.59398496240601" customHeight="1" spans="1:52" x14ac:dyDescent="0.25">
      <c r="A534" s="19" t="s">
        <v>282</v>
      </c>
      <c r="B534" s="20" t="s">
        <v>57</v>
      </c>
      <c r="C534" s="21"/>
      <c r="D534" s="22"/>
      <c r="E534" s="41"/>
      <c r="F534" s="29" t="s">
        <v>2621</v>
      </c>
      <c r="G534" s="20" t="str">
        <f>SUBSTITUTE(SUBSTITUTE(SUBSTITUTE(O534,"/@","_"),"/cac:","_"),"/cbc:","_")</f>
        <v>Invoice_Delivery_Shipment_OriginAddress_Postbox</v>
      </c>
      <c r="H534" s="19" t="s">
        <v>471</v>
      </c>
      <c r="I534" s="25" t="s">
        <v>2622</v>
      </c>
      <c r="J534" s="25" t="s">
        <v>2623</v>
      </c>
      <c r="K534" s="25" t="s">
        <v>1392</v>
      </c>
      <c r="L534" s="25" t="s">
        <v>228</v>
      </c>
      <c r="M534" s="25" t="s">
        <v>64</v>
      </c>
      <c r="N534" s="26" t="str">
        <f>IF(O534="","",LEN(O534)-LEN(SUBSTITUTE(O534,"/",""))+IF(ISNUMBER(SEARCH("@",O534)),0,1))</f>
        <v>5</v>
      </c>
      <c r="O534" s="26" t="s">
        <v>2624</v>
      </c>
      <c r="P534" s="20"/>
      <c r="Q534" s="20"/>
      <c r="R534" s="20"/>
      <c r="S534" s="25" t="s">
        <v>681</v>
      </c>
      <c r="T534" s="20"/>
      <c r="U534" s="25" t="s">
        <v>1663</v>
      </c>
      <c r="V534" s="25" t="s">
        <v>68</v>
      </c>
      <c r="W534" s="20" t="str">
        <f>IF(ISBLANK(O534),"是","否")</f>
        <v>否</v>
      </c>
      <c r="X534" s="20"/>
      <c r="Y534" s="25"/>
      <c r="Z534" s="25"/>
      <c r="AA534" s="20"/>
      <c r="AB534" s="20"/>
      <c r="AC534" s="20" t="s">
        <v>76</v>
      </c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</row>
    <row r="535" ht="29.59398496240601" customHeight="1" spans="1:52" x14ac:dyDescent="0.25">
      <c r="A535" s="19" t="s">
        <v>282</v>
      </c>
      <c r="B535" s="20" t="s">
        <v>57</v>
      </c>
      <c r="C535" s="21"/>
      <c r="D535" s="22"/>
      <c r="E535" s="41"/>
      <c r="F535" s="29" t="s">
        <v>2625</v>
      </c>
      <c r="G535" s="20" t="str">
        <f>SUBSTITUTE(SUBSTITUTE(SUBSTITUTE(O535,"/@","_"),"/cac:","_"),"/cbc:","_")</f>
        <v>Invoice_Delivery_Shipment_OriginAddress_StreetName</v>
      </c>
      <c r="H535" s="19" t="s">
        <v>285</v>
      </c>
      <c r="I535" s="25" t="s">
        <v>2491</v>
      </c>
      <c r="J535" s="25" t="s">
        <v>2626</v>
      </c>
      <c r="K535" s="25" t="s">
        <v>2627</v>
      </c>
      <c r="L535" s="25" t="s">
        <v>228</v>
      </c>
      <c r="M535" s="25" t="s">
        <v>64</v>
      </c>
      <c r="N535" s="26" t="str">
        <f>IF(O535="","",LEN(O535)-LEN(SUBSTITUTE(O535,"/",""))+IF(ISNUMBER(SEARCH("@",O535)),0,1))</f>
        <v>5</v>
      </c>
      <c r="O535" s="26" t="s">
        <v>2628</v>
      </c>
      <c r="P535" s="20"/>
      <c r="Q535" s="20"/>
      <c r="R535" s="20"/>
      <c r="S535" s="25" t="s">
        <v>2629</v>
      </c>
      <c r="T535" s="20"/>
      <c r="U535" s="25" t="s">
        <v>1663</v>
      </c>
      <c r="V535" s="25" t="s">
        <v>68</v>
      </c>
      <c r="W535" s="20" t="str">
        <f>IF(ISBLANK(O535),"是","否")</f>
        <v>否</v>
      </c>
      <c r="X535" s="20"/>
      <c r="Y535" s="25"/>
      <c r="Z535" s="25"/>
      <c r="AA535" s="20"/>
      <c r="AB535" s="20"/>
      <c r="AC535" s="20" t="s">
        <v>76</v>
      </c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</row>
    <row r="536" ht="29.59398496240601" customHeight="1" spans="1:52" x14ac:dyDescent="0.25">
      <c r="A536" s="19" t="s">
        <v>282</v>
      </c>
      <c r="B536" s="20" t="s">
        <v>57</v>
      </c>
      <c r="C536" s="21"/>
      <c r="D536" s="22"/>
      <c r="E536" s="41"/>
      <c r="F536" s="29" t="s">
        <v>2630</v>
      </c>
      <c r="G536" s="20" t="str">
        <f>SUBSTITUTE(SUBSTITUTE(SUBSTITUTE(O536,"/@","_"),"/cac:","_"),"/cbc:","_")</f>
        <v>Invoice_Delivery_Shipment_OriginAddress_AdditionalStreetName</v>
      </c>
      <c r="H536" s="19" t="s">
        <v>480</v>
      </c>
      <c r="I536" s="25" t="s">
        <v>2499</v>
      </c>
      <c r="J536" s="25" t="s">
        <v>2631</v>
      </c>
      <c r="K536" s="25" t="s">
        <v>1392</v>
      </c>
      <c r="L536" s="25" t="s">
        <v>228</v>
      </c>
      <c r="M536" s="25" t="s">
        <v>64</v>
      </c>
      <c r="N536" s="26" t="str">
        <f>IF(O536="","",LEN(O536)-LEN(SUBSTITUTE(O536,"/",""))+IF(ISNUMBER(SEARCH("@",O536)),0,1))</f>
        <v>5</v>
      </c>
      <c r="O536" s="26" t="s">
        <v>2632</v>
      </c>
      <c r="P536" s="20"/>
      <c r="Q536" s="20"/>
      <c r="R536" s="20"/>
      <c r="S536" s="25" t="s">
        <v>2633</v>
      </c>
      <c r="T536" s="20"/>
      <c r="U536" s="25" t="s">
        <v>1663</v>
      </c>
      <c r="V536" s="25" t="s">
        <v>68</v>
      </c>
      <c r="W536" s="20" t="str">
        <f>IF(ISBLANK(O536),"是","否")</f>
        <v>否</v>
      </c>
      <c r="X536" s="20"/>
      <c r="Y536" s="25"/>
      <c r="Z536" s="25"/>
      <c r="AA536" s="20"/>
      <c r="AB536" s="20"/>
      <c r="AC536" s="20" t="s">
        <v>76</v>
      </c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</row>
    <row r="537" ht="29.59398496240601" customHeight="1" spans="1:52" x14ac:dyDescent="0.25">
      <c r="A537" s="19" t="s">
        <v>282</v>
      </c>
      <c r="B537" s="20" t="s">
        <v>57</v>
      </c>
      <c r="C537" s="21"/>
      <c r="D537" s="22"/>
      <c r="E537" s="41"/>
      <c r="F537" s="29" t="s">
        <v>2634</v>
      </c>
      <c r="G537" s="20" t="str">
        <f>SUBSTITUTE(SUBSTITUTE(SUBSTITUTE(O537,"/@","_"),"/cac:","_"),"/cbc:","_")</f>
        <v>Invoice_Delivery_Shipment_OriginAddress_BuildingNumber</v>
      </c>
      <c r="H537" s="19" t="s">
        <v>486</v>
      </c>
      <c r="I537" s="25" t="s">
        <v>2635</v>
      </c>
      <c r="J537" s="25" t="s">
        <v>2636</v>
      </c>
      <c r="K537" s="25" t="s">
        <v>1392</v>
      </c>
      <c r="L537" s="25" t="s">
        <v>228</v>
      </c>
      <c r="M537" s="25" t="s">
        <v>64</v>
      </c>
      <c r="N537" s="26" t="str">
        <f>IF(O537="","",LEN(O537)-LEN(SUBSTITUTE(O537,"/",""))+IF(ISNUMBER(SEARCH("@",O537)),0,1))</f>
        <v>5</v>
      </c>
      <c r="O537" s="26" t="s">
        <v>2637</v>
      </c>
      <c r="P537" s="20"/>
      <c r="Q537" s="20"/>
      <c r="R537" s="20"/>
      <c r="S537" s="25">
        <v>88</v>
      </c>
      <c r="T537" s="20"/>
      <c r="U537" s="25" t="s">
        <v>1663</v>
      </c>
      <c r="V537" s="25" t="s">
        <v>68</v>
      </c>
      <c r="W537" s="20" t="str">
        <f>IF(ISBLANK(O537),"是","否")</f>
        <v>否</v>
      </c>
      <c r="X537" s="20"/>
      <c r="Y537" s="25"/>
      <c r="Z537" s="25"/>
      <c r="AA537" s="20"/>
      <c r="AB537" s="20"/>
      <c r="AC537" s="20" t="s">
        <v>76</v>
      </c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</row>
    <row r="538" ht="29.59398496240601" customHeight="1" spans="1:52" x14ac:dyDescent="0.25">
      <c r="A538" s="19" t="s">
        <v>282</v>
      </c>
      <c r="B538" s="20" t="s">
        <v>57</v>
      </c>
      <c r="C538" s="21"/>
      <c r="D538" s="22"/>
      <c r="E538" s="41"/>
      <c r="F538" s="29" t="s">
        <v>2638</v>
      </c>
      <c r="G538" s="20" t="str">
        <f>SUBSTITUTE(SUBSTITUTE(SUBSTITUTE(O538,"/@","_"),"/cac:","_"),"/cbc:","_")</f>
        <v>Invoice_Delivery_Shipment_OriginAddress_Department</v>
      </c>
      <c r="H538" s="19" t="s">
        <v>493</v>
      </c>
      <c r="I538" s="25" t="s">
        <v>2639</v>
      </c>
      <c r="J538" s="25" t="s">
        <v>2640</v>
      </c>
      <c r="K538" s="25" t="s">
        <v>1392</v>
      </c>
      <c r="L538" s="25" t="s">
        <v>228</v>
      </c>
      <c r="M538" s="25" t="s">
        <v>64</v>
      </c>
      <c r="N538" s="26" t="str">
        <f>IF(O538="","",LEN(O538)-LEN(SUBSTITUTE(O538,"/",""))+IF(ISNUMBER(SEARCH("@",O538)),0,1))</f>
        <v>5</v>
      </c>
      <c r="O538" s="26" t="s">
        <v>2641</v>
      </c>
      <c r="P538" s="20"/>
      <c r="Q538" s="20"/>
      <c r="R538" s="20"/>
      <c r="S538" s="25" t="s">
        <v>2642</v>
      </c>
      <c r="T538" s="20"/>
      <c r="U538" s="25" t="s">
        <v>1663</v>
      </c>
      <c r="V538" s="25" t="s">
        <v>68</v>
      </c>
      <c r="W538" s="20" t="str">
        <f>IF(ISBLANK(O538),"是","否")</f>
        <v>否</v>
      </c>
      <c r="X538" s="20"/>
      <c r="Y538" s="25"/>
      <c r="Z538" s="25"/>
      <c r="AA538" s="20"/>
      <c r="AB538" s="20"/>
      <c r="AC538" s="20" t="s">
        <v>76</v>
      </c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</row>
    <row r="539" ht="29.59398496240601" customHeight="1" spans="1:52" x14ac:dyDescent="0.25">
      <c r="A539" s="19" t="s">
        <v>282</v>
      </c>
      <c r="B539" s="20" t="s">
        <v>57</v>
      </c>
      <c r="C539" s="21"/>
      <c r="D539" s="22"/>
      <c r="E539" s="41"/>
      <c r="F539" s="29" t="s">
        <v>2643</v>
      </c>
      <c r="G539" s="20" t="str">
        <f>SUBSTITUTE(SUBSTITUTE(SUBSTITUTE(O539,"/@","_"),"/cac:","_"),"/cbc:","_")</f>
        <v>Invoice_Delivery_Shipment_OriginAddress_PlotIdentification</v>
      </c>
      <c r="H539" s="19" t="s">
        <v>499</v>
      </c>
      <c r="I539" s="25" t="s">
        <v>2644</v>
      </c>
      <c r="J539" s="25" t="s">
        <v>2645</v>
      </c>
      <c r="K539" s="25" t="s">
        <v>1392</v>
      </c>
      <c r="L539" s="25" t="s">
        <v>228</v>
      </c>
      <c r="M539" s="25" t="s">
        <v>64</v>
      </c>
      <c r="N539" s="26" t="str">
        <f>IF(O539="","",LEN(O539)-LEN(SUBSTITUTE(O539,"/",""))+IF(ISNUMBER(SEARCH("@",O539)),0,1))</f>
        <v>5</v>
      </c>
      <c r="O539" s="26" t="s">
        <v>2646</v>
      </c>
      <c r="P539" s="20"/>
      <c r="Q539" s="20"/>
      <c r="R539" s="20"/>
      <c r="S539" s="25" t="s">
        <v>681</v>
      </c>
      <c r="T539" s="20"/>
      <c r="U539" s="25" t="s">
        <v>1663</v>
      </c>
      <c r="V539" s="25" t="s">
        <v>68</v>
      </c>
      <c r="W539" s="20" t="str">
        <f>IF(ISBLANK(O539),"是","否")</f>
        <v>否</v>
      </c>
      <c r="X539" s="20"/>
      <c r="Y539" s="25"/>
      <c r="Z539" s="25"/>
      <c r="AA539" s="20"/>
      <c r="AB539" s="20"/>
      <c r="AC539" s="20" t="s">
        <v>76</v>
      </c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</row>
    <row r="540" ht="29.59398496240601" customHeight="1" spans="1:52" x14ac:dyDescent="0.25">
      <c r="A540" s="19" t="s">
        <v>282</v>
      </c>
      <c r="B540" s="20" t="s">
        <v>57</v>
      </c>
      <c r="C540" s="21"/>
      <c r="D540" s="22"/>
      <c r="E540" s="41"/>
      <c r="F540" s="29" t="s">
        <v>2647</v>
      </c>
      <c r="G540" s="20" t="str">
        <f>SUBSTITUTE(SUBSTITUTE(SUBSTITUTE(O540,"/@","_"),"/cac:","_"),"/cbc:","_")</f>
        <v>Invoice_Delivery_Shipment_OriginAddress_CitySubdivisionName</v>
      </c>
      <c r="H540" s="19" t="s">
        <v>504</v>
      </c>
      <c r="I540" s="25" t="s">
        <v>2648</v>
      </c>
      <c r="J540" s="25" t="s">
        <v>2649</v>
      </c>
      <c r="K540" s="25" t="s">
        <v>1392</v>
      </c>
      <c r="L540" s="25" t="s">
        <v>228</v>
      </c>
      <c r="M540" s="25" t="s">
        <v>64</v>
      </c>
      <c r="N540" s="26" t="str">
        <f>IF(O540="","",LEN(O540)-LEN(SUBSTITUTE(O540,"/",""))+IF(ISNUMBER(SEARCH("@",O540)),0,1))</f>
        <v>5</v>
      </c>
      <c r="O540" s="26" t="s">
        <v>2650</v>
      </c>
      <c r="P540" s="20"/>
      <c r="Q540" s="20"/>
      <c r="R540" s="20"/>
      <c r="S540" s="25" t="s">
        <v>2651</v>
      </c>
      <c r="T540" s="20"/>
      <c r="U540" s="25" t="s">
        <v>1663</v>
      </c>
      <c r="V540" s="25" t="s">
        <v>68</v>
      </c>
      <c r="W540" s="20" t="str">
        <f>IF(ISBLANK(O540),"是","否")</f>
        <v>否</v>
      </c>
      <c r="X540" s="20"/>
      <c r="Y540" s="25"/>
      <c r="Z540" s="25"/>
      <c r="AA540" s="20"/>
      <c r="AB540" s="20"/>
      <c r="AC540" s="20" t="s">
        <v>76</v>
      </c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</row>
    <row r="541" ht="29.59398496240601" customHeight="1" spans="1:52" x14ac:dyDescent="0.25">
      <c r="A541" s="19" t="s">
        <v>282</v>
      </c>
      <c r="B541" s="20" t="s">
        <v>57</v>
      </c>
      <c r="C541" s="21"/>
      <c r="D541" s="22"/>
      <c r="E541" s="41"/>
      <c r="F541" s="29" t="s">
        <v>2652</v>
      </c>
      <c r="G541" s="20" t="str">
        <f>SUBSTITUTE(SUBSTITUTE(SUBSTITUTE(O541,"/@","_"),"/cac:","_"),"/cbc:","_")</f>
        <v>Invoice_Delivery_Shipment_OriginAddress_CityName</v>
      </c>
      <c r="H541" s="19" t="s">
        <v>292</v>
      </c>
      <c r="I541" s="25" t="s">
        <v>2507</v>
      </c>
      <c r="J541" s="25" t="s">
        <v>2653</v>
      </c>
      <c r="K541" s="25" t="s">
        <v>2654</v>
      </c>
      <c r="L541" s="25" t="s">
        <v>228</v>
      </c>
      <c r="M541" s="25" t="s">
        <v>64</v>
      </c>
      <c r="N541" s="26" t="str">
        <f>IF(O541="","",LEN(O541)-LEN(SUBSTITUTE(O541,"/",""))+IF(ISNUMBER(SEARCH("@",O541)),0,1))</f>
        <v>5</v>
      </c>
      <c r="O541" s="26" t="s">
        <v>2655</v>
      </c>
      <c r="P541" s="20"/>
      <c r="Q541" s="20"/>
      <c r="R541" s="20"/>
      <c r="S541" s="25" t="s">
        <v>2656</v>
      </c>
      <c r="T541" s="20"/>
      <c r="U541" s="25" t="s">
        <v>1663</v>
      </c>
      <c r="V541" s="25" t="s">
        <v>68</v>
      </c>
      <c r="W541" s="20" t="str">
        <f>IF(ISBLANK(O541),"是","否")</f>
        <v>否</v>
      </c>
      <c r="X541" s="20"/>
      <c r="Y541" s="25"/>
      <c r="Z541" s="25"/>
      <c r="AA541" s="20"/>
      <c r="AB541" s="20"/>
      <c r="AC541" s="20" t="s">
        <v>76</v>
      </c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</row>
    <row r="542" ht="29.59398496240601" customHeight="1" spans="1:52" x14ac:dyDescent="0.25">
      <c r="A542" s="19" t="s">
        <v>282</v>
      </c>
      <c r="B542" s="20" t="s">
        <v>57</v>
      </c>
      <c r="C542" s="21"/>
      <c r="D542" s="22"/>
      <c r="E542" s="41"/>
      <c r="F542" s="29" t="s">
        <v>2657</v>
      </c>
      <c r="G542" s="20" t="str">
        <f>SUBSTITUTE(SUBSTITUTE(SUBSTITUTE(O542,"/@","_"),"/cac:","_"),"/cbc:","_")</f>
        <v>Invoice_Delivery_Shipment_OriginAddress_PostalZone</v>
      </c>
      <c r="H542" s="19" t="s">
        <v>311</v>
      </c>
      <c r="I542" s="25" t="s">
        <v>2658</v>
      </c>
      <c r="J542" s="25" t="s">
        <v>2659</v>
      </c>
      <c r="K542" s="25" t="s">
        <v>1392</v>
      </c>
      <c r="L542" s="25" t="s">
        <v>228</v>
      </c>
      <c r="M542" s="25" t="s">
        <v>64</v>
      </c>
      <c r="N542" s="26" t="str">
        <f>IF(O542="","",LEN(O542)-LEN(SUBSTITUTE(O542,"/",""))+IF(ISNUMBER(SEARCH("@",O542)),0,1))</f>
        <v>5</v>
      </c>
      <c r="O542" s="26" t="s">
        <v>2660</v>
      </c>
      <c r="P542" s="20"/>
      <c r="Q542" s="20"/>
      <c r="R542" s="20"/>
      <c r="S542" s="25">
        <v>100000</v>
      </c>
      <c r="T542" s="20"/>
      <c r="U542" s="25" t="s">
        <v>1663</v>
      </c>
      <c r="V542" s="25" t="s">
        <v>68</v>
      </c>
      <c r="W542" s="20" t="str">
        <f>IF(ISBLANK(O542),"是","否")</f>
        <v>否</v>
      </c>
      <c r="X542" s="20"/>
      <c r="Y542" s="25"/>
      <c r="Z542" s="25"/>
      <c r="AA542" s="20"/>
      <c r="AB542" s="20"/>
      <c r="AC542" s="20" t="s">
        <v>76</v>
      </c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</row>
    <row r="543" ht="29.59398496240601" customHeight="1" spans="1:52" x14ac:dyDescent="0.25">
      <c r="A543" s="19" t="s">
        <v>282</v>
      </c>
      <c r="B543" s="20" t="s">
        <v>57</v>
      </c>
      <c r="C543" s="21"/>
      <c r="D543" s="22"/>
      <c r="E543" s="41"/>
      <c r="F543" s="29" t="s">
        <v>2661</v>
      </c>
      <c r="G543" s="20" t="str">
        <f>SUBSTITUTE(SUBSTITUTE(SUBSTITUTE(O543,"/@","_"),"/cac:","_"),"/cbc:","_")</f>
        <v>Invoice_Delivery_Shipment_OriginAddress_CountrySubentity</v>
      </c>
      <c r="H543" s="19" t="s">
        <v>299</v>
      </c>
      <c r="I543" s="25" t="s">
        <v>2662</v>
      </c>
      <c r="J543" s="25" t="s">
        <v>2663</v>
      </c>
      <c r="K543" s="25" t="s">
        <v>2523</v>
      </c>
      <c r="L543" s="25" t="s">
        <v>228</v>
      </c>
      <c r="M543" s="25" t="s">
        <v>64</v>
      </c>
      <c r="N543" s="26" t="str">
        <f>IF(O543="","",LEN(O543)-LEN(SUBSTITUTE(O543,"/",""))+IF(ISNUMBER(SEARCH("@",O543)),0,1))</f>
        <v>5</v>
      </c>
      <c r="O543" s="26" t="s">
        <v>2664</v>
      </c>
      <c r="P543" s="20"/>
      <c r="Q543" s="20"/>
      <c r="R543" s="20"/>
      <c r="S543" s="25" t="s">
        <v>2656</v>
      </c>
      <c r="T543" s="20"/>
      <c r="U543" s="25" t="s">
        <v>1663</v>
      </c>
      <c r="V543" s="25" t="s">
        <v>68</v>
      </c>
      <c r="W543" s="20" t="str">
        <f>IF(ISBLANK(O543),"是","否")</f>
        <v>否</v>
      </c>
      <c r="X543" s="20"/>
      <c r="Y543" s="25"/>
      <c r="Z543" s="25"/>
      <c r="AA543" s="20"/>
      <c r="AB543" s="20"/>
      <c r="AC543" s="20" t="s">
        <v>76</v>
      </c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</row>
    <row r="544" ht="29.59398496240601" customHeight="1" spans="1:52" x14ac:dyDescent="0.25">
      <c r="A544" s="19" t="s">
        <v>282</v>
      </c>
      <c r="B544" s="20" t="s">
        <v>57</v>
      </c>
      <c r="C544" s="21"/>
      <c r="D544" s="22"/>
      <c r="E544" s="41"/>
      <c r="F544" s="29" t="s">
        <v>2665</v>
      </c>
      <c r="G544" s="20" t="str">
        <f>SUBSTITUTE(SUBSTITUTE(SUBSTITUTE(O544,"/@","_"),"/cac:","_"),"/cbc:","_")</f>
        <v>Invoice_Delivery_Shipment_OriginAddress_AddressLine</v>
      </c>
      <c r="H544" s="19" t="s">
        <v>318</v>
      </c>
      <c r="I544" s="25" t="s">
        <v>2527</v>
      </c>
      <c r="J544" s="25" t="s">
        <v>2666</v>
      </c>
      <c r="K544" s="25" t="s">
        <v>2529</v>
      </c>
      <c r="L544" s="25" t="s">
        <v>220</v>
      </c>
      <c r="M544" s="25" t="s">
        <v>64</v>
      </c>
      <c r="N544" s="26" t="str">
        <f>IF(O544="","",LEN(O544)-LEN(SUBSTITUTE(O544,"/",""))+IF(ISNUMBER(SEARCH("@",O544)),0,1))</f>
        <v>5</v>
      </c>
      <c r="O544" s="26" t="s">
        <v>2667</v>
      </c>
      <c r="P544" s="20"/>
      <c r="Q544" s="20"/>
      <c r="R544" s="20"/>
      <c r="S544" s="25" t="s">
        <v>681</v>
      </c>
      <c r="T544" s="20"/>
      <c r="U544" s="25" t="s">
        <v>1663</v>
      </c>
      <c r="V544" s="25" t="s">
        <v>222</v>
      </c>
      <c r="W544" s="20" t="str">
        <f>IF(ISBLANK(O544),"是","否")</f>
        <v>否</v>
      </c>
      <c r="X544" s="20"/>
      <c r="Y544" s="25"/>
      <c r="Z544" s="25"/>
      <c r="AA544" s="20"/>
      <c r="AB544" s="20"/>
      <c r="AC544" s="20" t="s">
        <v>76</v>
      </c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</row>
    <row r="545" ht="29.59398496240601" customHeight="1" spans="1:52" x14ac:dyDescent="0.25">
      <c r="A545" s="19" t="s">
        <v>316</v>
      </c>
      <c r="B545" s="20" t="s">
        <v>57</v>
      </c>
      <c r="C545" s="21"/>
      <c r="D545" s="22"/>
      <c r="E545" s="41"/>
      <c r="F545" s="29" t="s">
        <v>2668</v>
      </c>
      <c r="G545" s="20" t="str">
        <f>SUBSTITUTE(SUBSTITUTE(SUBSTITUTE(O545,"/@","_"),"/cac:","_"),"/cbc:","_")</f>
        <v>Invoice_Delivery_Shipment_OriginAddress_AddressLine_Line</v>
      </c>
      <c r="H545" s="19" t="s">
        <v>323</v>
      </c>
      <c r="I545" s="25" t="s">
        <v>2533</v>
      </c>
      <c r="J545" s="25" t="s">
        <v>2669</v>
      </c>
      <c r="K545" s="25" t="s">
        <v>1392</v>
      </c>
      <c r="L545" s="25" t="s">
        <v>228</v>
      </c>
      <c r="M545" s="25" t="s">
        <v>49</v>
      </c>
      <c r="N545" s="26" t="str">
        <f>IF(O545="","",LEN(O545)-LEN(SUBSTITUTE(O545,"/",""))+IF(ISNUMBER(SEARCH("@",O545)),0,1))</f>
        <v>6</v>
      </c>
      <c r="O545" s="26" t="s">
        <v>2670</v>
      </c>
      <c r="P545" s="20"/>
      <c r="Q545" s="20"/>
      <c r="R545" s="20"/>
      <c r="S545" s="25" t="s">
        <v>2671</v>
      </c>
      <c r="T545" s="20"/>
      <c r="U545" s="25" t="s">
        <v>1663</v>
      </c>
      <c r="V545" s="25" t="s">
        <v>68</v>
      </c>
      <c r="W545" s="20" t="str">
        <f>IF(ISBLANK(O545),"是","否")</f>
        <v>否</v>
      </c>
      <c r="X545" s="20"/>
      <c r="Y545" s="25"/>
      <c r="Z545" s="25"/>
      <c r="AA545" s="20"/>
      <c r="AB545" s="20"/>
      <c r="AC545" s="20" t="s">
        <v>76</v>
      </c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</row>
    <row r="546" ht="39.879699248120296" customHeight="1" spans="1:52" x14ac:dyDescent="0.25">
      <c r="A546" s="19" t="s">
        <v>328</v>
      </c>
      <c r="B546" s="20" t="s">
        <v>57</v>
      </c>
      <c r="C546" s="21"/>
      <c r="D546" s="22"/>
      <c r="E546" s="41"/>
      <c r="F546" s="29" t="s">
        <v>2672</v>
      </c>
      <c r="G546" s="20" t="str">
        <f>SUBSTITUTE(SUBSTITUTE(SUBSTITUTE(O546,"/@","_"),"/cac:","_"),"/cbc:","_")</f>
        <v>Invoice_Delivery_Shipment_OriginAddress_Country_IdentificationCode</v>
      </c>
      <c r="H546" s="19" t="s">
        <v>335</v>
      </c>
      <c r="I546" s="25" t="s">
        <v>2541</v>
      </c>
      <c r="J546" s="25" t="s">
        <v>2673</v>
      </c>
      <c r="K546" s="25" t="s">
        <v>1465</v>
      </c>
      <c r="L546" s="25" t="s">
        <v>1661</v>
      </c>
      <c r="M546" s="25" t="s">
        <v>64</v>
      </c>
      <c r="N546" s="26" t="str">
        <f>IF(O546="","",LEN(O546)-LEN(SUBSTITUTE(O546,"/",""))+IF(ISNUMBER(SEARCH("@",O546)),0,1))</f>
        <v>6</v>
      </c>
      <c r="O546" s="26" t="s">
        <v>2674</v>
      </c>
      <c r="P546" s="20"/>
      <c r="Q546" s="20"/>
      <c r="R546" s="20"/>
      <c r="S546" s="25" t="s">
        <v>773</v>
      </c>
      <c r="T546" s="20"/>
      <c r="U546" s="25" t="s">
        <v>1663</v>
      </c>
      <c r="V546" s="25" t="s">
        <v>68</v>
      </c>
      <c r="W546" s="20" t="str">
        <f>IF(ISBLANK(O546),"是","否")</f>
        <v>否</v>
      </c>
      <c r="X546" s="20"/>
      <c r="Y546" s="25"/>
      <c r="Z546" s="25"/>
      <c r="AA546" s="20"/>
      <c r="AB546" s="20"/>
      <c r="AC546" s="20" t="s">
        <v>76</v>
      </c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</row>
    <row r="547" ht="29.59398496240601" customHeight="1" spans="1:52" x14ac:dyDescent="0.25">
      <c r="A547" s="19" t="s">
        <v>328</v>
      </c>
      <c r="B547" s="20" t="s">
        <v>57</v>
      </c>
      <c r="C547" s="21"/>
      <c r="D547" s="22"/>
      <c r="E547" s="41"/>
      <c r="F547" s="29" t="s">
        <v>2675</v>
      </c>
      <c r="G547" s="20" t="str">
        <f>SUBSTITUTE(SUBSTITUTE(SUBSTITUTE(O547,"/@","_"),"/cac:","_"),"/cbc:","_")</f>
        <v>Invoice_Delivery_Shipment_OriginAddress_Country_Name</v>
      </c>
      <c r="H547" s="19" t="s">
        <v>340</v>
      </c>
      <c r="I547" s="25" t="s">
        <v>2676</v>
      </c>
      <c r="J547" s="25" t="s">
        <v>2677</v>
      </c>
      <c r="K547" s="25" t="s">
        <v>1392</v>
      </c>
      <c r="L547" s="25" t="s">
        <v>228</v>
      </c>
      <c r="M547" s="25" t="s">
        <v>64</v>
      </c>
      <c r="N547" s="26" t="str">
        <f>IF(O547="","",LEN(O547)-LEN(SUBSTITUTE(O547,"/",""))+IF(ISNUMBER(SEARCH("@",O547)),0,1))</f>
        <v>6</v>
      </c>
      <c r="O547" s="26" t="s">
        <v>2678</v>
      </c>
      <c r="P547" s="20"/>
      <c r="Q547" s="20"/>
      <c r="R547" s="20"/>
      <c r="S547" s="25" t="s">
        <v>779</v>
      </c>
      <c r="T547" s="20"/>
      <c r="U547" s="25" t="s">
        <v>1663</v>
      </c>
      <c r="V547" s="25" t="s">
        <v>68</v>
      </c>
      <c r="W547" s="20" t="str">
        <f>IF(ISBLANK(O547),"是","否")</f>
        <v>否</v>
      </c>
      <c r="X547" s="20"/>
      <c r="Y547" s="25"/>
      <c r="Z547" s="25"/>
      <c r="AA547" s="20"/>
      <c r="AB547" s="20"/>
      <c r="AC547" s="20" t="s">
        <v>76</v>
      </c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</row>
    <row r="548" ht="29.59398496240601" customHeight="1" spans="1:52" x14ac:dyDescent="0.25">
      <c r="A548" s="19" t="s">
        <v>2439</v>
      </c>
      <c r="B548" s="20" t="s">
        <v>57</v>
      </c>
      <c r="C548" s="21"/>
      <c r="D548" s="22"/>
      <c r="E548" s="41"/>
      <c r="F548" s="29" t="s">
        <v>2679</v>
      </c>
      <c r="G548" s="20" t="str">
        <f>SUBSTITUTE(SUBSTITUTE(SUBSTITUTE(O548,"/@","_"),"/cac:","_"),"/cbc:","_")</f>
        <v>Invoice_Delivery_Shipment_LastExitPortLocation</v>
      </c>
      <c r="H548" s="19" t="s">
        <v>2680</v>
      </c>
      <c r="I548" s="25" t="s">
        <v>2681</v>
      </c>
      <c r="J548" s="25" t="s">
        <v>2682</v>
      </c>
      <c r="K548" s="25" t="s">
        <v>2683</v>
      </c>
      <c r="L548" s="25" t="s">
        <v>220</v>
      </c>
      <c r="M548" s="25" t="s">
        <v>64</v>
      </c>
      <c r="N548" s="26" t="str">
        <f>IF(O548="","",LEN(O548)-LEN(SUBSTITUTE(O548,"/",""))+IF(ISNUMBER(SEARCH("@",O548)),0,1))</f>
        <v>4</v>
      </c>
      <c r="O548" s="26" t="s">
        <v>2684</v>
      </c>
      <c r="P548" s="20"/>
      <c r="Q548" s="20"/>
      <c r="R548" s="20"/>
      <c r="S548" s="25" t="s">
        <v>681</v>
      </c>
      <c r="T548" s="20"/>
      <c r="U548" s="25" t="s">
        <v>1663</v>
      </c>
      <c r="V548" s="25" t="s">
        <v>222</v>
      </c>
      <c r="W548" s="20" t="str">
        <f>IF(ISBLANK(O548),"是","否")</f>
        <v>否</v>
      </c>
      <c r="X548" s="20"/>
      <c r="Y548" s="25"/>
      <c r="Z548" s="25"/>
      <c r="AA548" s="20"/>
      <c r="AB548" s="20"/>
      <c r="AC548" s="20" t="s">
        <v>76</v>
      </c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</row>
    <row r="549" ht="29.59398496240601" customHeight="1" spans="1:52" x14ac:dyDescent="0.25">
      <c r="A549" s="19" t="s">
        <v>41</v>
      </c>
      <c r="B549" s="20" t="s">
        <v>57</v>
      </c>
      <c r="C549" s="21"/>
      <c r="D549" s="22"/>
      <c r="E549" s="21" t="s">
        <v>2685</v>
      </c>
      <c r="F549" s="29" t="s">
        <v>2685</v>
      </c>
      <c r="G549" s="20" t="str">
        <f>SUBSTITUTE(SUBSTITUTE(SUBSTITUTE(O549,"/@","_"),"/cac:","_"),"/cbc:","_")</f>
        <v>Invoice_DeliveryTerms</v>
      </c>
      <c r="H549" s="19" t="s">
        <v>2686</v>
      </c>
      <c r="I549" s="25" t="s">
        <v>2687</v>
      </c>
      <c r="J549" s="25" t="s">
        <v>2688</v>
      </c>
      <c r="K549" s="25" t="s">
        <v>2689</v>
      </c>
      <c r="L549" s="25" t="s">
        <v>220</v>
      </c>
      <c r="M549" s="25" t="s">
        <v>64</v>
      </c>
      <c r="N549" s="26" t="str">
        <f>IF(O549="","",LEN(O549)-LEN(SUBSTITUTE(O549,"/",""))+IF(ISNUMBER(SEARCH("@",O549)),0,1))</f>
        <v>2</v>
      </c>
      <c r="O549" s="26" t="s">
        <v>2690</v>
      </c>
      <c r="P549" s="20"/>
      <c r="Q549" s="20"/>
      <c r="R549" s="20"/>
      <c r="S549" s="25" t="s">
        <v>681</v>
      </c>
      <c r="T549" s="20"/>
      <c r="U549" s="25" t="s">
        <v>1663</v>
      </c>
      <c r="V549" s="25" t="s">
        <v>222</v>
      </c>
      <c r="W549" s="20" t="str">
        <f>IF(ISBLANK(O549),"是","否")</f>
        <v>否</v>
      </c>
      <c r="X549" s="20"/>
      <c r="Y549" s="25"/>
      <c r="Z549" s="25"/>
      <c r="AA549" s="20"/>
      <c r="AB549" s="20"/>
      <c r="AC549" s="20" t="s">
        <v>76</v>
      </c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</row>
    <row r="550" ht="29.59398496240601" customHeight="1" spans="1:52" x14ac:dyDescent="0.25">
      <c r="A550" s="19" t="s">
        <v>2685</v>
      </c>
      <c r="B550" s="20" t="s">
        <v>57</v>
      </c>
      <c r="C550" s="21"/>
      <c r="D550" s="22"/>
      <c r="E550" s="21" t="s">
        <v>81</v>
      </c>
      <c r="F550" s="29" t="s">
        <v>2691</v>
      </c>
      <c r="G550" s="20" t="str">
        <f>SUBSTITUTE(SUBSTITUTE(SUBSTITUTE(O550,"/@","_"),"/cac:","_"),"/cbc:","_")</f>
        <v>Invoice_DeliveryTerms_ID</v>
      </c>
      <c r="H550" s="19" t="s">
        <v>2692</v>
      </c>
      <c r="I550" s="25" t="s">
        <v>2693</v>
      </c>
      <c r="J550" s="25" t="s">
        <v>2694</v>
      </c>
      <c r="K550" s="25" t="s">
        <v>2695</v>
      </c>
      <c r="L550" s="25" t="s">
        <v>1661</v>
      </c>
      <c r="M550" s="25" t="s">
        <v>64</v>
      </c>
      <c r="N550" s="26" t="str">
        <f>IF(O550="","",LEN(O550)-LEN(SUBSTITUTE(O550,"/",""))+IF(ISNUMBER(SEARCH("@",O550)),0,1))</f>
        <v>3</v>
      </c>
      <c r="O550" s="26" t="s">
        <v>2696</v>
      </c>
      <c r="P550" s="20"/>
      <c r="Q550" s="20"/>
      <c r="R550" s="20"/>
      <c r="S550" s="25" t="s">
        <v>2697</v>
      </c>
      <c r="T550" s="20"/>
      <c r="U550" s="25" t="s">
        <v>1663</v>
      </c>
      <c r="V550" s="25" t="s">
        <v>68</v>
      </c>
      <c r="W550" s="20" t="str">
        <f>IF(ISBLANK(O550),"是","否")</f>
        <v>否</v>
      </c>
      <c r="X550" s="20"/>
      <c r="Y550" s="25"/>
      <c r="Z550" s="25"/>
      <c r="AA550" s="20"/>
      <c r="AB550" s="20"/>
      <c r="AC550" s="20" t="s">
        <v>76</v>
      </c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</row>
    <row r="551" ht="29.59398496240601" customHeight="1" spans="1:52" x14ac:dyDescent="0.25">
      <c r="A551" s="19" t="s">
        <v>2685</v>
      </c>
      <c r="B551" s="20" t="s">
        <v>57</v>
      </c>
      <c r="C551" s="21"/>
      <c r="D551" s="22"/>
      <c r="E551" s="21" t="s">
        <v>2698</v>
      </c>
      <c r="F551" s="29" t="s">
        <v>2699</v>
      </c>
      <c r="G551" s="20" t="str">
        <f>SUBSTITUTE(SUBSTITUTE(SUBSTITUTE(O551,"/@","_"),"/cac:","_"),"/cbc:","_")</f>
        <v>Invoice_DeliveryTerms_SpecialTerms</v>
      </c>
      <c r="H551" s="19" t="s">
        <v>2700</v>
      </c>
      <c r="I551" s="25" t="s">
        <v>2701</v>
      </c>
      <c r="J551" s="25" t="s">
        <v>2702</v>
      </c>
      <c r="K551" s="25" t="s">
        <v>2703</v>
      </c>
      <c r="L551" s="25" t="s">
        <v>228</v>
      </c>
      <c r="M551" s="25" t="s">
        <v>64</v>
      </c>
      <c r="N551" s="26" t="str">
        <f>IF(O551="","",LEN(O551)-LEN(SUBSTITUTE(O551,"/",""))+IF(ISNUMBER(SEARCH("@",O551)),0,1))</f>
        <v>3</v>
      </c>
      <c r="O551" s="26" t="s">
        <v>2704</v>
      </c>
      <c r="P551" s="20"/>
      <c r="Q551" s="20"/>
      <c r="R551" s="20"/>
      <c r="S551" s="25" t="s">
        <v>2705</v>
      </c>
      <c r="T551" s="20"/>
      <c r="U551" s="25" t="s">
        <v>1663</v>
      </c>
      <c r="V551" s="25" t="s">
        <v>68</v>
      </c>
      <c r="W551" s="20" t="str">
        <f>IF(ISBLANK(O551),"是","否")</f>
        <v>否</v>
      </c>
      <c r="X551" s="20"/>
      <c r="Y551" s="25"/>
      <c r="Z551" s="25"/>
      <c r="AA551" s="20"/>
      <c r="AB551" s="20"/>
      <c r="AC551" s="20" t="s">
        <v>76</v>
      </c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</row>
    <row r="552" ht="29.59398496240601" customHeight="1" spans="1:52" x14ac:dyDescent="0.25">
      <c r="A552" s="19" t="s">
        <v>2685</v>
      </c>
      <c r="B552" s="20" t="s">
        <v>57</v>
      </c>
      <c r="C552" s="21"/>
      <c r="D552" s="22"/>
      <c r="E552" s="21" t="s">
        <v>2706</v>
      </c>
      <c r="F552" s="29" t="s">
        <v>2707</v>
      </c>
      <c r="G552" s="20" t="str">
        <f>SUBSTITUTE(SUBSTITUTE(SUBSTITUTE(O552,"/@","_"),"/cac:","_"),"/cbc:","_")</f>
        <v>Invoice_DeliveryTerms_LossRiskResponsibilityCode</v>
      </c>
      <c r="H552" s="19" t="s">
        <v>2708</v>
      </c>
      <c r="I552" s="25" t="s">
        <v>2709</v>
      </c>
      <c r="J552" s="25" t="s">
        <v>2710</v>
      </c>
      <c r="K552" s="25" t="s">
        <v>2711</v>
      </c>
      <c r="L552" s="25" t="s">
        <v>1661</v>
      </c>
      <c r="M552" s="25" t="s">
        <v>64</v>
      </c>
      <c r="N552" s="26" t="str">
        <f>IF(O552="","",LEN(O552)-LEN(SUBSTITUTE(O552,"/",""))+IF(ISNUMBER(SEARCH("@",O552)),0,1))</f>
        <v>3</v>
      </c>
      <c r="O552" s="26" t="s">
        <v>2712</v>
      </c>
      <c r="P552" s="20"/>
      <c r="Q552" s="20"/>
      <c r="R552" s="20"/>
      <c r="S552" s="25" t="s">
        <v>681</v>
      </c>
      <c r="T552" s="20"/>
      <c r="U552" s="25" t="s">
        <v>1663</v>
      </c>
      <c r="V552" s="25" t="s">
        <v>68</v>
      </c>
      <c r="W552" s="20" t="str">
        <f>IF(ISBLANK(O552),"是","否")</f>
        <v>否</v>
      </c>
      <c r="X552" s="20"/>
      <c r="Y552" s="25"/>
      <c r="Z552" s="25"/>
      <c r="AA552" s="20"/>
      <c r="AB552" s="20"/>
      <c r="AC552" s="20" t="s">
        <v>76</v>
      </c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</row>
    <row r="553" ht="29.59398496240601" customHeight="1" spans="1:52" x14ac:dyDescent="0.25">
      <c r="A553" s="19" t="s">
        <v>2685</v>
      </c>
      <c r="B553" s="20" t="s">
        <v>57</v>
      </c>
      <c r="C553" s="21"/>
      <c r="D553" s="22"/>
      <c r="E553" s="21" t="s">
        <v>2713</v>
      </c>
      <c r="F553" s="29" t="s">
        <v>2714</v>
      </c>
      <c r="G553" s="20" t="str">
        <f>SUBSTITUTE(SUBSTITUTE(SUBSTITUTE(O553,"/@","_"),"/cac:","_"),"/cbc:","_")</f>
        <v>Invoice_DeliveryTerms_LossRisk</v>
      </c>
      <c r="H553" s="19" t="s">
        <v>2715</v>
      </c>
      <c r="I553" s="25" t="s">
        <v>2716</v>
      </c>
      <c r="J553" s="25" t="s">
        <v>2717</v>
      </c>
      <c r="K553" s="25" t="s">
        <v>2718</v>
      </c>
      <c r="L553" s="25" t="s">
        <v>228</v>
      </c>
      <c r="M553" s="25" t="s">
        <v>64</v>
      </c>
      <c r="N553" s="26" t="str">
        <f>IF(O553="","",LEN(O553)-LEN(SUBSTITUTE(O553,"/",""))+IF(ISNUMBER(SEARCH("@",O553)),0,1))</f>
        <v>3</v>
      </c>
      <c r="O553" s="26" t="s">
        <v>2719</v>
      </c>
      <c r="P553" s="20"/>
      <c r="Q553" s="20"/>
      <c r="R553" s="20"/>
      <c r="S553" s="25" t="s">
        <v>2720</v>
      </c>
      <c r="T553" s="20"/>
      <c r="U553" s="25" t="s">
        <v>1663</v>
      </c>
      <c r="V553" s="25" t="s">
        <v>68</v>
      </c>
      <c r="W553" s="20" t="str">
        <f>IF(ISBLANK(O553),"是","否")</f>
        <v>否</v>
      </c>
      <c r="X553" s="20"/>
      <c r="Y553" s="25"/>
      <c r="Z553" s="25"/>
      <c r="AA553" s="20"/>
      <c r="AB553" s="20"/>
      <c r="AC553" s="20" t="s">
        <v>76</v>
      </c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</row>
    <row r="554" ht="29.59398496240601" customHeight="1" spans="1:52" x14ac:dyDescent="0.25">
      <c r="A554" s="19" t="s">
        <v>41</v>
      </c>
      <c r="B554" s="20" t="s">
        <v>57</v>
      </c>
      <c r="C554" s="21"/>
      <c r="D554" s="22"/>
      <c r="E554" s="21" t="s">
        <v>2721</v>
      </c>
      <c r="F554" s="29" t="s">
        <v>2722</v>
      </c>
      <c r="G554" s="20" t="str">
        <f>SUBSTITUTE(SUBSTITUTE(SUBSTITUTE(O554,"/@","_"),"/cac:","_"),"/cbc:","_")</f>
        <v>Invoice_PaymentMeans</v>
      </c>
      <c r="H554" s="19" t="s">
        <v>2723</v>
      </c>
      <c r="I554" s="25" t="s">
        <v>2724</v>
      </c>
      <c r="J554" s="25" t="s">
        <v>2725</v>
      </c>
      <c r="K554" s="25" t="s">
        <v>2726</v>
      </c>
      <c r="L554" s="25" t="s">
        <v>220</v>
      </c>
      <c r="M554" s="25" t="s">
        <v>49</v>
      </c>
      <c r="N554" s="26" t="str">
        <f>IF(O554="","",LEN(O554)-LEN(SUBSTITUTE(O554,"/",""))+IF(ISNUMBER(SEARCH("@",O554)),0,1))</f>
        <v>2</v>
      </c>
      <c r="O554" s="26" t="s">
        <v>2727</v>
      </c>
      <c r="P554" s="20"/>
      <c r="Q554" s="20"/>
      <c r="R554" s="20"/>
      <c r="S554" s="25" t="s">
        <v>681</v>
      </c>
      <c r="T554" s="20"/>
      <c r="U554" s="25" t="s">
        <v>1663</v>
      </c>
      <c r="V554" s="25" t="s">
        <v>222</v>
      </c>
      <c r="W554" s="20" t="str">
        <f>IF(ISBLANK(O554),"是","否")</f>
        <v>否</v>
      </c>
      <c r="X554" s="20"/>
      <c r="Y554" s="25"/>
      <c r="Z554" s="25"/>
      <c r="AA554" s="20"/>
      <c r="AB554" s="20"/>
      <c r="AC554" s="20" t="s">
        <v>76</v>
      </c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</row>
    <row r="555" ht="50.16541353383458" customHeight="1" spans="1:52" x14ac:dyDescent="0.25">
      <c r="A555" s="19" t="s">
        <v>2721</v>
      </c>
      <c r="B555" s="20" t="s">
        <v>57</v>
      </c>
      <c r="C555" s="21"/>
      <c r="D555" s="22"/>
      <c r="E555" s="21" t="s">
        <v>2728</v>
      </c>
      <c r="F555" s="29" t="s">
        <v>2729</v>
      </c>
      <c r="G555" s="20" t="str">
        <f>SUBSTITUTE(SUBSTITUTE(SUBSTITUTE(O555,"/@","_"),"/cac:","_"),"/cbc:","_")</f>
        <v>Invoice_PaymentMeans_PaymentMeansCode</v>
      </c>
      <c r="H555" s="19" t="s">
        <v>2730</v>
      </c>
      <c r="I555" s="25" t="s">
        <v>2731</v>
      </c>
      <c r="J555" s="25" t="s">
        <v>2732</v>
      </c>
      <c r="K555" s="25" t="s">
        <v>2733</v>
      </c>
      <c r="L555" s="25" t="s">
        <v>1661</v>
      </c>
      <c r="M555" s="25">
        <v>1</v>
      </c>
      <c r="N555" s="26" t="str">
        <f>IF(O555="","",LEN(O555)-LEN(SUBSTITUTE(O555,"/",""))+IF(ISNUMBER(SEARCH("@",O555)),0,1))</f>
        <v>3</v>
      </c>
      <c r="O555" s="26" t="s">
        <v>2734</v>
      </c>
      <c r="P555" s="20"/>
      <c r="Q555" s="20"/>
      <c r="R555" s="20"/>
      <c r="S555" s="25">
        <v>30</v>
      </c>
      <c r="T555" s="20"/>
      <c r="U555" s="25" t="s">
        <v>1663</v>
      </c>
      <c r="V555" s="25" t="s">
        <v>68</v>
      </c>
      <c r="W555" s="20" t="str">
        <f>IF(ISBLANK(O555),"是","否")</f>
        <v>否</v>
      </c>
      <c r="X555" s="20"/>
      <c r="Y555" s="25"/>
      <c r="Z555" s="25"/>
      <c r="AA555" s="20"/>
      <c r="AB555" s="20"/>
      <c r="AC555" s="20" t="s">
        <v>76</v>
      </c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</row>
    <row r="556" ht="29.59398496240601" customHeight="1" spans="1:52" x14ac:dyDescent="0.25">
      <c r="A556" s="19" t="s">
        <v>2721</v>
      </c>
      <c r="B556" s="20" t="s">
        <v>57</v>
      </c>
      <c r="C556" s="21"/>
      <c r="D556" s="22"/>
      <c r="E556" s="21" t="s">
        <v>2735</v>
      </c>
      <c r="F556" s="29" t="s">
        <v>2736</v>
      </c>
      <c r="G556" s="20" t="str">
        <f>SUBSTITUTE(SUBSTITUTE(SUBSTITUTE(O556,"/@","_"),"/cac:","_"),"/cbc:","_")</f>
        <v>Invoice_PaymentMeans_PaymentMeansCode_name</v>
      </c>
      <c r="H556" s="19" t="s">
        <v>2737</v>
      </c>
      <c r="I556" s="25" t="s">
        <v>2738</v>
      </c>
      <c r="J556" s="25" t="s">
        <v>2739</v>
      </c>
      <c r="K556" s="25" t="s">
        <v>2740</v>
      </c>
      <c r="L556" s="25" t="s">
        <v>228</v>
      </c>
      <c r="M556" s="25">
        <v>1</v>
      </c>
      <c r="N556" s="26" t="str">
        <f>IF(O556="","",LEN(O556)-LEN(SUBSTITUTE(O556,"/",""))+IF(ISNUMBER(SEARCH("@",O556)),0,1))</f>
        <v>3</v>
      </c>
      <c r="O556" s="26" t="s">
        <v>2741</v>
      </c>
      <c r="P556" s="20"/>
      <c r="Q556" s="20"/>
      <c r="R556" s="20"/>
      <c r="S556" s="25" t="s">
        <v>2742</v>
      </c>
      <c r="T556" s="20"/>
      <c r="U556" s="25" t="s">
        <v>1663</v>
      </c>
      <c r="V556" s="25" t="s">
        <v>68</v>
      </c>
      <c r="W556" s="20" t="str">
        <f>IF(ISBLANK(O556),"是","否")</f>
        <v>否</v>
      </c>
      <c r="X556" s="20"/>
      <c r="Y556" s="25"/>
      <c r="Z556" s="25"/>
      <c r="AA556" s="20"/>
      <c r="AB556" s="20"/>
      <c r="AC556" s="20" t="s">
        <v>76</v>
      </c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</row>
    <row r="557" ht="29.59398496240601" customHeight="1" spans="1:52" x14ac:dyDescent="0.25">
      <c r="A557" s="19" t="s">
        <v>2721</v>
      </c>
      <c r="B557" s="20" t="s">
        <v>57</v>
      </c>
      <c r="C557" s="21"/>
      <c r="D557" s="22"/>
      <c r="E557" s="21" t="s">
        <v>2743</v>
      </c>
      <c r="F557" s="29" t="s">
        <v>2744</v>
      </c>
      <c r="G557" s="20" t="str">
        <f>SUBSTITUTE(SUBSTITUTE(SUBSTITUTE(O557,"/@","_"),"/cac:","_"),"/cbc:","_")</f>
        <v>Invoice_PaymentMeans_PaymentID</v>
      </c>
      <c r="H557" s="19" t="s">
        <v>2745</v>
      </c>
      <c r="I557" s="25" t="s">
        <v>2746</v>
      </c>
      <c r="J557" s="25" t="s">
        <v>2747</v>
      </c>
      <c r="K557" s="25" t="s">
        <v>2748</v>
      </c>
      <c r="L557" s="25" t="s">
        <v>228</v>
      </c>
      <c r="M557" s="25" t="s">
        <v>64</v>
      </c>
      <c r="N557" s="26" t="str">
        <f>IF(O557="","",LEN(O557)-LEN(SUBSTITUTE(O557,"/",""))+IF(ISNUMBER(SEARCH("@",O557)),0,1))</f>
        <v>3</v>
      </c>
      <c r="O557" s="26" t="s">
        <v>2749</v>
      </c>
      <c r="P557" s="20"/>
      <c r="Q557" s="20"/>
      <c r="R557" s="20"/>
      <c r="S557" s="25" t="s">
        <v>2750</v>
      </c>
      <c r="T557" s="20"/>
      <c r="U557" s="25" t="s">
        <v>1663</v>
      </c>
      <c r="V557" s="25" t="s">
        <v>68</v>
      </c>
      <c r="W557" s="20" t="str">
        <f>IF(ISBLANK(O557),"是","否")</f>
        <v>否</v>
      </c>
      <c r="X557" s="20"/>
      <c r="Y557" s="25"/>
      <c r="Z557" s="25"/>
      <c r="AA557" s="20"/>
      <c r="AB557" s="20"/>
      <c r="AC557" s="20" t="s">
        <v>76</v>
      </c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</row>
    <row r="558" ht="39.879699248120296" customHeight="1" spans="1:52" x14ac:dyDescent="0.25">
      <c r="A558" s="19" t="s">
        <v>2751</v>
      </c>
      <c r="B558" s="20" t="s">
        <v>57</v>
      </c>
      <c r="C558" s="21"/>
      <c r="D558" s="22"/>
      <c r="E558" s="21" t="s">
        <v>2752</v>
      </c>
      <c r="F558" s="29" t="s">
        <v>2753</v>
      </c>
      <c r="G558" s="20" t="str">
        <f>SUBSTITUTE(SUBSTITUTE(SUBSTITUTE(O558,"/@","_"),"/cac:","_"),"/cbc:","_")</f>
        <v>Invoice_PaymentMeans_CardAccount_PrimaryAccountNumberID</v>
      </c>
      <c r="H558" s="19" t="s">
        <v>2754</v>
      </c>
      <c r="I558" s="25" t="s">
        <v>2755</v>
      </c>
      <c r="J558" s="25" t="s">
        <v>2756</v>
      </c>
      <c r="K558" s="25" t="s">
        <v>2757</v>
      </c>
      <c r="L558" s="25" t="s">
        <v>228</v>
      </c>
      <c r="M558" s="25" t="s">
        <v>64</v>
      </c>
      <c r="N558" s="26" t="str">
        <f>IF(O558="","",LEN(O558)-LEN(SUBSTITUTE(O558,"/",""))+IF(ISNUMBER(SEARCH("@",O558)),0,1))</f>
        <v>4</v>
      </c>
      <c r="O558" s="26" t="s">
        <v>2758</v>
      </c>
      <c r="P558" s="20"/>
      <c r="Q558" s="20"/>
      <c r="R558" s="20"/>
      <c r="S558" s="25" t="s">
        <v>2759</v>
      </c>
      <c r="T558" s="20"/>
      <c r="U558" s="25" t="s">
        <v>1663</v>
      </c>
      <c r="V558" s="25" t="s">
        <v>68</v>
      </c>
      <c r="W558" s="20" t="str">
        <f>IF(ISBLANK(O558),"是","否")</f>
        <v>否</v>
      </c>
      <c r="X558" s="20"/>
      <c r="Y558" s="25"/>
      <c r="Z558" s="25"/>
      <c r="AA558" s="20"/>
      <c r="AB558" s="20"/>
      <c r="AC558" s="20" t="s">
        <v>76</v>
      </c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</row>
    <row r="559" ht="29.59398496240601" customHeight="1" spans="1:52" x14ac:dyDescent="0.25">
      <c r="A559" s="19" t="s">
        <v>2751</v>
      </c>
      <c r="B559" s="20" t="s">
        <v>57</v>
      </c>
      <c r="C559" s="21"/>
      <c r="D559" s="22"/>
      <c r="E559" s="21" t="s">
        <v>2760</v>
      </c>
      <c r="F559" s="29" t="s">
        <v>2761</v>
      </c>
      <c r="G559" s="20" t="str">
        <f>SUBSTITUTE(SUBSTITUTE(SUBSTITUTE(O559,"/@","_"),"/cac:","_"),"/cbc:","_")</f>
        <v>Invoice_PaymentMeans_CardAccount_NetworkID</v>
      </c>
      <c r="H559" s="19" t="s">
        <v>2762</v>
      </c>
      <c r="I559" s="25" t="s">
        <v>2763</v>
      </c>
      <c r="J559" s="25" t="s">
        <v>2764</v>
      </c>
      <c r="K559" s="25" t="s">
        <v>2765</v>
      </c>
      <c r="L559" s="25" t="s">
        <v>228</v>
      </c>
      <c r="M559" s="25" t="s">
        <v>64</v>
      </c>
      <c r="N559" s="26" t="str">
        <f>IF(O559="","",LEN(O559)-LEN(SUBSTITUTE(O559,"/",""))+IF(ISNUMBER(SEARCH("@",O559)),0,1))</f>
        <v>4</v>
      </c>
      <c r="O559" s="26" t="s">
        <v>2766</v>
      </c>
      <c r="P559" s="20"/>
      <c r="Q559" s="20"/>
      <c r="R559" s="20"/>
      <c r="S559" s="25" t="s">
        <v>2767</v>
      </c>
      <c r="T559" s="20"/>
      <c r="U559" s="25" t="s">
        <v>1663</v>
      </c>
      <c r="V559" s="25" t="s">
        <v>68</v>
      </c>
      <c r="W559" s="20" t="str">
        <f>IF(ISBLANK(O559),"是","否")</f>
        <v>否</v>
      </c>
      <c r="X559" s="20"/>
      <c r="Y559" s="25"/>
      <c r="Z559" s="25"/>
      <c r="AA559" s="20"/>
      <c r="AB559" s="20"/>
      <c r="AC559" s="20" t="s">
        <v>76</v>
      </c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</row>
    <row r="560" ht="29.59398496240601" customHeight="1" spans="1:52" x14ac:dyDescent="0.25">
      <c r="A560" s="19" t="s">
        <v>2751</v>
      </c>
      <c r="B560" s="20" t="s">
        <v>57</v>
      </c>
      <c r="C560" s="21"/>
      <c r="D560" s="22"/>
      <c r="E560" s="21" t="s">
        <v>2768</v>
      </c>
      <c r="F560" s="29" t="s">
        <v>2769</v>
      </c>
      <c r="G560" s="20" t="str">
        <f>SUBSTITUTE(SUBSTITUTE(SUBSTITUTE(O560,"/@","_"),"/cac:","_"),"/cbc:","_")</f>
        <v>Invoice_PaymentMeans_CardAccount_HolderName</v>
      </c>
      <c r="H560" s="19" t="s">
        <v>2770</v>
      </c>
      <c r="I560" s="25" t="s">
        <v>2771</v>
      </c>
      <c r="J560" s="25" t="s">
        <v>2772</v>
      </c>
      <c r="K560" s="25" t="s">
        <v>1392</v>
      </c>
      <c r="L560" s="25" t="s">
        <v>228</v>
      </c>
      <c r="M560" s="25" t="s">
        <v>64</v>
      </c>
      <c r="N560" s="26" t="str">
        <f>IF(O560="","",LEN(O560)-LEN(SUBSTITUTE(O560,"/",""))+IF(ISNUMBER(SEARCH("@",O560)),0,1))</f>
        <v>4</v>
      </c>
      <c r="O560" s="26" t="s">
        <v>2773</v>
      </c>
      <c r="P560" s="20"/>
      <c r="Q560" s="20"/>
      <c r="R560" s="20"/>
      <c r="S560" s="25" t="s">
        <v>2774</v>
      </c>
      <c r="T560" s="20"/>
      <c r="U560" s="25" t="s">
        <v>1663</v>
      </c>
      <c r="V560" s="25" t="s">
        <v>68</v>
      </c>
      <c r="W560" s="20" t="str">
        <f>IF(ISBLANK(O560),"是","否")</f>
        <v>否</v>
      </c>
      <c r="X560" s="20"/>
      <c r="Y560" s="25"/>
      <c r="Z560" s="25"/>
      <c r="AA560" s="20"/>
      <c r="AB560" s="20"/>
      <c r="AC560" s="20" t="s">
        <v>76</v>
      </c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</row>
    <row r="561" ht="29.59398496240601" customHeight="1" spans="1:52" x14ac:dyDescent="0.25">
      <c r="A561" s="19" t="s">
        <v>2775</v>
      </c>
      <c r="B561" s="20" t="s">
        <v>57</v>
      </c>
      <c r="C561" s="21"/>
      <c r="D561" s="22"/>
      <c r="E561" s="21" t="s">
        <v>2776</v>
      </c>
      <c r="F561" s="29" t="s">
        <v>2777</v>
      </c>
      <c r="G561" s="20" t="str">
        <f>SUBSTITUTE(SUBSTITUTE(SUBSTITUTE(O561,"/@","_"),"/cac:","_"),"/cbc:","_")</f>
        <v>Invoice_PaymentMeans_PayeeFinancialAccount_ID</v>
      </c>
      <c r="H561" s="19" t="s">
        <v>2778</v>
      </c>
      <c r="I561" s="25" t="s">
        <v>2779</v>
      </c>
      <c r="J561" s="25" t="s">
        <v>2780</v>
      </c>
      <c r="K561" s="25" t="s">
        <v>2781</v>
      </c>
      <c r="L561" s="25" t="s">
        <v>228</v>
      </c>
      <c r="M561" s="25" t="s">
        <v>64</v>
      </c>
      <c r="N561" s="26" t="str">
        <f>IF(O561="","",LEN(O561)-LEN(SUBSTITUTE(O561,"/",""))+IF(ISNUMBER(SEARCH("@",O561)),0,1))</f>
        <v>4</v>
      </c>
      <c r="O561" s="26" t="s">
        <v>2782</v>
      </c>
      <c r="P561" s="20"/>
      <c r="Q561" s="20"/>
      <c r="R561" s="20"/>
      <c r="S561" s="25">
        <v>6222020000000000000</v>
      </c>
      <c r="T561" s="20"/>
      <c r="U561" s="25" t="s">
        <v>1663</v>
      </c>
      <c r="V561" s="25" t="s">
        <v>68</v>
      </c>
      <c r="W561" s="20" t="str">
        <f>IF(ISBLANK(O561),"是","否")</f>
        <v>否</v>
      </c>
      <c r="X561" s="20"/>
      <c r="Y561" s="25"/>
      <c r="Z561" s="25"/>
      <c r="AA561" s="20"/>
      <c r="AB561" s="20"/>
      <c r="AC561" s="20" t="s">
        <v>76</v>
      </c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</row>
    <row r="562" ht="29.59398496240601" customHeight="1" spans="1:52" x14ac:dyDescent="0.25">
      <c r="A562" s="19" t="s">
        <v>2775</v>
      </c>
      <c r="B562" s="20" t="s">
        <v>57</v>
      </c>
      <c r="C562" s="21"/>
      <c r="D562" s="22"/>
      <c r="E562" s="21" t="s">
        <v>2783</v>
      </c>
      <c r="F562" s="29" t="s">
        <v>2784</v>
      </c>
      <c r="G562" s="20" t="str">
        <f>SUBSTITUTE(SUBSTITUTE(SUBSTITUTE(O562,"/@","_"),"/cac:","_"),"/cbc:","_")</f>
        <v>Invoice_PaymentMeans_PayeeFinancialAccount_Name</v>
      </c>
      <c r="H562" s="19" t="s">
        <v>2785</v>
      </c>
      <c r="I562" s="25" t="s">
        <v>2786</v>
      </c>
      <c r="J562" s="25" t="s">
        <v>2787</v>
      </c>
      <c r="K562" s="25" t="s">
        <v>2788</v>
      </c>
      <c r="L562" s="25" t="s">
        <v>228</v>
      </c>
      <c r="M562" s="25" t="s">
        <v>64</v>
      </c>
      <c r="N562" s="26" t="str">
        <f>IF(O562="","",LEN(O562)-LEN(SUBSTITUTE(O562,"/",""))+IF(ISNUMBER(SEARCH("@",O562)),0,1))</f>
        <v>4</v>
      </c>
      <c r="O562" s="26" t="s">
        <v>2789</v>
      </c>
      <c r="P562" s="20"/>
      <c r="Q562" s="20"/>
      <c r="R562" s="20"/>
      <c r="S562" s="25" t="s">
        <v>2790</v>
      </c>
      <c r="T562" s="20"/>
      <c r="U562" s="25" t="s">
        <v>1663</v>
      </c>
      <c r="V562" s="25" t="s">
        <v>68</v>
      </c>
      <c r="W562" s="20" t="str">
        <f>IF(ISBLANK(O562),"是","否")</f>
        <v>否</v>
      </c>
      <c r="X562" s="20"/>
      <c r="Y562" s="25"/>
      <c r="Z562" s="25"/>
      <c r="AA562" s="20"/>
      <c r="AB562" s="20"/>
      <c r="AC562" s="20" t="s">
        <v>76</v>
      </c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</row>
    <row r="563" ht="39.879699248120296" customHeight="1" spans="1:52" x14ac:dyDescent="0.25">
      <c r="A563" s="19" t="s">
        <v>2775</v>
      </c>
      <c r="B563" s="20" t="s">
        <v>57</v>
      </c>
      <c r="C563" s="21"/>
      <c r="D563" s="22"/>
      <c r="E563" s="21" t="s">
        <v>2791</v>
      </c>
      <c r="F563" s="29" t="s">
        <v>2792</v>
      </c>
      <c r="G563" s="20" t="str">
        <f>SUBSTITUTE(SUBSTITUTE(SUBSTITUTE(O563,"/@","_"),"/cac:","_"),"/cbc:","_")</f>
        <v>Invoice_PaymentMeans_PayeeFinancialAccount_CurrencyCode</v>
      </c>
      <c r="H563" s="19" t="s">
        <v>2793</v>
      </c>
      <c r="I563" s="25" t="s">
        <v>2794</v>
      </c>
      <c r="J563" s="25" t="s">
        <v>2795</v>
      </c>
      <c r="K563" s="25" t="s">
        <v>2796</v>
      </c>
      <c r="L563" s="25" t="s">
        <v>1661</v>
      </c>
      <c r="M563" s="25" t="s">
        <v>64</v>
      </c>
      <c r="N563" s="26" t="str">
        <f>IF(O563="","",LEN(O563)-LEN(SUBSTITUTE(O563,"/",""))+IF(ISNUMBER(SEARCH("@",O563)),0,1))</f>
        <v>4</v>
      </c>
      <c r="O563" s="26" t="s">
        <v>2797</v>
      </c>
      <c r="P563" s="20"/>
      <c r="Q563" s="20"/>
      <c r="R563" s="20"/>
      <c r="S563" s="25" t="s">
        <v>993</v>
      </c>
      <c r="T563" s="20"/>
      <c r="U563" s="25" t="s">
        <v>1663</v>
      </c>
      <c r="V563" s="25" t="s">
        <v>68</v>
      </c>
      <c r="W563" s="20" t="str">
        <f>IF(ISBLANK(O563),"是","否")</f>
        <v>否</v>
      </c>
      <c r="X563" s="20"/>
      <c r="Y563" s="25"/>
      <c r="Z563" s="25"/>
      <c r="AA563" s="20"/>
      <c r="AB563" s="20"/>
      <c r="AC563" s="20" t="s">
        <v>76</v>
      </c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</row>
    <row r="564" ht="50.16541353383458" customHeight="1" spans="1:52" x14ac:dyDescent="0.25">
      <c r="A564" s="19" t="s">
        <v>2798</v>
      </c>
      <c r="B564" s="20" t="s">
        <v>57</v>
      </c>
      <c r="C564" s="21"/>
      <c r="D564" s="22"/>
      <c r="E564" s="21" t="s">
        <v>2799</v>
      </c>
      <c r="F564" s="29" t="s">
        <v>2800</v>
      </c>
      <c r="G564" s="20" t="str">
        <f>SUBSTITUTE(SUBSTITUTE(SUBSTITUTE(O564,"/@","_"),"/cac:","_"),"/cbc:","_")</f>
        <v>Invoice_PaymentMeans_PayeeFinancialAccount_FinancialInstitutionBranch_ID</v>
      </c>
      <c r="H564" s="19" t="s">
        <v>2801</v>
      </c>
      <c r="I564" s="25" t="s">
        <v>2802</v>
      </c>
      <c r="J564" s="25" t="s">
        <v>2803</v>
      </c>
      <c r="K564" s="25" t="s">
        <v>2804</v>
      </c>
      <c r="L564" s="25" t="s">
        <v>228</v>
      </c>
      <c r="M564" s="25" t="s">
        <v>64</v>
      </c>
      <c r="N564" s="26" t="str">
        <f>IF(O564="","",LEN(O564)-LEN(SUBSTITUTE(O564,"/",""))+IF(ISNUMBER(SEARCH("@",O564)),0,1))</f>
        <v>5</v>
      </c>
      <c r="O564" s="26" t="s">
        <v>2805</v>
      </c>
      <c r="P564" s="20"/>
      <c r="Q564" s="20"/>
      <c r="R564" s="20"/>
      <c r="S564" s="25" t="s">
        <v>2806</v>
      </c>
      <c r="T564" s="20"/>
      <c r="U564" s="25" t="s">
        <v>1663</v>
      </c>
      <c r="V564" s="25" t="s">
        <v>68</v>
      </c>
      <c r="W564" s="20" t="str">
        <f>IF(ISBLANK(O564),"是","否")</f>
        <v>否</v>
      </c>
      <c r="X564" s="20"/>
      <c r="Y564" s="25"/>
      <c r="Z564" s="25"/>
      <c r="AA564" s="20"/>
      <c r="AB564" s="20"/>
      <c r="AC564" s="20" t="s">
        <v>76</v>
      </c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</row>
    <row r="565" ht="50.16541353383458" customHeight="1" spans="1:52" x14ac:dyDescent="0.25">
      <c r="A565" s="19" t="s">
        <v>2798</v>
      </c>
      <c r="B565" s="20" t="s">
        <v>57</v>
      </c>
      <c r="C565" s="21"/>
      <c r="D565" s="22"/>
      <c r="E565" s="21" t="s">
        <v>2807</v>
      </c>
      <c r="F565" s="29" t="s">
        <v>2808</v>
      </c>
      <c r="G565" s="20" t="str">
        <f>SUBSTITUTE(SUBSTITUTE(SUBSTITUTE(O565,"/@","_"),"/cac:","_"),"/cbc:","_")</f>
        <v>Invoice_PaymentMeans_PayeeFinancialAccount_FinancialInstitutionBranch_Name</v>
      </c>
      <c r="H565" s="19" t="s">
        <v>2809</v>
      </c>
      <c r="I565" s="25" t="s">
        <v>2810</v>
      </c>
      <c r="J565" s="25" t="s">
        <v>2811</v>
      </c>
      <c r="K565" s="25" t="s">
        <v>1392</v>
      </c>
      <c r="L565" s="25" t="s">
        <v>228</v>
      </c>
      <c r="M565" s="25" t="s">
        <v>64</v>
      </c>
      <c r="N565" s="26" t="str">
        <f>IF(O565="","",LEN(O565)-LEN(SUBSTITUTE(O565,"/",""))+IF(ISNUMBER(SEARCH("@",O565)),0,1))</f>
        <v>5</v>
      </c>
      <c r="O565" s="26" t="s">
        <v>2812</v>
      </c>
      <c r="P565" s="20"/>
      <c r="Q565" s="20"/>
      <c r="R565" s="20"/>
      <c r="S565" s="25" t="s">
        <v>2813</v>
      </c>
      <c r="T565" s="20"/>
      <c r="U565" s="25" t="s">
        <v>1663</v>
      </c>
      <c r="V565" s="25" t="s">
        <v>68</v>
      </c>
      <c r="W565" s="20" t="str">
        <f>IF(ISBLANK(O565),"是","否")</f>
        <v>否</v>
      </c>
      <c r="X565" s="20"/>
      <c r="Y565" s="25"/>
      <c r="Z565" s="25"/>
      <c r="AA565" s="20"/>
      <c r="AB565" s="20"/>
      <c r="AC565" s="20" t="s">
        <v>76</v>
      </c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</row>
    <row r="566" ht="39.879699248120296" customHeight="1" spans="1:52" x14ac:dyDescent="0.25">
      <c r="A566" s="19" t="s">
        <v>2798</v>
      </c>
      <c r="B566" s="20" t="s">
        <v>57</v>
      </c>
      <c r="C566" s="21"/>
      <c r="D566" s="22"/>
      <c r="E566" s="41"/>
      <c r="F566" s="29" t="s">
        <v>2814</v>
      </c>
      <c r="G566" s="20" t="str">
        <f>SUBSTITUTE(SUBSTITUTE(SUBSTITUTE(O566,"/@","_"),"/cac:","_"),"/cbc:","_")</f>
        <v>Invoice_PaymentMeans_PayeeFinancialAccount_FinancialInstitutionBranch_Address</v>
      </c>
      <c r="H566" s="19" t="s">
        <v>2815</v>
      </c>
      <c r="I566" s="25" t="s">
        <v>2816</v>
      </c>
      <c r="J566" s="35" t="s">
        <v>2817</v>
      </c>
      <c r="K566" s="25" t="s">
        <v>2529</v>
      </c>
      <c r="L566" s="35" t="s">
        <v>220</v>
      </c>
      <c r="M566" s="25" t="s">
        <v>64</v>
      </c>
      <c r="N566" s="26" t="str">
        <f>IF(O566="","",LEN(O566)-LEN(SUBSTITUTE(O566,"/",""))+IF(ISNUMBER(SEARCH("@",O566)),0,1))</f>
        <v>5</v>
      </c>
      <c r="O566" s="26" t="s">
        <v>2818</v>
      </c>
      <c r="P566" s="20"/>
      <c r="Q566" s="20"/>
      <c r="R566" s="20"/>
      <c r="S566" s="25" t="s">
        <v>681</v>
      </c>
      <c r="T566" s="20"/>
      <c r="U566" s="25" t="s">
        <v>1663</v>
      </c>
      <c r="V566" s="25" t="s">
        <v>222</v>
      </c>
      <c r="W566" s="20" t="str">
        <f>IF(ISBLANK(O566),"是","否")</f>
        <v>否</v>
      </c>
      <c r="X566" s="20"/>
      <c r="Y566" s="25"/>
      <c r="Z566" s="25"/>
      <c r="AA566" s="20"/>
      <c r="AB566" s="20"/>
      <c r="AC566" s="20" t="s">
        <v>76</v>
      </c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</row>
    <row r="567" ht="60.45112781954887" customHeight="1" spans="1:52" x14ac:dyDescent="0.25">
      <c r="A567" s="19" t="s">
        <v>282</v>
      </c>
      <c r="B567" s="20" t="s">
        <v>57</v>
      </c>
      <c r="C567" s="21"/>
      <c r="D567" s="22"/>
      <c r="E567" s="21" t="s">
        <v>2819</v>
      </c>
      <c r="F567" s="29" t="s">
        <v>2820</v>
      </c>
      <c r="G567" s="20" t="str">
        <f>SUBSTITUTE(SUBSTITUTE(SUBSTITUTE(O567,"/@","_"),"/cac:","_"),"/cbc:","_")</f>
        <v>Invoice_PaymentMeans_PayeeFinancialAccount_FinancialInstitutionBranch_Address_Postbox</v>
      </c>
      <c r="H567" s="19" t="s">
        <v>2821</v>
      </c>
      <c r="I567" s="25" t="s">
        <v>2822</v>
      </c>
      <c r="J567" s="25" t="s">
        <v>2823</v>
      </c>
      <c r="K567" s="25" t="s">
        <v>1392</v>
      </c>
      <c r="L567" s="25" t="s">
        <v>228</v>
      </c>
      <c r="M567" s="25" t="s">
        <v>64</v>
      </c>
      <c r="N567" s="26" t="str">
        <f>IF(O567="","",LEN(O567)-LEN(SUBSTITUTE(O567,"/",""))+IF(ISNUMBER(SEARCH("@",O567)),0,1))</f>
        <v>6</v>
      </c>
      <c r="O567" s="26" t="s">
        <v>2824</v>
      </c>
      <c r="P567" s="20"/>
      <c r="Q567" s="20"/>
      <c r="R567" s="20"/>
      <c r="S567" s="25" t="s">
        <v>681</v>
      </c>
      <c r="T567" s="20"/>
      <c r="U567" s="25" t="s">
        <v>1663</v>
      </c>
      <c r="V567" s="25" t="s">
        <v>68</v>
      </c>
      <c r="W567" s="20" t="str">
        <f>IF(ISBLANK(O567),"是","否")</f>
        <v>否</v>
      </c>
      <c r="X567" s="20"/>
      <c r="Y567" s="25"/>
      <c r="Z567" s="25"/>
      <c r="AA567" s="20"/>
      <c r="AB567" s="20"/>
      <c r="AC567" s="20" t="s">
        <v>76</v>
      </c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</row>
    <row r="568" ht="60.45112781954887" customHeight="1" spans="1:52" x14ac:dyDescent="0.25">
      <c r="A568" s="19" t="s">
        <v>282</v>
      </c>
      <c r="B568" s="20" t="s">
        <v>57</v>
      </c>
      <c r="C568" s="21"/>
      <c r="D568" s="22"/>
      <c r="E568" s="21" t="s">
        <v>2825</v>
      </c>
      <c r="F568" s="29" t="s">
        <v>2826</v>
      </c>
      <c r="G568" s="20" t="str">
        <f>SUBSTITUTE(SUBSTITUTE(SUBSTITUTE(O568,"/@","_"),"/cac:","_"),"/cbc:","_")</f>
        <v>Invoice_PaymentMeans_PayeeFinancialAccount_FinancialInstitutionBranch_Address_Floor</v>
      </c>
      <c r="H568" s="19" t="s">
        <v>2827</v>
      </c>
      <c r="I568" s="25" t="s">
        <v>2828</v>
      </c>
      <c r="J568" s="25" t="s">
        <v>2829</v>
      </c>
      <c r="K568" s="25" t="s">
        <v>1392</v>
      </c>
      <c r="L568" s="25" t="s">
        <v>228</v>
      </c>
      <c r="M568" s="25" t="s">
        <v>64</v>
      </c>
      <c r="N568" s="26" t="str">
        <f>IF(O568="","",LEN(O568)-LEN(SUBSTITUTE(O568,"/",""))+IF(ISNUMBER(SEARCH("@",O568)),0,1))</f>
        <v>6</v>
      </c>
      <c r="O568" s="26" t="s">
        <v>2830</v>
      </c>
      <c r="P568" s="20"/>
      <c r="Q568" s="20"/>
      <c r="R568" s="20"/>
      <c r="S568" s="25" t="s">
        <v>2831</v>
      </c>
      <c r="T568" s="20"/>
      <c r="U568" s="25" t="s">
        <v>1663</v>
      </c>
      <c r="V568" s="25" t="s">
        <v>68</v>
      </c>
      <c r="W568" s="20" t="str">
        <f>IF(ISBLANK(O568),"是","否")</f>
        <v>否</v>
      </c>
      <c r="X568" s="20"/>
      <c r="Y568" s="25"/>
      <c r="Z568" s="25"/>
      <c r="AA568" s="20"/>
      <c r="AB568" s="20"/>
      <c r="AC568" s="20" t="s">
        <v>76</v>
      </c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</row>
    <row r="569" ht="60.45112781954887" customHeight="1" spans="1:52" x14ac:dyDescent="0.25">
      <c r="A569" s="19" t="s">
        <v>282</v>
      </c>
      <c r="B569" s="20" t="s">
        <v>57</v>
      </c>
      <c r="C569" s="21"/>
      <c r="D569" s="22"/>
      <c r="E569" s="21" t="s">
        <v>2832</v>
      </c>
      <c r="F569" s="29" t="s">
        <v>2833</v>
      </c>
      <c r="G569" s="20" t="str">
        <f>SUBSTITUTE(SUBSTITUTE(SUBSTITUTE(O569,"/@","_"),"/cac:","_"),"/cbc:","_")</f>
        <v>Invoice_PaymentMeans_PayeeFinancialAccount_FinancialInstitutionBranch_Address_Room</v>
      </c>
      <c r="H569" s="19" t="s">
        <v>2834</v>
      </c>
      <c r="I569" s="25" t="s">
        <v>2835</v>
      </c>
      <c r="J569" s="25" t="s">
        <v>2836</v>
      </c>
      <c r="K569" s="25" t="s">
        <v>1392</v>
      </c>
      <c r="L569" s="25" t="s">
        <v>228</v>
      </c>
      <c r="M569" s="25" t="s">
        <v>64</v>
      </c>
      <c r="N569" s="26" t="str">
        <f>IF(O569="","",LEN(O569)-LEN(SUBSTITUTE(O569,"/",""))+IF(ISNUMBER(SEARCH("@",O569)),0,1))</f>
        <v>6</v>
      </c>
      <c r="O569" s="26" t="s">
        <v>2837</v>
      </c>
      <c r="P569" s="20"/>
      <c r="Q569" s="20"/>
      <c r="R569" s="20"/>
      <c r="S569" s="25" t="s">
        <v>681</v>
      </c>
      <c r="T569" s="20"/>
      <c r="U569" s="25" t="s">
        <v>1663</v>
      </c>
      <c r="V569" s="25" t="s">
        <v>68</v>
      </c>
      <c r="W569" s="20" t="str">
        <f>IF(ISBLANK(O569),"是","否")</f>
        <v>否</v>
      </c>
      <c r="X569" s="20"/>
      <c r="Y569" s="25"/>
      <c r="Z569" s="25"/>
      <c r="AA569" s="20"/>
      <c r="AB569" s="20"/>
      <c r="AC569" s="20" t="s">
        <v>76</v>
      </c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</row>
    <row r="570" ht="60.45112781954887" customHeight="1" spans="1:52" x14ac:dyDescent="0.25">
      <c r="A570" s="19" t="s">
        <v>282</v>
      </c>
      <c r="B570" s="20" t="s">
        <v>57</v>
      </c>
      <c r="C570" s="21"/>
      <c r="D570" s="22"/>
      <c r="E570" s="21" t="s">
        <v>2838</v>
      </c>
      <c r="F570" s="29" t="s">
        <v>2839</v>
      </c>
      <c r="G570" s="20" t="str">
        <f>SUBSTITUTE(SUBSTITUTE(SUBSTITUTE(O570,"/@","_"),"/cac:","_"),"/cbc:","_")</f>
        <v>Invoice_PaymentMeans_PayeeFinancialAccount_FinancialInstitutionBranch_Address_StreetName</v>
      </c>
      <c r="H570" s="19" t="s">
        <v>2840</v>
      </c>
      <c r="I570" s="25" t="s">
        <v>2841</v>
      </c>
      <c r="J570" s="25" t="s">
        <v>2842</v>
      </c>
      <c r="K570" s="25" t="s">
        <v>1392</v>
      </c>
      <c r="L570" s="25" t="s">
        <v>228</v>
      </c>
      <c r="M570" s="25" t="s">
        <v>64</v>
      </c>
      <c r="N570" s="26" t="str">
        <f>IF(O570="","",LEN(O570)-LEN(SUBSTITUTE(O570,"/",""))+IF(ISNUMBER(SEARCH("@",O570)),0,1))</f>
        <v>6</v>
      </c>
      <c r="O570" s="26" t="s">
        <v>2843</v>
      </c>
      <c r="P570" s="20"/>
      <c r="Q570" s="20"/>
      <c r="R570" s="20"/>
      <c r="S570" s="25" t="s">
        <v>2844</v>
      </c>
      <c r="T570" s="20"/>
      <c r="U570" s="25" t="s">
        <v>1663</v>
      </c>
      <c r="V570" s="25" t="s">
        <v>68</v>
      </c>
      <c r="W570" s="20" t="str">
        <f>IF(ISBLANK(O570),"是","否")</f>
        <v>否</v>
      </c>
      <c r="X570" s="20"/>
      <c r="Y570" s="25"/>
      <c r="Z570" s="25"/>
      <c r="AA570" s="20"/>
      <c r="AB570" s="20"/>
      <c r="AC570" s="20" t="s">
        <v>76</v>
      </c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</row>
    <row r="571" ht="60.45112781954887" customHeight="1" spans="1:52" x14ac:dyDescent="0.25">
      <c r="A571" s="19" t="s">
        <v>282</v>
      </c>
      <c r="B571" s="20" t="s">
        <v>57</v>
      </c>
      <c r="C571" s="21"/>
      <c r="D571" s="22"/>
      <c r="E571" s="21" t="s">
        <v>2845</v>
      </c>
      <c r="F571" s="29" t="s">
        <v>2846</v>
      </c>
      <c r="G571" s="20" t="str">
        <f>SUBSTITUTE(SUBSTITUTE(SUBSTITUTE(O571,"/@","_"),"/cac:","_"),"/cbc:","_")</f>
        <v>Invoice_PaymentMeans_PayeeFinancialAccount_FinancialInstitutionBranch_Address_CityName</v>
      </c>
      <c r="H571" s="19" t="s">
        <v>2847</v>
      </c>
      <c r="I571" s="25" t="s">
        <v>2848</v>
      </c>
      <c r="J571" s="25" t="s">
        <v>2849</v>
      </c>
      <c r="K571" s="25" t="s">
        <v>1392</v>
      </c>
      <c r="L571" s="25" t="s">
        <v>228</v>
      </c>
      <c r="M571" s="25" t="s">
        <v>64</v>
      </c>
      <c r="N571" s="26" t="str">
        <f>IF(O571="","",LEN(O571)-LEN(SUBSTITUTE(O571,"/",""))+IF(ISNUMBER(SEARCH("@",O571)),0,1))</f>
        <v>6</v>
      </c>
      <c r="O571" s="26" t="s">
        <v>2850</v>
      </c>
      <c r="P571" s="20"/>
      <c r="Q571" s="20"/>
      <c r="R571" s="20"/>
      <c r="S571" s="25" t="s">
        <v>2656</v>
      </c>
      <c r="T571" s="20"/>
      <c r="U571" s="25" t="s">
        <v>1663</v>
      </c>
      <c r="V571" s="25" t="s">
        <v>68</v>
      </c>
      <c r="W571" s="20" t="str">
        <f>IF(ISBLANK(O571),"是","否")</f>
        <v>否</v>
      </c>
      <c r="X571" s="20"/>
      <c r="Y571" s="25"/>
      <c r="Z571" s="25"/>
      <c r="AA571" s="20"/>
      <c r="AB571" s="20"/>
      <c r="AC571" s="20" t="s">
        <v>76</v>
      </c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</row>
    <row r="572" ht="70.73684210526315" customHeight="1" spans="1:52" x14ac:dyDescent="0.25">
      <c r="A572" s="19" t="s">
        <v>328</v>
      </c>
      <c r="B572" s="20" t="s">
        <v>57</v>
      </c>
      <c r="C572" s="21"/>
      <c r="D572" s="22"/>
      <c r="E572" s="21" t="s">
        <v>2851</v>
      </c>
      <c r="F572" s="29" t="s">
        <v>2852</v>
      </c>
      <c r="G572" s="20" t="str">
        <f>SUBSTITUTE(SUBSTITUTE(SUBSTITUTE(O572,"/@","_"),"/cac:","_"),"/cbc:","_")</f>
        <v>Invoice_PaymentMeans_PayeeFinancialAccount_FinancialInstitutionBranch_Address_Country_IdentificationCode</v>
      </c>
      <c r="H572" s="19" t="s">
        <v>2853</v>
      </c>
      <c r="I572" s="25" t="s">
        <v>2854</v>
      </c>
      <c r="J572" s="25" t="s">
        <v>2855</v>
      </c>
      <c r="K572" s="25" t="s">
        <v>2856</v>
      </c>
      <c r="L572" s="25" t="s">
        <v>1661</v>
      </c>
      <c r="M572" s="25" t="s">
        <v>64</v>
      </c>
      <c r="N572" s="26" t="str">
        <f>IF(O572="","",LEN(O572)-LEN(SUBSTITUTE(O572,"/",""))+IF(ISNUMBER(SEARCH("@",O572)),0,1))</f>
        <v>7</v>
      </c>
      <c r="O572" s="26" t="s">
        <v>2857</v>
      </c>
      <c r="P572" s="20"/>
      <c r="Q572" s="20"/>
      <c r="R572" s="20"/>
      <c r="S572" s="25" t="s">
        <v>773</v>
      </c>
      <c r="T572" s="20"/>
      <c r="U572" s="25" t="s">
        <v>1663</v>
      </c>
      <c r="V572" s="25" t="s">
        <v>68</v>
      </c>
      <c r="W572" s="20" t="str">
        <f>IF(ISBLANK(O572),"是","否")</f>
        <v>否</v>
      </c>
      <c r="X572" s="20"/>
      <c r="Y572" s="25"/>
      <c r="Z572" s="25"/>
      <c r="AA572" s="20"/>
      <c r="AB572" s="20"/>
      <c r="AC572" s="20" t="s">
        <v>76</v>
      </c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</row>
    <row r="573" ht="29.59398496240601" customHeight="1" spans="1:52" x14ac:dyDescent="0.25">
      <c r="A573" s="19" t="s">
        <v>2858</v>
      </c>
      <c r="B573" s="20" t="s">
        <v>57</v>
      </c>
      <c r="C573" s="21"/>
      <c r="D573" s="22"/>
      <c r="E573" s="21" t="s">
        <v>2859</v>
      </c>
      <c r="F573" s="29" t="s">
        <v>2860</v>
      </c>
      <c r="G573" s="20" t="str">
        <f>SUBSTITUTE(SUBSTITUTE(SUBSTITUTE(O573,"/@","_"),"/cac:","_"),"/cbc:","_")</f>
        <v>Invoice_PaymentMeans_PaymentMandate_ID</v>
      </c>
      <c r="H573" s="19" t="s">
        <v>2861</v>
      </c>
      <c r="I573" s="25" t="s">
        <v>2862</v>
      </c>
      <c r="J573" s="25" t="s">
        <v>2863</v>
      </c>
      <c r="K573" s="25" t="s">
        <v>2864</v>
      </c>
      <c r="L573" s="25" t="s">
        <v>228</v>
      </c>
      <c r="M573" s="25" t="s">
        <v>64</v>
      </c>
      <c r="N573" s="26" t="str">
        <f>IF(O573="","",LEN(O573)-LEN(SUBSTITUTE(O573,"/",""))+IF(ISNUMBER(SEARCH("@",O573)),0,1))</f>
        <v>4</v>
      </c>
      <c r="O573" s="26" t="s">
        <v>2865</v>
      </c>
      <c r="P573" s="20"/>
      <c r="Q573" s="20"/>
      <c r="R573" s="20"/>
      <c r="S573" s="25" t="s">
        <v>2866</v>
      </c>
      <c r="T573" s="20"/>
      <c r="U573" s="25" t="s">
        <v>1663</v>
      </c>
      <c r="V573" s="25" t="s">
        <v>68</v>
      </c>
      <c r="W573" s="20" t="str">
        <f>IF(ISBLANK(O573),"是","否")</f>
        <v>否</v>
      </c>
      <c r="X573" s="20"/>
      <c r="Y573" s="25"/>
      <c r="Z573" s="25"/>
      <c r="AA573" s="20"/>
      <c r="AB573" s="20"/>
      <c r="AC573" s="20" t="s">
        <v>76</v>
      </c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</row>
    <row r="574" ht="39.879699248120296" customHeight="1" spans="1:52" x14ac:dyDescent="0.25">
      <c r="A574" s="19" t="s">
        <v>2775</v>
      </c>
      <c r="B574" s="20" t="s">
        <v>57</v>
      </c>
      <c r="C574" s="21"/>
      <c r="D574" s="22"/>
      <c r="E574" s="21" t="s">
        <v>2867</v>
      </c>
      <c r="F574" s="29" t="s">
        <v>2868</v>
      </c>
      <c r="G574" s="20" t="str">
        <f>SUBSTITUTE(SUBSTITUTE(SUBSTITUTE(O574,"/@","_"),"/cac:","_"),"/cbc:","_")</f>
        <v>Invoice_PaymentMeans_PaymentMandate_PayerFinancialAccount_ID</v>
      </c>
      <c r="H574" s="19" t="s">
        <v>2869</v>
      </c>
      <c r="I574" s="25" t="s">
        <v>2870</v>
      </c>
      <c r="J574" s="25" t="s">
        <v>2871</v>
      </c>
      <c r="K574" s="25" t="s">
        <v>1392</v>
      </c>
      <c r="L574" s="25" t="s">
        <v>228</v>
      </c>
      <c r="M574" s="25" t="s">
        <v>64</v>
      </c>
      <c r="N574" s="26" t="str">
        <f>IF(O574="","",LEN(O574)-LEN(SUBSTITUTE(O574,"/",""))+IF(ISNUMBER(SEARCH("@",O574)),0,1))</f>
        <v>5</v>
      </c>
      <c r="O574" s="26" t="s">
        <v>2872</v>
      </c>
      <c r="P574" s="20"/>
      <c r="Q574" s="20"/>
      <c r="R574" s="20"/>
      <c r="S574" s="25" t="s">
        <v>2873</v>
      </c>
      <c r="T574" s="20"/>
      <c r="U574" s="25" t="s">
        <v>1663</v>
      </c>
      <c r="V574" s="25" t="s">
        <v>68</v>
      </c>
      <c r="W574" s="20" t="str">
        <f>IF(ISBLANK(O574),"是","否")</f>
        <v>否</v>
      </c>
      <c r="X574" s="20"/>
      <c r="Y574" s="25"/>
      <c r="Z574" s="25"/>
      <c r="AA574" s="20"/>
      <c r="AB574" s="20"/>
      <c r="AC574" s="20" t="s">
        <v>76</v>
      </c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</row>
    <row r="575" ht="19.308270676691727" customHeight="1" spans="1:52" x14ac:dyDescent="0.25">
      <c r="A575" s="19" t="s">
        <v>41</v>
      </c>
      <c r="B575" s="20" t="s">
        <v>57</v>
      </c>
      <c r="C575" s="21"/>
      <c r="D575" s="22"/>
      <c r="E575" s="21" t="s">
        <v>2874</v>
      </c>
      <c r="F575" s="29" t="s">
        <v>2875</v>
      </c>
      <c r="G575" s="20" t="str">
        <f>SUBSTITUTE(SUBSTITUTE(SUBSTITUTE(O575,"/@","_"),"/cac:","_"),"/cbc:","_")</f>
        <v>Invoice_PaymentTerms</v>
      </c>
      <c r="H575" s="19" t="s">
        <v>2876</v>
      </c>
      <c r="I575" s="25" t="s">
        <v>2877</v>
      </c>
      <c r="J575" s="25" t="s">
        <v>2878</v>
      </c>
      <c r="K575" s="25" t="s">
        <v>2879</v>
      </c>
      <c r="L575" s="25" t="s">
        <v>220</v>
      </c>
      <c r="M575" s="25" t="s">
        <v>49</v>
      </c>
      <c r="N575" s="26" t="str">
        <f>IF(O575="","",LEN(O575)-LEN(SUBSTITUTE(O575,"/",""))+IF(ISNUMBER(SEARCH("@",O575)),0,1))</f>
        <v>2</v>
      </c>
      <c r="O575" s="26" t="s">
        <v>2880</v>
      </c>
      <c r="P575" s="20"/>
      <c r="Q575" s="20"/>
      <c r="R575" s="20"/>
      <c r="S575" s="25" t="s">
        <v>681</v>
      </c>
      <c r="T575" s="20"/>
      <c r="U575" s="25" t="s">
        <v>1663</v>
      </c>
      <c r="V575" s="25" t="s">
        <v>222</v>
      </c>
      <c r="W575" s="20" t="str">
        <f>IF(ISBLANK(O575),"是","否")</f>
        <v>否</v>
      </c>
      <c r="X575" s="20"/>
      <c r="Y575" s="25"/>
      <c r="Z575" s="25"/>
      <c r="AA575" s="20"/>
      <c r="AB575" s="20"/>
      <c r="AC575" s="20" t="s">
        <v>76</v>
      </c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</row>
    <row r="576" ht="29.59398496240601" customHeight="1" spans="1:52" x14ac:dyDescent="0.25">
      <c r="A576" s="19" t="s">
        <v>2874</v>
      </c>
      <c r="B576" s="20" t="s">
        <v>57</v>
      </c>
      <c r="C576" s="21"/>
      <c r="D576" s="22"/>
      <c r="E576" s="21" t="s">
        <v>151</v>
      </c>
      <c r="F576" s="29" t="s">
        <v>2881</v>
      </c>
      <c r="G576" s="20" t="str">
        <f>SUBSTITUTE(SUBSTITUTE(SUBSTITUTE(O576,"/@","_"),"/cac:","_"),"/cbc:","_")</f>
        <v>Invoice_PaymentTerms_Note</v>
      </c>
      <c r="H576" s="19" t="s">
        <v>2882</v>
      </c>
      <c r="I576" s="25" t="s">
        <v>2883</v>
      </c>
      <c r="J576" s="25" t="s">
        <v>2884</v>
      </c>
      <c r="K576" s="25" t="s">
        <v>2885</v>
      </c>
      <c r="L576" s="25" t="s">
        <v>228</v>
      </c>
      <c r="M576" s="25" t="s">
        <v>49</v>
      </c>
      <c r="N576" s="26" t="str">
        <f>IF(O576="","",LEN(O576)-LEN(SUBSTITUTE(O576,"/",""))+IF(ISNUMBER(SEARCH("@",O576)),0,1))</f>
        <v>3</v>
      </c>
      <c r="O576" s="26" t="s">
        <v>2886</v>
      </c>
      <c r="P576" s="20"/>
      <c r="Q576" s="20"/>
      <c r="R576" s="20"/>
      <c r="S576" s="25" t="s">
        <v>2887</v>
      </c>
      <c r="T576" s="20"/>
      <c r="U576" s="25" t="s">
        <v>1663</v>
      </c>
      <c r="V576" s="25" t="s">
        <v>68</v>
      </c>
      <c r="W576" s="20" t="str">
        <f>IF(ISBLANK(O576),"是","否")</f>
        <v>否</v>
      </c>
      <c r="X576" s="20"/>
      <c r="Y576" s="25"/>
      <c r="Z576" s="25"/>
      <c r="AA576" s="20"/>
      <c r="AB576" s="20"/>
      <c r="AC576" s="20" t="s">
        <v>76</v>
      </c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</row>
    <row r="577" ht="29.59398496240601" customHeight="1" spans="1:52" x14ac:dyDescent="0.25">
      <c r="A577" s="19" t="s">
        <v>2874</v>
      </c>
      <c r="B577" s="20" t="s">
        <v>57</v>
      </c>
      <c r="C577" s="21"/>
      <c r="D577" s="22"/>
      <c r="E577" s="21" t="s">
        <v>2888</v>
      </c>
      <c r="F577" s="29" t="s">
        <v>2889</v>
      </c>
      <c r="G577" s="20" t="str">
        <f>SUBSTITUTE(SUBSTITUTE(SUBSTITUTE(O577,"/@","_"),"/cac:","_"),"/cbc:","_")</f>
        <v>Invoice_PaymentTerms_PenaltySurchargePercent</v>
      </c>
      <c r="H577" s="19" t="s">
        <v>2890</v>
      </c>
      <c r="I577" s="25" t="s">
        <v>2891</v>
      </c>
      <c r="J577" s="25" t="s">
        <v>2892</v>
      </c>
      <c r="K577" s="25" t="s">
        <v>2893</v>
      </c>
      <c r="L577" s="25" t="s">
        <v>1000</v>
      </c>
      <c r="M577" s="25" t="s">
        <v>64</v>
      </c>
      <c r="N577" s="26" t="str">
        <f>IF(O577="","",LEN(O577)-LEN(SUBSTITUTE(O577,"/",""))+IF(ISNUMBER(SEARCH("@",O577)),0,1))</f>
        <v>3</v>
      </c>
      <c r="O577" s="26" t="s">
        <v>2894</v>
      </c>
      <c r="P577" s="20"/>
      <c r="Q577" s="20"/>
      <c r="R577" s="20"/>
      <c r="S577" s="25">
        <v>0.05</v>
      </c>
      <c r="T577" s="20"/>
      <c r="U577" s="25" t="s">
        <v>1663</v>
      </c>
      <c r="V577" s="25" t="s">
        <v>68</v>
      </c>
      <c r="W577" s="20" t="str">
        <f>IF(ISBLANK(O577),"是","否")</f>
        <v>否</v>
      </c>
      <c r="X577" s="20"/>
      <c r="Y577" s="25"/>
      <c r="Z577" s="25"/>
      <c r="AA577" s="20"/>
      <c r="AB577" s="20"/>
      <c r="AC577" s="20" t="s">
        <v>76</v>
      </c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</row>
    <row r="578" ht="29.59398496240601" customHeight="1" spans="1:52" x14ac:dyDescent="0.25">
      <c r="A578" s="19" t="s">
        <v>41</v>
      </c>
      <c r="B578" s="20" t="s">
        <v>57</v>
      </c>
      <c r="C578" s="21"/>
      <c r="D578" s="22"/>
      <c r="E578" s="21" t="s">
        <v>2895</v>
      </c>
      <c r="F578" s="29" t="s">
        <v>2896</v>
      </c>
      <c r="G578" s="20" t="str">
        <f>SUBSTITUTE(SUBSTITUTE(SUBSTITUTE(O578,"/@","_"),"/cac:","_"),"/cbc:","_")</f>
        <v>Invoice_PrepaidPayment</v>
      </c>
      <c r="H578" s="19" t="s">
        <v>2897</v>
      </c>
      <c r="I578" s="25" t="s">
        <v>2898</v>
      </c>
      <c r="J578" s="25" t="s">
        <v>2899</v>
      </c>
      <c r="K578" s="25" t="s">
        <v>2900</v>
      </c>
      <c r="L578" s="25" t="s">
        <v>220</v>
      </c>
      <c r="M578" s="25" t="s">
        <v>49</v>
      </c>
      <c r="N578" s="26" t="str">
        <f>IF(O578="","",LEN(O578)-LEN(SUBSTITUTE(O578,"/",""))+IF(ISNUMBER(SEARCH("@",O578)),0,1))</f>
        <v>2</v>
      </c>
      <c r="O578" s="26" t="s">
        <v>2901</v>
      </c>
      <c r="P578" s="20"/>
      <c r="Q578" s="20"/>
      <c r="R578" s="20"/>
      <c r="S578" s="25" t="s">
        <v>681</v>
      </c>
      <c r="T578" s="20"/>
      <c r="U578" s="25" t="s">
        <v>1663</v>
      </c>
      <c r="V578" s="25" t="s">
        <v>222</v>
      </c>
      <c r="W578" s="20" t="str">
        <f>IF(ISBLANK(O578),"是","否")</f>
        <v>否</v>
      </c>
      <c r="X578" s="20"/>
      <c r="Y578" s="25"/>
      <c r="Z578" s="25"/>
      <c r="AA578" s="20"/>
      <c r="AB578" s="20"/>
      <c r="AC578" s="20" t="s">
        <v>76</v>
      </c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</row>
    <row r="579" ht="29.59398496240601" customHeight="1" spans="1:52" x14ac:dyDescent="0.25">
      <c r="A579" s="19" t="s">
        <v>2902</v>
      </c>
      <c r="B579" s="20" t="s">
        <v>57</v>
      </c>
      <c r="C579" s="21"/>
      <c r="D579" s="22"/>
      <c r="E579" s="21" t="s">
        <v>2903</v>
      </c>
      <c r="F579" s="23" t="s">
        <v>2904</v>
      </c>
      <c r="G579" s="20" t="str">
        <f>SUBSTITUTE(SUBSTITUTE(SUBSTITUTE(O579,"/@","_"),"/cac:","_"),"/cbc:","_")</f>
        <v>Invoice_PrepaidPayment_ID</v>
      </c>
      <c r="H579" s="19" t="s">
        <v>2905</v>
      </c>
      <c r="I579" s="25" t="s">
        <v>2906</v>
      </c>
      <c r="J579" s="25" t="s">
        <v>2907</v>
      </c>
      <c r="K579" s="25" t="s">
        <v>1392</v>
      </c>
      <c r="L579" s="25" t="s">
        <v>228</v>
      </c>
      <c r="M579" s="25" t="s">
        <v>64</v>
      </c>
      <c r="N579" s="26" t="str">
        <f>IF(O579="","",LEN(O579)-LEN(SUBSTITUTE(O579,"/",""))+IF(ISNUMBER(SEARCH("@",O579)),0,1))</f>
        <v>3</v>
      </c>
      <c r="O579" s="26" t="s">
        <v>2908</v>
      </c>
      <c r="P579" s="20"/>
      <c r="Q579" s="20"/>
      <c r="R579" s="20"/>
      <c r="S579" s="25" t="s">
        <v>2909</v>
      </c>
      <c r="T579" s="20"/>
      <c r="U579" s="25" t="s">
        <v>1663</v>
      </c>
      <c r="V579" s="25" t="s">
        <v>68</v>
      </c>
      <c r="W579" s="20" t="str">
        <f>IF(ISBLANK(O579),"是","否")</f>
        <v>否</v>
      </c>
      <c r="X579" s="20"/>
      <c r="Y579" s="25"/>
      <c r="Z579" s="25"/>
      <c r="AA579" s="20"/>
      <c r="AB579" s="20"/>
      <c r="AC579" s="20" t="s">
        <v>76</v>
      </c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</row>
    <row r="580" ht="29.59398496240601" customHeight="1" spans="1:52" x14ac:dyDescent="0.25">
      <c r="A580" s="19" t="s">
        <v>2902</v>
      </c>
      <c r="B580" s="20" t="s">
        <v>57</v>
      </c>
      <c r="C580" s="21"/>
      <c r="D580" s="22"/>
      <c r="E580" s="21" t="s">
        <v>2910</v>
      </c>
      <c r="F580" s="29" t="s">
        <v>2911</v>
      </c>
      <c r="G580" s="20" t="str">
        <f>SUBSTITUTE(SUBSTITUTE(SUBSTITUTE(O580,"/@","_"),"/cac:","_"),"/cbc:","_")</f>
        <v>Invoice_PrepaidPayment_PaidAmount</v>
      </c>
      <c r="H580" s="19" t="s">
        <v>2912</v>
      </c>
      <c r="I580" s="25" t="s">
        <v>2913</v>
      </c>
      <c r="J580" s="25" t="s">
        <v>2914</v>
      </c>
      <c r="K580" s="25" t="s">
        <v>1139</v>
      </c>
      <c r="L580" s="25" t="s">
        <v>1000</v>
      </c>
      <c r="M580" s="25">
        <v>1</v>
      </c>
      <c r="N580" s="26" t="str">
        <f>IF(O580="","",LEN(O580)-LEN(SUBSTITUTE(O580,"/",""))+IF(ISNUMBER(SEARCH("@",O580)),0,1))</f>
        <v>3</v>
      </c>
      <c r="O580" s="26" t="s">
        <v>2915</v>
      </c>
      <c r="P580" s="20"/>
      <c r="Q580" s="20"/>
      <c r="R580" s="20"/>
      <c r="S580" s="25">
        <v>100</v>
      </c>
      <c r="T580" s="20"/>
      <c r="U580" s="25" t="s">
        <v>1663</v>
      </c>
      <c r="V580" s="25" t="s">
        <v>68</v>
      </c>
      <c r="W580" s="20" t="str">
        <f>IF(ISBLANK(O580),"是","否")</f>
        <v>否</v>
      </c>
      <c r="X580" s="20"/>
      <c r="Y580" s="25"/>
      <c r="Z580" s="25"/>
      <c r="AA580" s="20"/>
      <c r="AB580" s="20"/>
      <c r="AC580" s="20" t="s">
        <v>76</v>
      </c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</row>
    <row r="581" ht="29.59398496240601" customHeight="1" spans="1:52" x14ac:dyDescent="0.25">
      <c r="A581" s="19" t="s">
        <v>2902</v>
      </c>
      <c r="B581" s="20" t="s">
        <v>57</v>
      </c>
      <c r="C581" s="21"/>
      <c r="D581" s="22"/>
      <c r="E581" s="21" t="s">
        <v>2916</v>
      </c>
      <c r="F581" s="29" t="s">
        <v>2917</v>
      </c>
      <c r="G581" s="20" t="str">
        <f>SUBSTITUTE(SUBSTITUTE(SUBSTITUTE(O581,"/@","_"),"/cac:","_"),"/cbc:","_")</f>
        <v>Invoice_PrepaidPayment_PaidAmount_currencyID</v>
      </c>
      <c r="H581" s="19" t="s">
        <v>2918</v>
      </c>
      <c r="I581" s="25" t="s">
        <v>1055</v>
      </c>
      <c r="J581" s="25" t="s">
        <v>2919</v>
      </c>
      <c r="K581" s="25" t="s">
        <v>2796</v>
      </c>
      <c r="L581" s="25" t="s">
        <v>1661</v>
      </c>
      <c r="M581" s="25" t="s">
        <v>64</v>
      </c>
      <c r="N581" s="26" t="str">
        <f>IF(O581="","",LEN(O581)-LEN(SUBSTITUTE(O581,"/",""))+IF(ISNUMBER(SEARCH("@",O581)),0,1))</f>
        <v>3</v>
      </c>
      <c r="O581" s="26" t="s">
        <v>2920</v>
      </c>
      <c r="P581" s="20"/>
      <c r="Q581" s="20"/>
      <c r="R581" s="20"/>
      <c r="S581" s="25" t="s">
        <v>993</v>
      </c>
      <c r="T581" s="20"/>
      <c r="U581" s="25" t="s">
        <v>1663</v>
      </c>
      <c r="V581" s="25" t="s">
        <v>68</v>
      </c>
      <c r="W581" s="20" t="str">
        <f>IF(ISBLANK(O581),"是","否")</f>
        <v>否</v>
      </c>
      <c r="X581" s="20"/>
      <c r="Y581" s="25"/>
      <c r="Z581" s="25"/>
      <c r="AA581" s="20"/>
      <c r="AB581" s="20"/>
      <c r="AC581" s="20" t="s">
        <v>76</v>
      </c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</row>
    <row r="582" ht="29.59398496240601" customHeight="1" spans="1:52" x14ac:dyDescent="0.25">
      <c r="A582" s="19" t="s">
        <v>2902</v>
      </c>
      <c r="B582" s="20" t="s">
        <v>57</v>
      </c>
      <c r="C582" s="21"/>
      <c r="D582" s="22"/>
      <c r="E582" s="21" t="s">
        <v>2921</v>
      </c>
      <c r="F582" s="25" t="s">
        <v>2922</v>
      </c>
      <c r="G582" s="20" t="str">
        <f>SUBSTITUTE(SUBSTITUTE(SUBSTITUTE(O582,"/@","_"),"/cac:","_"),"/cbc:","_")</f>
        <v>Invoice_PrepaidPayment_ReceivedDate</v>
      </c>
      <c r="H582" s="19" t="s">
        <v>2923</v>
      </c>
      <c r="I582" s="25" t="s">
        <v>2924</v>
      </c>
      <c r="J582" s="25" t="s">
        <v>2925</v>
      </c>
      <c r="K582" s="25" t="s">
        <v>1571</v>
      </c>
      <c r="L582" s="25" t="s">
        <v>1016</v>
      </c>
      <c r="M582" s="25" t="s">
        <v>64</v>
      </c>
      <c r="N582" s="26" t="str">
        <f>IF(O582="","",LEN(O582)-LEN(SUBSTITUTE(O582,"/",""))+IF(ISNUMBER(SEARCH("@",O582)),0,1))</f>
        <v>3</v>
      </c>
      <c r="O582" s="26" t="s">
        <v>2926</v>
      </c>
      <c r="P582" s="20"/>
      <c r="Q582" s="20"/>
      <c r="R582" s="20"/>
      <c r="S582" s="20" t="s">
        <v>1852</v>
      </c>
      <c r="T582" s="20"/>
      <c r="U582" s="25" t="s">
        <v>1663</v>
      </c>
      <c r="V582" s="25" t="s">
        <v>68</v>
      </c>
      <c r="W582" s="20" t="str">
        <f>IF(ISBLANK(O582),"是","否")</f>
        <v>否</v>
      </c>
      <c r="X582" s="20"/>
      <c r="Y582" s="25"/>
      <c r="Z582" s="25"/>
      <c r="AA582" s="20"/>
      <c r="AB582" s="20"/>
      <c r="AC582" s="20" t="s">
        <v>76</v>
      </c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</row>
    <row r="583" ht="29.59398496240601" customHeight="1" spans="1:52" x14ac:dyDescent="0.25">
      <c r="A583" s="19" t="s">
        <v>2902</v>
      </c>
      <c r="B583" s="20" t="s">
        <v>57</v>
      </c>
      <c r="C583" s="21"/>
      <c r="D583" s="22"/>
      <c r="E583" s="21" t="s">
        <v>2927</v>
      </c>
      <c r="F583" s="23" t="s">
        <v>2928</v>
      </c>
      <c r="G583" s="20" t="str">
        <f>SUBSTITUTE(SUBSTITUTE(SUBSTITUTE(O583,"/@","_"),"/cac:","_"),"/cbc:","_")</f>
        <v>Invoice_PrepaidPayment_PaidDate</v>
      </c>
      <c r="H583" s="19" t="s">
        <v>2929</v>
      </c>
      <c r="I583" s="25" t="s">
        <v>2930</v>
      </c>
      <c r="J583" s="25" t="s">
        <v>2931</v>
      </c>
      <c r="K583" s="25" t="s">
        <v>1571</v>
      </c>
      <c r="L583" s="25" t="s">
        <v>1016</v>
      </c>
      <c r="M583" s="25" t="s">
        <v>64</v>
      </c>
      <c r="N583" s="26" t="str">
        <f>IF(O583="","",LEN(O583)-LEN(SUBSTITUTE(O583,"/",""))+IF(ISNUMBER(SEARCH("@",O583)),0,1))</f>
        <v>3</v>
      </c>
      <c r="O583" s="26" t="s">
        <v>2932</v>
      </c>
      <c r="P583" s="20"/>
      <c r="Q583" s="20"/>
      <c r="R583" s="20"/>
      <c r="S583" s="20" t="s">
        <v>1852</v>
      </c>
      <c r="T583" s="20"/>
      <c r="U583" s="25" t="s">
        <v>1663</v>
      </c>
      <c r="V583" s="25" t="s">
        <v>68</v>
      </c>
      <c r="W583" s="20" t="str">
        <f>IF(ISBLANK(O583),"是","否")</f>
        <v>否</v>
      </c>
      <c r="X583" s="20"/>
      <c r="Y583" s="25"/>
      <c r="Z583" s="25"/>
      <c r="AA583" s="20"/>
      <c r="AB583" s="20"/>
      <c r="AC583" s="20" t="s">
        <v>76</v>
      </c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</row>
    <row r="584" ht="29.59398496240601" customHeight="1" spans="1:52" x14ac:dyDescent="0.25">
      <c r="A584" s="19" t="s">
        <v>2902</v>
      </c>
      <c r="B584" s="20" t="s">
        <v>57</v>
      </c>
      <c r="C584" s="21"/>
      <c r="D584" s="22"/>
      <c r="E584" s="21" t="s">
        <v>2933</v>
      </c>
      <c r="F584" s="23" t="s">
        <v>2934</v>
      </c>
      <c r="G584" s="20" t="str">
        <f>SUBSTITUTE(SUBSTITUTE(SUBSTITUTE(O584,"/@","_"),"/cac:","_"),"/cbc:","_")</f>
        <v>Invoice_PrepaidPayment_PaidTime</v>
      </c>
      <c r="H584" s="19" t="s">
        <v>2935</v>
      </c>
      <c r="I584" s="25" t="s">
        <v>2936</v>
      </c>
      <c r="J584" s="25" t="s">
        <v>2937</v>
      </c>
      <c r="K584" s="25" t="s">
        <v>1904</v>
      </c>
      <c r="L584" s="25" t="s">
        <v>1905</v>
      </c>
      <c r="M584" s="25" t="s">
        <v>64</v>
      </c>
      <c r="N584" s="26" t="str">
        <f>IF(O584="","",LEN(O584)-LEN(SUBSTITUTE(O584,"/",""))+IF(ISNUMBER(SEARCH("@",O584)),0,1))</f>
        <v>3</v>
      </c>
      <c r="O584" s="26" t="s">
        <v>2938</v>
      </c>
      <c r="P584" s="20"/>
      <c r="Q584" s="20"/>
      <c r="R584" s="20"/>
      <c r="S584" s="20" t="s">
        <v>2939</v>
      </c>
      <c r="T584" s="20"/>
      <c r="U584" s="25" t="s">
        <v>1663</v>
      </c>
      <c r="V584" s="25" t="s">
        <v>68</v>
      </c>
      <c r="W584" s="20" t="str">
        <f>IF(ISBLANK(O584),"是","否")</f>
        <v>否</v>
      </c>
      <c r="X584" s="20"/>
      <c r="Y584" s="25"/>
      <c r="Z584" s="25"/>
      <c r="AA584" s="20"/>
      <c r="AB584" s="20"/>
      <c r="AC584" s="20" t="s">
        <v>76</v>
      </c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</row>
    <row r="585" ht="29.59398496240601" customHeight="1" spans="1:52" x14ac:dyDescent="0.25">
      <c r="A585" s="19" t="s">
        <v>41</v>
      </c>
      <c r="B585" s="20" t="s">
        <v>57</v>
      </c>
      <c r="C585" s="21"/>
      <c r="D585" s="22"/>
      <c r="E585" s="21" t="s">
        <v>2940</v>
      </c>
      <c r="F585" s="29" t="s">
        <v>2941</v>
      </c>
      <c r="G585" s="20" t="str">
        <f>SUBSTITUTE(SUBSTITUTE(SUBSTITUTE(O585,"/@","_"),"/cac:","_"),"/cbc:","_")</f>
        <v>Invoice_TaxRepresentativeParty</v>
      </c>
      <c r="H585" s="19" t="s">
        <v>2942</v>
      </c>
      <c r="I585" s="25" t="s">
        <v>2943</v>
      </c>
      <c r="J585" s="25" t="s">
        <v>2944</v>
      </c>
      <c r="K585" s="25" t="s">
        <v>2945</v>
      </c>
      <c r="L585" s="25" t="s">
        <v>220</v>
      </c>
      <c r="M585" s="25" t="s">
        <v>64</v>
      </c>
      <c r="N585" s="26" t="str">
        <f>IF(O585="","",LEN(O585)-LEN(SUBSTITUTE(O585,"/",""))+IF(ISNUMBER(SEARCH("@",O585)),0,1))</f>
        <v>2</v>
      </c>
      <c r="O585" s="26" t="s">
        <v>2946</v>
      </c>
      <c r="P585" s="20"/>
      <c r="Q585" s="20"/>
      <c r="R585" s="20"/>
      <c r="S585" s="25" t="s">
        <v>681</v>
      </c>
      <c r="T585" s="20"/>
      <c r="U585" s="25" t="s">
        <v>1663</v>
      </c>
      <c r="V585" s="25" t="s">
        <v>222</v>
      </c>
      <c r="W585" s="20" t="str">
        <f>IF(ISBLANK(O585),"是","否")</f>
        <v>否</v>
      </c>
      <c r="X585" s="20"/>
      <c r="Y585" s="25"/>
      <c r="Z585" s="25"/>
      <c r="AA585" s="20"/>
      <c r="AB585" s="20"/>
      <c r="AC585" s="20" t="s">
        <v>76</v>
      </c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</row>
    <row r="586" ht="29.59398496240601" customHeight="1" spans="1:52" x14ac:dyDescent="0.25">
      <c r="A586" s="19" t="s">
        <v>230</v>
      </c>
      <c r="B586" s="20" t="s">
        <v>57</v>
      </c>
      <c r="C586" s="21"/>
      <c r="D586" s="22"/>
      <c r="E586" s="21" t="s">
        <v>230</v>
      </c>
      <c r="F586" s="29" t="s">
        <v>2947</v>
      </c>
      <c r="G586" s="20" t="str">
        <f>SUBSTITUTE(SUBSTITUTE(SUBSTITUTE(O586,"/@","_"),"/cac:","_"),"/cbc:","_")</f>
        <v>Invoice_TaxRepresentativeParty_PartyName</v>
      </c>
      <c r="H586" s="19" t="s">
        <v>2948</v>
      </c>
      <c r="I586" s="25" t="s">
        <v>2949</v>
      </c>
      <c r="J586" s="25" t="s">
        <v>2950</v>
      </c>
      <c r="K586" s="25" t="s">
        <v>2529</v>
      </c>
      <c r="L586" s="25" t="s">
        <v>220</v>
      </c>
      <c r="M586" s="25" t="s">
        <v>49</v>
      </c>
      <c r="N586" s="26" t="str">
        <f>IF(O586="","",LEN(O586)-LEN(SUBSTITUTE(O586,"/",""))+IF(ISNUMBER(SEARCH("@",O586)),0,1))</f>
        <v>3</v>
      </c>
      <c r="O586" s="26" t="s">
        <v>2951</v>
      </c>
      <c r="P586" s="20"/>
      <c r="Q586" s="20"/>
      <c r="R586" s="20"/>
      <c r="S586" s="25" t="s">
        <v>681</v>
      </c>
      <c r="T586" s="20"/>
      <c r="U586" s="25" t="s">
        <v>1663</v>
      </c>
      <c r="V586" s="25" t="s">
        <v>222</v>
      </c>
      <c r="W586" s="20" t="str">
        <f>IF(ISBLANK(O586),"是","否")</f>
        <v>否</v>
      </c>
      <c r="X586" s="20"/>
      <c r="Y586" s="25"/>
      <c r="Z586" s="25"/>
      <c r="AA586" s="20"/>
      <c r="AB586" s="20"/>
      <c r="AC586" s="20" t="s">
        <v>76</v>
      </c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</row>
    <row r="587" ht="29.59398496240601" customHeight="1" spans="1:52" x14ac:dyDescent="0.25">
      <c r="A587" s="19" t="s">
        <v>188</v>
      </c>
      <c r="B587" s="20" t="s">
        <v>57</v>
      </c>
      <c r="C587" s="21"/>
      <c r="D587" s="22"/>
      <c r="E587" s="21" t="s">
        <v>2952</v>
      </c>
      <c r="F587" s="29" t="s">
        <v>2953</v>
      </c>
      <c r="G587" s="20" t="str">
        <f>SUBSTITUTE(SUBSTITUTE(SUBSTITUTE(O587,"/@","_"),"/cac:","_"),"/cbc:","_")</f>
        <v>Invoice_TaxRepresentativeParty_PartyName_Name</v>
      </c>
      <c r="H587" s="19" t="s">
        <v>2954</v>
      </c>
      <c r="I587" s="25" t="s">
        <v>2955</v>
      </c>
      <c r="J587" s="25" t="s">
        <v>2956</v>
      </c>
      <c r="K587" s="25" t="s">
        <v>1392</v>
      </c>
      <c r="L587" s="25" t="s">
        <v>228</v>
      </c>
      <c r="M587" s="25">
        <v>1</v>
      </c>
      <c r="N587" s="26" t="str">
        <f>IF(O587="","",LEN(O587)-LEN(SUBSTITUTE(O587,"/",""))+IF(ISNUMBER(SEARCH("@",O587)),0,1))</f>
        <v>4</v>
      </c>
      <c r="O587" s="26" t="s">
        <v>2957</v>
      </c>
      <c r="P587" s="20"/>
      <c r="Q587" s="20"/>
      <c r="R587" s="20"/>
      <c r="S587" s="25" t="s">
        <v>2958</v>
      </c>
      <c r="T587" s="20"/>
      <c r="U587" s="25" t="s">
        <v>1663</v>
      </c>
      <c r="V587" s="25" t="s">
        <v>68</v>
      </c>
      <c r="W587" s="20" t="str">
        <f>IF(ISBLANK(O587),"是","否")</f>
        <v>否</v>
      </c>
      <c r="X587" s="20"/>
      <c r="Y587" s="25"/>
      <c r="Z587" s="25"/>
      <c r="AA587" s="20"/>
      <c r="AB587" s="20"/>
      <c r="AC587" s="20" t="s">
        <v>76</v>
      </c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</row>
    <row r="588" ht="29.59398496240601" customHeight="1" spans="1:52" x14ac:dyDescent="0.25">
      <c r="A588" s="19" t="s">
        <v>230</v>
      </c>
      <c r="B588" s="20" t="s">
        <v>57</v>
      </c>
      <c r="C588" s="21"/>
      <c r="D588" s="22"/>
      <c r="E588" s="21" t="s">
        <v>466</v>
      </c>
      <c r="F588" s="29" t="s">
        <v>2959</v>
      </c>
      <c r="G588" s="20" t="str">
        <f>SUBSTITUTE(SUBSTITUTE(SUBSTITUTE(O588,"/@","_"),"/cac:","_"),"/cbc:","_")</f>
        <v>Invoice_TaxRepresentativeParty_PostalAddress</v>
      </c>
      <c r="H588" s="19" t="s">
        <v>2960</v>
      </c>
      <c r="I588" s="25" t="s">
        <v>2961</v>
      </c>
      <c r="J588" s="25" t="s">
        <v>2962</v>
      </c>
      <c r="K588" s="25" t="s">
        <v>2963</v>
      </c>
      <c r="L588" s="25" t="s">
        <v>220</v>
      </c>
      <c r="M588" s="25" t="s">
        <v>64</v>
      </c>
      <c r="N588" s="26" t="str">
        <f>IF(O588="","",LEN(O588)-LEN(SUBSTITUTE(O588,"/",""))+IF(ISNUMBER(SEARCH("@",O588)),0,1))</f>
        <v>3</v>
      </c>
      <c r="O588" s="26" t="s">
        <v>2964</v>
      </c>
      <c r="P588" s="20"/>
      <c r="Q588" s="20"/>
      <c r="R588" s="20"/>
      <c r="S588" s="25" t="s">
        <v>681</v>
      </c>
      <c r="T588" s="20"/>
      <c r="U588" s="25" t="s">
        <v>1663</v>
      </c>
      <c r="V588" s="25" t="s">
        <v>222</v>
      </c>
      <c r="W588" s="20" t="str">
        <f>IF(ISBLANK(O588),"是","否")</f>
        <v>否</v>
      </c>
      <c r="X588" s="20"/>
      <c r="Y588" s="25"/>
      <c r="Z588" s="25"/>
      <c r="AA588" s="20"/>
      <c r="AB588" s="20"/>
      <c r="AC588" s="20" t="s">
        <v>76</v>
      </c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</row>
    <row r="589" ht="29.59398496240601" customHeight="1" spans="1:52" x14ac:dyDescent="0.25">
      <c r="A589" s="19" t="s">
        <v>282</v>
      </c>
      <c r="B589" s="20" t="s">
        <v>57</v>
      </c>
      <c r="C589" s="21"/>
      <c r="D589" s="22"/>
      <c r="E589" s="21" t="s">
        <v>283</v>
      </c>
      <c r="F589" s="29" t="s">
        <v>2965</v>
      </c>
      <c r="G589" s="20" t="str">
        <f>SUBSTITUTE(SUBSTITUTE(SUBSTITUTE(O589,"/@","_"),"/cac:","_"),"/cbc:","_")</f>
        <v>Invoice_TaxRepresentativeParty_PostalAddress_StreetName</v>
      </c>
      <c r="H589" s="19" t="s">
        <v>285</v>
      </c>
      <c r="I589" s="25" t="s">
        <v>2491</v>
      </c>
      <c r="J589" s="25" t="s">
        <v>2966</v>
      </c>
      <c r="K589" s="25" t="s">
        <v>1392</v>
      </c>
      <c r="L589" s="25" t="s">
        <v>228</v>
      </c>
      <c r="M589" s="25" t="s">
        <v>64</v>
      </c>
      <c r="N589" s="26" t="str">
        <f>IF(O589="","",LEN(O589)-LEN(SUBSTITUTE(O589,"/",""))+IF(ISNUMBER(SEARCH("@",O589)),0,1))</f>
        <v>4</v>
      </c>
      <c r="O589" s="26" t="s">
        <v>2967</v>
      </c>
      <c r="P589" s="20"/>
      <c r="Q589" s="20"/>
      <c r="R589" s="20"/>
      <c r="S589" s="25" t="s">
        <v>2968</v>
      </c>
      <c r="T589" s="20"/>
      <c r="U589" s="25" t="s">
        <v>1663</v>
      </c>
      <c r="V589" s="25" t="s">
        <v>68</v>
      </c>
      <c r="W589" s="20" t="str">
        <f>IF(ISBLANK(O589),"是","否")</f>
        <v>否</v>
      </c>
      <c r="X589" s="20"/>
      <c r="Y589" s="25"/>
      <c r="Z589" s="25"/>
      <c r="AA589" s="20"/>
      <c r="AB589" s="20"/>
      <c r="AC589" s="20" t="s">
        <v>76</v>
      </c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</row>
    <row r="590" ht="29.59398496240601" customHeight="1" spans="1:52" x14ac:dyDescent="0.25">
      <c r="A590" s="19" t="s">
        <v>282</v>
      </c>
      <c r="B590" s="20" t="s">
        <v>57</v>
      </c>
      <c r="C590" s="21"/>
      <c r="D590" s="22"/>
      <c r="E590" s="21" t="s">
        <v>290</v>
      </c>
      <c r="F590" s="29" t="s">
        <v>2969</v>
      </c>
      <c r="G590" s="20" t="str">
        <f>SUBSTITUTE(SUBSTITUTE(SUBSTITUTE(O590,"/@","_"),"/cac:","_"),"/cbc:","_")</f>
        <v>Invoice_TaxRepresentativeParty_PostalAddress_CityName</v>
      </c>
      <c r="H590" s="19" t="s">
        <v>292</v>
      </c>
      <c r="I590" s="25" t="s">
        <v>2507</v>
      </c>
      <c r="J590" s="25" t="s">
        <v>2970</v>
      </c>
      <c r="K590" s="25" t="s">
        <v>1392</v>
      </c>
      <c r="L590" s="25" t="s">
        <v>228</v>
      </c>
      <c r="M590" s="25" t="s">
        <v>64</v>
      </c>
      <c r="N590" s="26" t="str">
        <f>IF(O590="","",LEN(O590)-LEN(SUBSTITUTE(O590,"/",""))+IF(ISNUMBER(SEARCH("@",O590)),0,1))</f>
        <v>4</v>
      </c>
      <c r="O590" s="26" t="s">
        <v>2971</v>
      </c>
      <c r="P590" s="20"/>
      <c r="Q590" s="20"/>
      <c r="R590" s="20"/>
      <c r="S590" s="25" t="s">
        <v>2972</v>
      </c>
      <c r="T590" s="20"/>
      <c r="U590" s="25" t="s">
        <v>1663</v>
      </c>
      <c r="V590" s="25" t="s">
        <v>68</v>
      </c>
      <c r="W590" s="20" t="str">
        <f>IF(ISBLANK(O590),"是","否")</f>
        <v>否</v>
      </c>
      <c r="X590" s="20"/>
      <c r="Y590" s="25"/>
      <c r="Z590" s="25"/>
      <c r="AA590" s="20"/>
      <c r="AB590" s="20"/>
      <c r="AC590" s="20" t="s">
        <v>76</v>
      </c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</row>
    <row r="591" ht="29.59398496240601" customHeight="1" spans="1:52" x14ac:dyDescent="0.25">
      <c r="A591" s="19" t="s">
        <v>282</v>
      </c>
      <c r="B591" s="20" t="s">
        <v>57</v>
      </c>
      <c r="C591" s="21"/>
      <c r="D591" s="22"/>
      <c r="E591" s="21" t="s">
        <v>309</v>
      </c>
      <c r="F591" s="29" t="s">
        <v>2973</v>
      </c>
      <c r="G591" s="20" t="str">
        <f>SUBSTITUTE(SUBSTITUTE(SUBSTITUTE(O591,"/@","_"),"/cac:","_"),"/cbc:","_")</f>
        <v>Invoice_TaxRepresentativeParty_PostalAddress_PostalZone</v>
      </c>
      <c r="H591" s="19" t="s">
        <v>311</v>
      </c>
      <c r="I591" s="25" t="s">
        <v>2974</v>
      </c>
      <c r="J591" s="25" t="s">
        <v>2975</v>
      </c>
      <c r="K591" s="25" t="s">
        <v>1392</v>
      </c>
      <c r="L591" s="25" t="s">
        <v>228</v>
      </c>
      <c r="M591" s="25" t="s">
        <v>64</v>
      </c>
      <c r="N591" s="26" t="str">
        <f>IF(O591="","",LEN(O591)-LEN(SUBSTITUTE(O591,"/",""))+IF(ISNUMBER(SEARCH("@",O591)),0,1))</f>
        <v>4</v>
      </c>
      <c r="O591" s="26" t="s">
        <v>2976</v>
      </c>
      <c r="P591" s="20"/>
      <c r="Q591" s="20"/>
      <c r="R591" s="20"/>
      <c r="S591" s="25" t="s">
        <v>2977</v>
      </c>
      <c r="T591" s="20"/>
      <c r="U591" s="25" t="s">
        <v>1663</v>
      </c>
      <c r="V591" s="25" t="s">
        <v>68</v>
      </c>
      <c r="W591" s="20" t="str">
        <f>IF(ISBLANK(O591),"是","否")</f>
        <v>否</v>
      </c>
      <c r="X591" s="20"/>
      <c r="Y591" s="25"/>
      <c r="Z591" s="25"/>
      <c r="AA591" s="20"/>
      <c r="AB591" s="20"/>
      <c r="AC591" s="20" t="s">
        <v>76</v>
      </c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</row>
    <row r="592" ht="29.59398496240601" customHeight="1" spans="1:52" x14ac:dyDescent="0.25">
      <c r="A592" s="19" t="s">
        <v>282</v>
      </c>
      <c r="B592" s="20" t="s">
        <v>57</v>
      </c>
      <c r="C592" s="21"/>
      <c r="D592" s="22"/>
      <c r="E592" s="21" t="s">
        <v>316</v>
      </c>
      <c r="F592" s="29" t="s">
        <v>2978</v>
      </c>
      <c r="G592" s="20" t="str">
        <f>SUBSTITUTE(SUBSTITUTE(SUBSTITUTE(O592,"/@","_"),"/cac:","_"),"/cbc:","_")</f>
        <v>Invoice_TaxRepresentativeParty_PostalAddress_AddressLine</v>
      </c>
      <c r="H592" s="19" t="s">
        <v>318</v>
      </c>
      <c r="I592" s="25" t="s">
        <v>2527</v>
      </c>
      <c r="J592" s="25" t="s">
        <v>2979</v>
      </c>
      <c r="K592" s="25" t="s">
        <v>2529</v>
      </c>
      <c r="L592" s="25" t="s">
        <v>220</v>
      </c>
      <c r="M592" s="25" t="s">
        <v>64</v>
      </c>
      <c r="N592" s="26" t="str">
        <f>IF(O592="","",LEN(O592)-LEN(SUBSTITUTE(O592,"/",""))+IF(ISNUMBER(SEARCH("@",O592)),0,1))</f>
        <v>4</v>
      </c>
      <c r="O592" s="26" t="s">
        <v>2980</v>
      </c>
      <c r="P592" s="20"/>
      <c r="Q592" s="20"/>
      <c r="R592" s="20"/>
      <c r="S592" s="25" t="s">
        <v>681</v>
      </c>
      <c r="T592" s="20"/>
      <c r="U592" s="25" t="s">
        <v>1663</v>
      </c>
      <c r="V592" s="25" t="s">
        <v>222</v>
      </c>
      <c r="W592" s="20" t="str">
        <f>IF(ISBLANK(O592),"是","否")</f>
        <v>否</v>
      </c>
      <c r="X592" s="20"/>
      <c r="Y592" s="25"/>
      <c r="Z592" s="25"/>
      <c r="AA592" s="20"/>
      <c r="AB592" s="20"/>
      <c r="AC592" s="20" t="s">
        <v>76</v>
      </c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</row>
    <row r="593" ht="29.59398496240601" customHeight="1" spans="1:52" x14ac:dyDescent="0.25">
      <c r="A593" s="19" t="s">
        <v>316</v>
      </c>
      <c r="B593" s="20" t="s">
        <v>57</v>
      </c>
      <c r="C593" s="21"/>
      <c r="D593" s="22"/>
      <c r="E593" s="21" t="s">
        <v>321</v>
      </c>
      <c r="F593" s="29" t="s">
        <v>2981</v>
      </c>
      <c r="G593" s="20" t="str">
        <f>SUBSTITUTE(SUBSTITUTE(SUBSTITUTE(O593,"/@","_"),"/cac:","_"),"/cbc:","_")</f>
        <v>Invoice_TaxRepresentativeParty_PostalAddress_AddressLine_Line</v>
      </c>
      <c r="H593" s="19" t="s">
        <v>323</v>
      </c>
      <c r="I593" s="25" t="s">
        <v>2533</v>
      </c>
      <c r="J593" s="25" t="s">
        <v>2982</v>
      </c>
      <c r="K593" s="25" t="s">
        <v>1392</v>
      </c>
      <c r="L593" s="25" t="s">
        <v>228</v>
      </c>
      <c r="M593" s="25">
        <v>1</v>
      </c>
      <c r="N593" s="26" t="str">
        <f>IF(O593="","",LEN(O593)-LEN(SUBSTITUTE(O593,"/",""))+IF(ISNUMBER(SEARCH("@",O593)),0,1))</f>
        <v>5</v>
      </c>
      <c r="O593" s="26" t="s">
        <v>2983</v>
      </c>
      <c r="P593" s="20"/>
      <c r="Q593" s="20"/>
      <c r="R593" s="20"/>
      <c r="S593" s="25" t="s">
        <v>2984</v>
      </c>
      <c r="T593" s="20"/>
      <c r="U593" s="25" t="s">
        <v>1663</v>
      </c>
      <c r="V593" s="25" t="s">
        <v>68</v>
      </c>
      <c r="W593" s="20" t="str">
        <f>IF(ISBLANK(O593),"是","否")</f>
        <v>否</v>
      </c>
      <c r="X593" s="20"/>
      <c r="Y593" s="25"/>
      <c r="Z593" s="25"/>
      <c r="AA593" s="20"/>
      <c r="AB593" s="20"/>
      <c r="AC593" s="20" t="s">
        <v>76</v>
      </c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</row>
    <row r="594" ht="39.879699248120296" customHeight="1" spans="1:52" x14ac:dyDescent="0.25">
      <c r="A594" s="19" t="s">
        <v>328</v>
      </c>
      <c r="B594" s="20" t="s">
        <v>57</v>
      </c>
      <c r="C594" s="21"/>
      <c r="D594" s="22"/>
      <c r="E594" s="21" t="s">
        <v>519</v>
      </c>
      <c r="F594" s="29" t="s">
        <v>2985</v>
      </c>
      <c r="G594" s="20" t="str">
        <f>SUBSTITUTE(SUBSTITUTE(SUBSTITUTE(O594,"/@","_"),"/cac:","_"),"/cbc:","_")</f>
        <v>Invoice_TaxRepresentativeParty_PostalAddress_Country_IdentificationCode</v>
      </c>
      <c r="H594" s="19" t="s">
        <v>335</v>
      </c>
      <c r="I594" s="25" t="s">
        <v>2986</v>
      </c>
      <c r="J594" s="25" t="s">
        <v>2987</v>
      </c>
      <c r="K594" s="25" t="s">
        <v>2856</v>
      </c>
      <c r="L594" s="25" t="s">
        <v>1661</v>
      </c>
      <c r="M594" s="25">
        <v>1</v>
      </c>
      <c r="N594" s="26" t="str">
        <f>IF(O594="","",LEN(O594)-LEN(SUBSTITUTE(O594,"/",""))+IF(ISNUMBER(SEARCH("@",O594)),0,1))</f>
        <v>5</v>
      </c>
      <c r="O594" s="26" t="s">
        <v>2988</v>
      </c>
      <c r="P594" s="20"/>
      <c r="Q594" s="20"/>
      <c r="R594" s="20"/>
      <c r="S594" s="25" t="s">
        <v>2989</v>
      </c>
      <c r="T594" s="20"/>
      <c r="U594" s="25" t="s">
        <v>1663</v>
      </c>
      <c r="V594" s="25" t="s">
        <v>68</v>
      </c>
      <c r="W594" s="20" t="str">
        <f>IF(ISBLANK(O594),"是","否")</f>
        <v>否</v>
      </c>
      <c r="X594" s="20"/>
      <c r="Y594" s="25"/>
      <c r="Z594" s="25"/>
      <c r="AA594" s="20"/>
      <c r="AB594" s="20"/>
      <c r="AC594" s="20" t="s">
        <v>76</v>
      </c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</row>
    <row r="595" ht="29.59398496240601" customHeight="1" spans="1:52" x14ac:dyDescent="0.25">
      <c r="A595" s="19" t="s">
        <v>230</v>
      </c>
      <c r="B595" s="20" t="s">
        <v>57</v>
      </c>
      <c r="C595" s="21"/>
      <c r="D595" s="22"/>
      <c r="E595" s="21" t="s">
        <v>344</v>
      </c>
      <c r="F595" s="29" t="s">
        <v>2990</v>
      </c>
      <c r="G595" s="20" t="str">
        <f>SUBSTITUTE(SUBSTITUTE(SUBSTITUTE(O595,"/@","_"),"/cac:","_"),"/cbc:","_")</f>
        <v>Invoice_TaxRepresentativeParty_PartyTaxScheme</v>
      </c>
      <c r="H595" s="19" t="s">
        <v>356</v>
      </c>
      <c r="I595" s="25" t="s">
        <v>2991</v>
      </c>
      <c r="J595" s="25" t="s">
        <v>2992</v>
      </c>
      <c r="K595" s="25" t="s">
        <v>2993</v>
      </c>
      <c r="L595" s="25" t="s">
        <v>220</v>
      </c>
      <c r="M595" s="25" t="s">
        <v>49</v>
      </c>
      <c r="N595" s="26" t="str">
        <f>IF(O595="","",LEN(O595)-LEN(SUBSTITUTE(O595,"/",""))+IF(ISNUMBER(SEARCH("@",O595)),0,1))</f>
        <v>3</v>
      </c>
      <c r="O595" s="26" t="s">
        <v>2994</v>
      </c>
      <c r="P595" s="20"/>
      <c r="Q595" s="20"/>
      <c r="R595" s="20"/>
      <c r="S595" s="25" t="s">
        <v>681</v>
      </c>
      <c r="T595" s="20"/>
      <c r="U595" s="25" t="s">
        <v>1663</v>
      </c>
      <c r="V595" s="25" t="s">
        <v>222</v>
      </c>
      <c r="W595" s="20" t="str">
        <f>IF(ISBLANK(O595),"是","否")</f>
        <v>否</v>
      </c>
      <c r="X595" s="20"/>
      <c r="Y595" s="25"/>
      <c r="Z595" s="25"/>
      <c r="AA595" s="20"/>
      <c r="AB595" s="20"/>
      <c r="AC595" s="20" t="s">
        <v>76</v>
      </c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</row>
    <row r="596" ht="29.59398496240601" customHeight="1" spans="1:52" x14ac:dyDescent="0.25">
      <c r="A596" s="19" t="s">
        <v>349</v>
      </c>
      <c r="B596" s="20" t="s">
        <v>57</v>
      </c>
      <c r="C596" s="21"/>
      <c r="D596" s="22"/>
      <c r="E596" s="21" t="s">
        <v>527</v>
      </c>
      <c r="F596" s="29" t="s">
        <v>2995</v>
      </c>
      <c r="G596" s="20" t="str">
        <f>SUBSTITUTE(SUBSTITUTE(SUBSTITUTE(O596,"/@","_"),"/cac:","_"),"/cbc:","_")</f>
        <v>Invoice_TaxRepresentativeParty_PartyTaxScheme_TaxScheme_ID</v>
      </c>
      <c r="H596" s="19" t="s">
        <v>267</v>
      </c>
      <c r="I596" s="25" t="s">
        <v>1261</v>
      </c>
      <c r="J596" s="25" t="s">
        <v>2996</v>
      </c>
      <c r="K596" s="25" t="s">
        <v>2566</v>
      </c>
      <c r="L596" s="25" t="s">
        <v>1661</v>
      </c>
      <c r="M596" s="25" t="s">
        <v>64</v>
      </c>
      <c r="N596" s="26" t="str">
        <f>IF(O596="","",LEN(O596)-LEN(SUBSTITUTE(O596,"/",""))+IF(ISNUMBER(SEARCH("@",O596)),0,1))</f>
        <v>5</v>
      </c>
      <c r="O596" s="26" t="s">
        <v>2997</v>
      </c>
      <c r="P596" s="20"/>
      <c r="Q596" s="20"/>
      <c r="R596" s="20"/>
      <c r="S596" s="25" t="s">
        <v>791</v>
      </c>
      <c r="T596" s="20"/>
      <c r="U596" s="25" t="s">
        <v>1663</v>
      </c>
      <c r="V596" s="25" t="s">
        <v>68</v>
      </c>
      <c r="W596" s="20" t="str">
        <f>IF(ISBLANK(O596),"是","否")</f>
        <v>否</v>
      </c>
      <c r="X596" s="20"/>
      <c r="Y596" s="25"/>
      <c r="Z596" s="25"/>
      <c r="AA596" s="20"/>
      <c r="AB596" s="20"/>
      <c r="AC596" s="20" t="s">
        <v>76</v>
      </c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</row>
    <row r="597" ht="29.59398496240601" customHeight="1" spans="1:52" x14ac:dyDescent="0.25">
      <c r="A597" s="19" t="s">
        <v>344</v>
      </c>
      <c r="B597" s="20" t="s">
        <v>57</v>
      </c>
      <c r="C597" s="21"/>
      <c r="D597" s="22"/>
      <c r="E597" s="21" t="s">
        <v>531</v>
      </c>
      <c r="F597" s="29" t="s">
        <v>2998</v>
      </c>
      <c r="G597" s="20" t="str">
        <f>SUBSTITUTE(SUBSTITUTE(SUBSTITUTE(O597,"/@","_"),"/cac:","_"),"/cbc:","_")</f>
        <v>Invoice_TaxRepresentativeParty_PartyTaxScheme_CompanyID</v>
      </c>
      <c r="H597" s="19" t="s">
        <v>2999</v>
      </c>
      <c r="I597" s="25" t="s">
        <v>2570</v>
      </c>
      <c r="J597" s="25" t="s">
        <v>3000</v>
      </c>
      <c r="K597" s="25" t="s">
        <v>1392</v>
      </c>
      <c r="L597" s="25" t="s">
        <v>228</v>
      </c>
      <c r="M597" s="25">
        <v>1</v>
      </c>
      <c r="N597" s="26" t="str">
        <f>IF(O597="","",LEN(O597)-LEN(SUBSTITUTE(O597,"/",""))+IF(ISNUMBER(SEARCH("@",O597)),0,1))</f>
        <v>4</v>
      </c>
      <c r="O597" s="26" t="s">
        <v>3001</v>
      </c>
      <c r="P597" s="20"/>
      <c r="Q597" s="20"/>
      <c r="R597" s="20"/>
      <c r="S597" s="25" t="s">
        <v>3002</v>
      </c>
      <c r="T597" s="20"/>
      <c r="U597" s="25" t="s">
        <v>1663</v>
      </c>
      <c r="V597" s="25" t="s">
        <v>68</v>
      </c>
      <c r="W597" s="20" t="str">
        <f>IF(ISBLANK(O597),"是","否")</f>
        <v>否</v>
      </c>
      <c r="X597" s="20"/>
      <c r="Y597" s="25"/>
      <c r="Z597" s="25"/>
      <c r="AA597" s="20"/>
      <c r="AB597" s="20"/>
      <c r="AC597" s="20" t="s">
        <v>76</v>
      </c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</row>
    <row r="598" ht="18.045112781954888" customHeight="1" spans="1:52" x14ac:dyDescent="0.25">
      <c r="A598" s="20"/>
      <c r="B598" s="20"/>
      <c r="C598" s="21"/>
      <c r="D598" s="22"/>
      <c r="E598" s="21"/>
      <c r="F598" s="25"/>
      <c r="G598" s="20"/>
      <c r="H598" s="20"/>
      <c r="I598" s="20"/>
      <c r="J598" s="20"/>
      <c r="K598" s="20"/>
      <c r="L598" s="25"/>
      <c r="M598" s="27"/>
      <c r="N598" s="42"/>
      <c r="O598" s="26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</row>
    <row r="599" ht="18.045112781954888" customHeight="1" spans="1:52" x14ac:dyDescent="0.25">
      <c r="A599" s="20"/>
      <c r="B599" s="20"/>
      <c r="C599" s="21"/>
      <c r="D599" s="22"/>
      <c r="E599" s="21"/>
      <c r="F599" s="25"/>
      <c r="G599" s="20"/>
      <c r="H599" s="20"/>
      <c r="I599" s="20"/>
      <c r="J599" s="20"/>
      <c r="K599" s="20"/>
      <c r="L599" s="25"/>
      <c r="M599" s="27"/>
      <c r="N599" s="42"/>
      <c r="O599" s="26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</row>
    <row r="600" ht="18.045112781954888" customHeight="1" spans="1:52" x14ac:dyDescent="0.25">
      <c r="A600" s="20"/>
      <c r="B600" s="20"/>
      <c r="C600" s="21"/>
      <c r="D600" s="22"/>
      <c r="E600" s="21"/>
      <c r="F600" s="25"/>
      <c r="G600" s="20"/>
      <c r="H600" s="20"/>
      <c r="I600" s="20"/>
      <c r="J600" s="20"/>
      <c r="K600" s="20"/>
      <c r="L600" s="25"/>
      <c r="M600" s="27"/>
      <c r="N600" s="42"/>
      <c r="O600" s="26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</row>
    <row r="601" ht="18.045112781954888" customHeight="1" spans="1:52" x14ac:dyDescent="0.25">
      <c r="A601" s="20"/>
      <c r="B601" s="20"/>
      <c r="C601" s="21"/>
      <c r="D601" s="22"/>
      <c r="E601" s="21"/>
      <c r="F601" s="25"/>
      <c r="G601" s="20"/>
      <c r="H601" s="20"/>
      <c r="I601" s="20"/>
      <c r="J601" s="20"/>
      <c r="K601" s="20"/>
      <c r="L601" s="25"/>
      <c r="M601" s="27"/>
      <c r="N601" s="42"/>
      <c r="O601" s="26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</row>
    <row r="602" ht="18.045112781954888" customHeight="1" spans="1:52" x14ac:dyDescent="0.25">
      <c r="A602" s="20"/>
      <c r="B602" s="20"/>
      <c r="C602" s="21"/>
      <c r="D602" s="22"/>
      <c r="E602" s="21"/>
      <c r="F602" s="25"/>
      <c r="G602" s="20"/>
      <c r="H602" s="20"/>
      <c r="I602" s="20"/>
      <c r="J602" s="20"/>
      <c r="K602" s="20"/>
      <c r="L602" s="25"/>
      <c r="M602" s="27"/>
      <c r="N602" s="42"/>
      <c r="O602" s="26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</row>
    <row r="603" ht="18.045112781954888" customHeight="1" spans="1:52" x14ac:dyDescent="0.25">
      <c r="A603" s="20"/>
      <c r="B603" s="20"/>
      <c r="C603" s="21"/>
      <c r="D603" s="22"/>
      <c r="E603" s="21"/>
      <c r="F603" s="25"/>
      <c r="G603" s="20"/>
      <c r="H603" s="20"/>
      <c r="I603" s="20"/>
      <c r="J603" s="20"/>
      <c r="K603" s="20"/>
      <c r="L603" s="25"/>
      <c r="M603" s="27"/>
      <c r="N603" s="42"/>
      <c r="O603" s="26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</row>
    <row r="604" ht="18.045112781954888" customHeight="1" spans="1:52" x14ac:dyDescent="0.25">
      <c r="A604" s="20"/>
      <c r="B604" s="20"/>
      <c r="C604" s="21"/>
      <c r="D604" s="22"/>
      <c r="E604" s="21"/>
      <c r="F604" s="25"/>
      <c r="G604" s="20"/>
      <c r="H604" s="20"/>
      <c r="I604" s="20"/>
      <c r="J604" s="20"/>
      <c r="K604" s="20"/>
      <c r="L604" s="25"/>
      <c r="M604" s="27"/>
      <c r="N604" s="42"/>
      <c r="O604" s="26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</row>
    <row r="605" ht="18.045112781954888" customHeight="1" spans="1:52" x14ac:dyDescent="0.25">
      <c r="A605" s="20"/>
      <c r="B605" s="20"/>
      <c r="C605" s="21"/>
      <c r="D605" s="22"/>
      <c r="E605" s="21"/>
      <c r="F605" s="25"/>
      <c r="G605" s="20"/>
      <c r="H605" s="20"/>
      <c r="I605" s="20"/>
      <c r="J605" s="20"/>
      <c r="K605" s="20"/>
      <c r="L605" s="25"/>
      <c r="M605" s="27"/>
      <c r="N605" s="42"/>
      <c r="O605" s="26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</row>
    <row r="606" ht="18.045112781954888" customHeight="1" spans="1:52" x14ac:dyDescent="0.25">
      <c r="A606" s="20"/>
      <c r="B606" s="20"/>
      <c r="C606" s="21"/>
      <c r="D606" s="22"/>
      <c r="E606" s="21"/>
      <c r="F606" s="25"/>
      <c r="G606" s="20"/>
      <c r="H606" s="20"/>
      <c r="I606" s="20"/>
      <c r="J606" s="20"/>
      <c r="K606" s="20"/>
      <c r="L606" s="25"/>
      <c r="M606" s="27"/>
      <c r="N606" s="42"/>
      <c r="O606" s="26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</row>
    <row r="607" ht="18.045112781954888" customHeight="1" spans="1:52" x14ac:dyDescent="0.25">
      <c r="A607" s="20"/>
      <c r="B607" s="20"/>
      <c r="C607" s="21"/>
      <c r="D607" s="22"/>
      <c r="E607" s="21"/>
      <c r="F607" s="25"/>
      <c r="G607" s="20"/>
      <c r="H607" s="20"/>
      <c r="I607" s="20"/>
      <c r="J607" s="20"/>
      <c r="K607" s="20"/>
      <c r="L607" s="25"/>
      <c r="M607" s="27"/>
      <c r="N607" s="42"/>
      <c r="O607" s="26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</row>
    <row r="608" ht="18.045112781954888" customHeight="1" spans="1:52" x14ac:dyDescent="0.25">
      <c r="A608" s="20"/>
      <c r="B608" s="20"/>
      <c r="C608" s="21"/>
      <c r="D608" s="22"/>
      <c r="E608" s="21"/>
      <c r="F608" s="25"/>
      <c r="G608" s="20"/>
      <c r="H608" s="20"/>
      <c r="I608" s="20"/>
      <c r="J608" s="20"/>
      <c r="K608" s="20"/>
      <c r="L608" s="25"/>
      <c r="M608" s="27"/>
      <c r="N608" s="42"/>
      <c r="O608" s="26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</row>
    <row r="609" ht="18.045112781954888" customHeight="1" spans="1:52" x14ac:dyDescent="0.25">
      <c r="A609" s="20"/>
      <c r="B609" s="20"/>
      <c r="C609" s="21"/>
      <c r="D609" s="22"/>
      <c r="E609" s="21"/>
      <c r="F609" s="25"/>
      <c r="G609" s="20"/>
      <c r="H609" s="20"/>
      <c r="I609" s="20"/>
      <c r="J609" s="20"/>
      <c r="K609" s="20"/>
      <c r="L609" s="25"/>
      <c r="M609" s="27"/>
      <c r="N609" s="42"/>
      <c r="O609" s="26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</row>
    <row r="610" ht="18.045112781954888" customHeight="1" spans="1:52" x14ac:dyDescent="0.25">
      <c r="A610" s="20"/>
      <c r="B610" s="20"/>
      <c r="C610" s="21"/>
      <c r="D610" s="22"/>
      <c r="E610" s="21"/>
      <c r="F610" s="25"/>
      <c r="G610" s="20"/>
      <c r="H610" s="20"/>
      <c r="I610" s="20"/>
      <c r="J610" s="20"/>
      <c r="K610" s="20"/>
      <c r="L610" s="25"/>
      <c r="M610" s="27"/>
      <c r="N610" s="42"/>
      <c r="O610" s="26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</row>
    <row r="611" ht="18.045112781954888" customHeight="1" spans="1:52" x14ac:dyDescent="0.25">
      <c r="A611" s="20"/>
      <c r="B611" s="20"/>
      <c r="C611" s="21"/>
      <c r="D611" s="22"/>
      <c r="E611" s="21"/>
      <c r="F611" s="25"/>
      <c r="G611" s="20"/>
      <c r="H611" s="20"/>
      <c r="I611" s="20"/>
      <c r="J611" s="20"/>
      <c r="K611" s="20"/>
      <c r="L611" s="25"/>
      <c r="M611" s="27"/>
      <c r="N611" s="42"/>
      <c r="O611" s="26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</row>
    <row r="612" ht="18.045112781954888" customHeight="1" spans="1:52" x14ac:dyDescent="0.25">
      <c r="A612" s="20"/>
      <c r="B612" s="20"/>
      <c r="C612" s="21"/>
      <c r="D612" s="22"/>
      <c r="E612" s="21"/>
      <c r="F612" s="25"/>
      <c r="G612" s="20"/>
      <c r="H612" s="20"/>
      <c r="I612" s="20"/>
      <c r="J612" s="20"/>
      <c r="K612" s="20"/>
      <c r="L612" s="25"/>
      <c r="M612" s="27"/>
      <c r="N612" s="42"/>
      <c r="O612" s="26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</row>
    <row r="613" ht="18.045112781954888" customHeight="1" spans="1:52" x14ac:dyDescent="0.25">
      <c r="A613" s="20"/>
      <c r="B613" s="20"/>
      <c r="C613" s="21"/>
      <c r="D613" s="22"/>
      <c r="E613" s="21"/>
      <c r="F613" s="25"/>
      <c r="G613" s="20"/>
      <c r="H613" s="20"/>
      <c r="I613" s="20"/>
      <c r="J613" s="20"/>
      <c r="K613" s="20"/>
      <c r="L613" s="25"/>
      <c r="M613" s="27"/>
      <c r="N613" s="42"/>
      <c r="O613" s="26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</row>
    <row r="614" ht="18.045112781954888" customHeight="1" spans="1:52" x14ac:dyDescent="0.25">
      <c r="A614" s="20"/>
      <c r="B614" s="20"/>
      <c r="C614" s="21"/>
      <c r="D614" s="22"/>
      <c r="E614" s="21"/>
      <c r="F614" s="25"/>
      <c r="G614" s="20"/>
      <c r="H614" s="20"/>
      <c r="I614" s="20"/>
      <c r="J614" s="20"/>
      <c r="K614" s="20"/>
      <c r="L614" s="25"/>
      <c r="M614" s="27"/>
      <c r="N614" s="42"/>
      <c r="O614" s="26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</row>
    <row r="615" ht="18.045112781954888" customHeight="1" spans="1:52" x14ac:dyDescent="0.25">
      <c r="A615" s="20"/>
      <c r="B615" s="20"/>
      <c r="C615" s="21"/>
      <c r="D615" s="22"/>
      <c r="E615" s="21"/>
      <c r="F615" s="25"/>
      <c r="G615" s="20"/>
      <c r="H615" s="20"/>
      <c r="I615" s="20"/>
      <c r="J615" s="20"/>
      <c r="K615" s="20"/>
      <c r="L615" s="25"/>
      <c r="M615" s="27"/>
      <c r="N615" s="42"/>
      <c r="O615" s="26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</row>
    <row r="616" ht="18.045112781954888" customHeight="1" spans="1:52" x14ac:dyDescent="0.25">
      <c r="A616" s="20"/>
      <c r="B616" s="20"/>
      <c r="C616" s="21"/>
      <c r="D616" s="22"/>
      <c r="E616" s="21"/>
      <c r="F616" s="25"/>
      <c r="G616" s="20"/>
      <c r="H616" s="20"/>
      <c r="I616" s="20"/>
      <c r="J616" s="20"/>
      <c r="K616" s="20"/>
      <c r="L616" s="25"/>
      <c r="M616" s="27"/>
      <c r="N616" s="42"/>
      <c r="O616" s="26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</row>
    <row r="617" ht="18.045112781954888" customHeight="1" spans="1:52" x14ac:dyDescent="0.25">
      <c r="A617" s="20"/>
      <c r="B617" s="20"/>
      <c r="C617" s="21"/>
      <c r="D617" s="22"/>
      <c r="E617" s="21"/>
      <c r="F617" s="25"/>
      <c r="G617" s="20"/>
      <c r="H617" s="20"/>
      <c r="I617" s="20"/>
      <c r="J617" s="20"/>
      <c r="K617" s="20"/>
      <c r="L617" s="25"/>
      <c r="M617" s="27"/>
      <c r="N617" s="42"/>
      <c r="O617" s="26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</row>
    <row r="618" ht="18.045112781954888" customHeight="1" spans="1:52" x14ac:dyDescent="0.25">
      <c r="A618" s="20"/>
      <c r="B618" s="20"/>
      <c r="C618" s="21"/>
      <c r="D618" s="22"/>
      <c r="E618" s="21"/>
      <c r="F618" s="25"/>
      <c r="G618" s="20"/>
      <c r="H618" s="20"/>
      <c r="I618" s="20"/>
      <c r="J618" s="20"/>
      <c r="K618" s="20"/>
      <c r="L618" s="25"/>
      <c r="M618" s="27"/>
      <c r="N618" s="42"/>
      <c r="O618" s="26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</row>
    <row r="619" ht="18.045112781954888" customHeight="1" spans="1:52" x14ac:dyDescent="0.25">
      <c r="A619" s="20"/>
      <c r="B619" s="20"/>
      <c r="C619" s="21"/>
      <c r="D619" s="22"/>
      <c r="E619" s="21"/>
      <c r="F619" s="25"/>
      <c r="G619" s="20"/>
      <c r="H619" s="20"/>
      <c r="I619" s="20"/>
      <c r="J619" s="20"/>
      <c r="K619" s="20"/>
      <c r="L619" s="25"/>
      <c r="M619" s="27"/>
      <c r="N619" s="42"/>
      <c r="O619" s="26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</row>
    <row r="620" ht="18.045112781954888" customHeight="1" spans="1:52" x14ac:dyDescent="0.25">
      <c r="A620" s="20"/>
      <c r="B620" s="20"/>
      <c r="C620" s="21"/>
      <c r="D620" s="22"/>
      <c r="E620" s="21"/>
      <c r="F620" s="25"/>
      <c r="G620" s="20"/>
      <c r="H620" s="20"/>
      <c r="I620" s="20"/>
      <c r="J620" s="20"/>
      <c r="K620" s="20"/>
      <c r="L620" s="25"/>
      <c r="M620" s="27"/>
      <c r="N620" s="42"/>
      <c r="O620" s="26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</row>
    <row r="621" ht="18.045112781954888" customHeight="1" spans="1:52" x14ac:dyDescent="0.25">
      <c r="A621" s="20"/>
      <c r="B621" s="20"/>
      <c r="C621" s="21"/>
      <c r="D621" s="22"/>
      <c r="E621" s="21"/>
      <c r="F621" s="25"/>
      <c r="G621" s="20"/>
      <c r="H621" s="20"/>
      <c r="I621" s="20"/>
      <c r="J621" s="20"/>
      <c r="K621" s="20"/>
      <c r="L621" s="25"/>
      <c r="M621" s="27"/>
      <c r="N621" s="42"/>
      <c r="O621" s="26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</row>
    <row r="622" ht="18.045112781954888" customHeight="1" spans="1:52" x14ac:dyDescent="0.25">
      <c r="A622" s="20"/>
      <c r="B622" s="20"/>
      <c r="C622" s="21"/>
      <c r="D622" s="22"/>
      <c r="E622" s="21"/>
      <c r="F622" s="25"/>
      <c r="G622" s="20"/>
      <c r="H622" s="20"/>
      <c r="I622" s="20"/>
      <c r="J622" s="20"/>
      <c r="K622" s="20"/>
      <c r="L622" s="25"/>
      <c r="M622" s="27"/>
      <c r="N622" s="42"/>
      <c r="O622" s="26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</row>
    <row r="623" ht="18.045112781954888" customHeight="1" spans="1:52" x14ac:dyDescent="0.25">
      <c r="A623" s="20"/>
      <c r="B623" s="20"/>
      <c r="C623" s="21"/>
      <c r="D623" s="22"/>
      <c r="E623" s="21"/>
      <c r="F623" s="25"/>
      <c r="G623" s="20"/>
      <c r="H623" s="20"/>
      <c r="I623" s="20"/>
      <c r="J623" s="20"/>
      <c r="K623" s="20"/>
      <c r="L623" s="25"/>
      <c r="M623" s="27"/>
      <c r="N623" s="42"/>
      <c r="O623" s="26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</row>
    <row r="624" ht="18.045112781954888" customHeight="1" spans="1:52" x14ac:dyDescent="0.25">
      <c r="A624" s="20"/>
      <c r="B624" s="20"/>
      <c r="C624" s="21"/>
      <c r="D624" s="22"/>
      <c r="E624" s="21"/>
      <c r="F624" s="25"/>
      <c r="G624" s="20"/>
      <c r="H624" s="20"/>
      <c r="I624" s="20"/>
      <c r="J624" s="20"/>
      <c r="K624" s="20"/>
      <c r="L624" s="25"/>
      <c r="M624" s="27"/>
      <c r="N624" s="42"/>
      <c r="O624" s="26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</row>
    <row r="625" ht="18.045112781954888" customHeight="1" spans="1:52" x14ac:dyDescent="0.25">
      <c r="A625" s="20"/>
      <c r="B625" s="20"/>
      <c r="C625" s="21"/>
      <c r="D625" s="22"/>
      <c r="E625" s="21"/>
      <c r="F625" s="25"/>
      <c r="G625" s="20"/>
      <c r="H625" s="20"/>
      <c r="I625" s="20"/>
      <c r="J625" s="20"/>
      <c r="K625" s="20"/>
      <c r="L625" s="25"/>
      <c r="M625" s="27"/>
      <c r="N625" s="42"/>
      <c r="O625" s="26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</row>
    <row r="626" ht="18.045112781954888" customHeight="1" spans="1:52" x14ac:dyDescent="0.25">
      <c r="A626" s="20"/>
      <c r="B626" s="20"/>
      <c r="C626" s="21"/>
      <c r="D626" s="22"/>
      <c r="E626" s="21"/>
      <c r="F626" s="25"/>
      <c r="G626" s="20"/>
      <c r="H626" s="20"/>
      <c r="I626" s="20"/>
      <c r="J626" s="20"/>
      <c r="K626" s="20"/>
      <c r="L626" s="25"/>
      <c r="M626" s="27"/>
      <c r="N626" s="42"/>
      <c r="O626" s="26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</row>
    <row r="627" ht="18.045112781954888" customHeight="1" spans="1:52" x14ac:dyDescent="0.25">
      <c r="A627" s="20"/>
      <c r="B627" s="20"/>
      <c r="C627" s="21"/>
      <c r="D627" s="22"/>
      <c r="E627" s="21"/>
      <c r="F627" s="25"/>
      <c r="G627" s="20"/>
      <c r="H627" s="20"/>
      <c r="I627" s="20"/>
      <c r="J627" s="20"/>
      <c r="K627" s="20"/>
      <c r="L627" s="25"/>
      <c r="M627" s="27"/>
      <c r="N627" s="42"/>
      <c r="O627" s="26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</row>
    <row r="628" ht="18.045112781954888" customHeight="1" spans="1:52" x14ac:dyDescent="0.25">
      <c r="A628" s="20"/>
      <c r="B628" s="20"/>
      <c r="C628" s="21"/>
      <c r="D628" s="22"/>
      <c r="E628" s="21"/>
      <c r="F628" s="25"/>
      <c r="G628" s="20"/>
      <c r="H628" s="20"/>
      <c r="I628" s="20"/>
      <c r="J628" s="20"/>
      <c r="K628" s="20"/>
      <c r="L628" s="25"/>
      <c r="M628" s="27"/>
      <c r="N628" s="42"/>
      <c r="O628" s="26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</row>
    <row r="629" ht="18.045112781954888" customHeight="1" spans="1:52" x14ac:dyDescent="0.25">
      <c r="A629" s="20"/>
      <c r="B629" s="20"/>
      <c r="C629" s="21"/>
      <c r="D629" s="22"/>
      <c r="E629" s="21"/>
      <c r="F629" s="25"/>
      <c r="G629" s="20"/>
      <c r="H629" s="20"/>
      <c r="I629" s="20"/>
      <c r="J629" s="20"/>
      <c r="K629" s="20"/>
      <c r="L629" s="25"/>
      <c r="M629" s="27"/>
      <c r="N629" s="42"/>
      <c r="O629" s="26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</row>
    <row r="630" ht="18.045112781954888" customHeight="1" spans="1:52" x14ac:dyDescent="0.25">
      <c r="A630" s="20"/>
      <c r="B630" s="20"/>
      <c r="C630" s="21"/>
      <c r="D630" s="22"/>
      <c r="E630" s="21"/>
      <c r="F630" s="25"/>
      <c r="G630" s="20"/>
      <c r="H630" s="20"/>
      <c r="I630" s="20"/>
      <c r="J630" s="20"/>
      <c r="K630" s="20"/>
      <c r="L630" s="25"/>
      <c r="M630" s="27"/>
      <c r="N630" s="42"/>
      <c r="O630" s="26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</row>
    <row r="631" ht="18.045112781954888" customHeight="1" spans="1:52" x14ac:dyDescent="0.25">
      <c r="A631" s="20"/>
      <c r="B631" s="20"/>
      <c r="C631" s="21"/>
      <c r="D631" s="22"/>
      <c r="E631" s="21"/>
      <c r="F631" s="25"/>
      <c r="G631" s="20"/>
      <c r="H631" s="20"/>
      <c r="I631" s="20"/>
      <c r="J631" s="20"/>
      <c r="K631" s="20"/>
      <c r="L631" s="25"/>
      <c r="M631" s="27"/>
      <c r="N631" s="42"/>
      <c r="O631" s="26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</row>
    <row r="632" ht="18.045112781954888" customHeight="1" spans="1:52" x14ac:dyDescent="0.25">
      <c r="A632" s="20"/>
      <c r="B632" s="20"/>
      <c r="C632" s="21"/>
      <c r="D632" s="22"/>
      <c r="E632" s="21"/>
      <c r="F632" s="25"/>
      <c r="G632" s="20"/>
      <c r="H632" s="20"/>
      <c r="I632" s="20"/>
      <c r="J632" s="20"/>
      <c r="K632" s="20"/>
      <c r="L632" s="25"/>
      <c r="M632" s="27"/>
      <c r="N632" s="42"/>
      <c r="O632" s="26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</row>
    <row r="633" ht="18.045112781954888" customHeight="1" spans="1:52" x14ac:dyDescent="0.25">
      <c r="A633" s="20"/>
      <c r="B633" s="20"/>
      <c r="C633" s="21"/>
      <c r="D633" s="22"/>
      <c r="E633" s="21"/>
      <c r="F633" s="25"/>
      <c r="G633" s="20"/>
      <c r="H633" s="20"/>
      <c r="I633" s="20"/>
      <c r="J633" s="20"/>
      <c r="K633" s="20"/>
      <c r="L633" s="25"/>
      <c r="M633" s="27"/>
      <c r="N633" s="42"/>
      <c r="O633" s="26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</row>
    <row r="634" ht="18.045112781954888" customHeight="1" spans="1:52" x14ac:dyDescent="0.25">
      <c r="A634" s="20"/>
      <c r="B634" s="20"/>
      <c r="C634" s="21"/>
      <c r="D634" s="22"/>
      <c r="E634" s="21"/>
      <c r="F634" s="25"/>
      <c r="G634" s="20"/>
      <c r="H634" s="20"/>
      <c r="I634" s="20"/>
      <c r="J634" s="20"/>
      <c r="K634" s="20"/>
      <c r="L634" s="25"/>
      <c r="M634" s="27"/>
      <c r="N634" s="42"/>
      <c r="O634" s="26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</row>
    <row r="635" ht="18.045112781954888" customHeight="1" spans="1:52" x14ac:dyDescent="0.25">
      <c r="A635" s="20"/>
      <c r="B635" s="20"/>
      <c r="C635" s="21"/>
      <c r="D635" s="22"/>
      <c r="E635" s="21"/>
      <c r="F635" s="25"/>
      <c r="G635" s="20"/>
      <c r="H635" s="20"/>
      <c r="I635" s="20"/>
      <c r="J635" s="20"/>
      <c r="K635" s="20"/>
      <c r="L635" s="25"/>
      <c r="M635" s="27"/>
      <c r="N635" s="42"/>
      <c r="O635" s="26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</row>
    <row r="636" ht="18.045112781954888" customHeight="1" spans="1:52" x14ac:dyDescent="0.25">
      <c r="A636" s="20"/>
      <c r="B636" s="20"/>
      <c r="C636" s="21"/>
      <c r="D636" s="22"/>
      <c r="E636" s="21"/>
      <c r="F636" s="25"/>
      <c r="G636" s="20"/>
      <c r="H636" s="20"/>
      <c r="I636" s="20"/>
      <c r="J636" s="20"/>
      <c r="K636" s="20"/>
      <c r="L636" s="25"/>
      <c r="M636" s="27"/>
      <c r="N636" s="42"/>
      <c r="O636" s="26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</row>
    <row r="637" ht="18.045112781954888" customHeight="1" spans="1:52" x14ac:dyDescent="0.25">
      <c r="A637" s="20"/>
      <c r="B637" s="20"/>
      <c r="C637" s="21"/>
      <c r="D637" s="22"/>
      <c r="E637" s="21"/>
      <c r="F637" s="25"/>
      <c r="G637" s="20"/>
      <c r="H637" s="20"/>
      <c r="I637" s="20"/>
      <c r="J637" s="20"/>
      <c r="K637" s="20"/>
      <c r="L637" s="25"/>
      <c r="M637" s="27"/>
      <c r="N637" s="42"/>
      <c r="O637" s="26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</row>
    <row r="638" ht="18.045112781954888" customHeight="1" spans="1:52" x14ac:dyDescent="0.25">
      <c r="A638" s="20"/>
      <c r="B638" s="20"/>
      <c r="C638" s="21"/>
      <c r="D638" s="22"/>
      <c r="E638" s="21"/>
      <c r="F638" s="25"/>
      <c r="G638" s="20"/>
      <c r="H638" s="20"/>
      <c r="I638" s="20"/>
      <c r="J638" s="20"/>
      <c r="K638" s="20"/>
      <c r="L638" s="25"/>
      <c r="M638" s="27"/>
      <c r="N638" s="42"/>
      <c r="O638" s="26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</row>
    <row r="639" ht="18.045112781954888" customHeight="1" spans="1:52" x14ac:dyDescent="0.25">
      <c r="A639" s="20"/>
      <c r="B639" s="20"/>
      <c r="C639" s="21"/>
      <c r="D639" s="22"/>
      <c r="E639" s="21"/>
      <c r="F639" s="25"/>
      <c r="G639" s="20"/>
      <c r="H639" s="20"/>
      <c r="I639" s="20"/>
      <c r="J639" s="20"/>
      <c r="K639" s="20"/>
      <c r="L639" s="25"/>
      <c r="M639" s="27"/>
      <c r="N639" s="42"/>
      <c r="O639" s="26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</row>
    <row r="640" ht="18.045112781954888" customHeight="1" spans="1:52" x14ac:dyDescent="0.25">
      <c r="A640" s="20"/>
      <c r="B640" s="20"/>
      <c r="C640" s="21"/>
      <c r="D640" s="22"/>
      <c r="E640" s="21"/>
      <c r="F640" s="25"/>
      <c r="G640" s="20"/>
      <c r="H640" s="20"/>
      <c r="I640" s="20"/>
      <c r="J640" s="20"/>
      <c r="K640" s="20"/>
      <c r="L640" s="25"/>
      <c r="M640" s="27"/>
      <c r="N640" s="42"/>
      <c r="O640" s="26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</row>
    <row r="641" ht="18.045112781954888" customHeight="1" spans="1:52" x14ac:dyDescent="0.25">
      <c r="A641" s="20"/>
      <c r="B641" s="20"/>
      <c r="C641" s="21"/>
      <c r="D641" s="22"/>
      <c r="E641" s="21"/>
      <c r="F641" s="25"/>
      <c r="G641" s="20"/>
      <c r="H641" s="20"/>
      <c r="I641" s="20"/>
      <c r="J641" s="20"/>
      <c r="K641" s="20"/>
      <c r="L641" s="25"/>
      <c r="M641" s="27"/>
      <c r="N641" s="42"/>
      <c r="O641" s="26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</row>
    <row r="642" ht="18.045112781954888" customHeight="1" spans="1:52" x14ac:dyDescent="0.25">
      <c r="A642" s="20"/>
      <c r="B642" s="20"/>
      <c r="C642" s="21"/>
      <c r="D642" s="22"/>
      <c r="E642" s="21"/>
      <c r="F642" s="25"/>
      <c r="G642" s="20"/>
      <c r="H642" s="20"/>
      <c r="I642" s="20"/>
      <c r="J642" s="20"/>
      <c r="K642" s="20"/>
      <c r="L642" s="25"/>
      <c r="M642" s="27"/>
      <c r="N642" s="42"/>
      <c r="O642" s="26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</row>
    <row r="643" ht="18.045112781954888" customHeight="1" spans="1:52" x14ac:dyDescent="0.25">
      <c r="A643" s="20"/>
      <c r="B643" s="20"/>
      <c r="C643" s="21"/>
      <c r="D643" s="22"/>
      <c r="E643" s="21"/>
      <c r="F643" s="25"/>
      <c r="G643" s="20"/>
      <c r="H643" s="20"/>
      <c r="I643" s="20"/>
      <c r="J643" s="20"/>
      <c r="K643" s="20"/>
      <c r="L643" s="25"/>
      <c r="M643" s="27"/>
      <c r="N643" s="42"/>
      <c r="O643" s="26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</row>
    <row r="644" ht="18.045112781954888" customHeight="1" spans="1:52" x14ac:dyDescent="0.25">
      <c r="A644" s="20"/>
      <c r="B644" s="20"/>
      <c r="C644" s="21"/>
      <c r="D644" s="22"/>
      <c r="E644" s="21"/>
      <c r="F644" s="25"/>
      <c r="G644" s="20"/>
      <c r="H644" s="20"/>
      <c r="I644" s="20"/>
      <c r="J644" s="20"/>
      <c r="K644" s="20"/>
      <c r="L644" s="25"/>
      <c r="M644" s="27"/>
      <c r="N644" s="42"/>
      <c r="O644" s="26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</row>
    <row r="645" ht="18.045112781954888" customHeight="1" spans="1:52" x14ac:dyDescent="0.25">
      <c r="A645" s="20"/>
      <c r="B645" s="20"/>
      <c r="C645" s="21"/>
      <c r="D645" s="22"/>
      <c r="E645" s="21"/>
      <c r="F645" s="25"/>
      <c r="G645" s="20"/>
      <c r="H645" s="20"/>
      <c r="I645" s="20"/>
      <c r="J645" s="20"/>
      <c r="K645" s="20"/>
      <c r="L645" s="25"/>
      <c r="M645" s="27"/>
      <c r="N645" s="42"/>
      <c r="O645" s="26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</row>
    <row r="646" ht="18.045112781954888" customHeight="1" spans="1:52" x14ac:dyDescent="0.25">
      <c r="A646" s="20"/>
      <c r="B646" s="20"/>
      <c r="C646" s="21"/>
      <c r="D646" s="22"/>
      <c r="E646" s="21"/>
      <c r="F646" s="25"/>
      <c r="G646" s="20"/>
      <c r="H646" s="20"/>
      <c r="I646" s="20"/>
      <c r="J646" s="20"/>
      <c r="K646" s="20"/>
      <c r="L646" s="25"/>
      <c r="M646" s="27"/>
      <c r="N646" s="42"/>
      <c r="O646" s="26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</row>
    <row r="647" ht="18.045112781954888" customHeight="1" spans="1:52" x14ac:dyDescent="0.25">
      <c r="A647" s="20"/>
      <c r="B647" s="20"/>
      <c r="C647" s="21"/>
      <c r="D647" s="22"/>
      <c r="E647" s="21"/>
      <c r="F647" s="25"/>
      <c r="G647" s="20"/>
      <c r="H647" s="20"/>
      <c r="I647" s="20"/>
      <c r="J647" s="20"/>
      <c r="K647" s="20"/>
      <c r="L647" s="25"/>
      <c r="M647" s="27"/>
      <c r="N647" s="42"/>
      <c r="O647" s="26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</row>
    <row r="648" ht="18.045112781954888" customHeight="1" spans="1:52" x14ac:dyDescent="0.25">
      <c r="A648" s="20"/>
      <c r="B648" s="20"/>
      <c r="C648" s="21"/>
      <c r="D648" s="22"/>
      <c r="E648" s="21"/>
      <c r="F648" s="25"/>
      <c r="G648" s="20"/>
      <c r="H648" s="20"/>
      <c r="I648" s="20"/>
      <c r="J648" s="20"/>
      <c r="K648" s="20"/>
      <c r="L648" s="25"/>
      <c r="M648" s="27"/>
      <c r="N648" s="42"/>
      <c r="O648" s="26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</row>
    <row r="649" ht="18.045112781954888" customHeight="1" spans="1:52" x14ac:dyDescent="0.25">
      <c r="A649" s="20"/>
      <c r="B649" s="20"/>
      <c r="C649" s="21"/>
      <c r="D649" s="22"/>
      <c r="E649" s="21"/>
      <c r="F649" s="25"/>
      <c r="G649" s="20"/>
      <c r="H649" s="20"/>
      <c r="I649" s="20"/>
      <c r="J649" s="20"/>
      <c r="K649" s="20"/>
      <c r="L649" s="25"/>
      <c r="M649" s="27"/>
      <c r="N649" s="42"/>
      <c r="O649" s="26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</row>
    <row r="650" ht="18.045112781954888" customHeight="1" spans="1:52" x14ac:dyDescent="0.25">
      <c r="A650" s="20"/>
      <c r="B650" s="20"/>
      <c r="C650" s="21"/>
      <c r="D650" s="22"/>
      <c r="E650" s="21"/>
      <c r="F650" s="25"/>
      <c r="G650" s="20"/>
      <c r="H650" s="20"/>
      <c r="I650" s="20"/>
      <c r="J650" s="20"/>
      <c r="K650" s="20"/>
      <c r="L650" s="25"/>
      <c r="M650" s="27"/>
      <c r="N650" s="42"/>
      <c r="O650" s="26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</row>
    <row r="651" ht="18.045112781954888" customHeight="1" spans="1:52" x14ac:dyDescent="0.25">
      <c r="A651" s="20"/>
      <c r="B651" s="20"/>
      <c r="C651" s="21"/>
      <c r="D651" s="22"/>
      <c r="E651" s="21"/>
      <c r="F651" s="25"/>
      <c r="G651" s="20"/>
      <c r="H651" s="20"/>
      <c r="I651" s="20"/>
      <c r="J651" s="20"/>
      <c r="K651" s="20"/>
      <c r="L651" s="25"/>
      <c r="M651" s="27"/>
      <c r="N651" s="42"/>
      <c r="O651" s="26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</row>
    <row r="652" ht="18.045112781954888" customHeight="1" spans="1:52" x14ac:dyDescent="0.25">
      <c r="A652" s="20"/>
      <c r="B652" s="20"/>
      <c r="C652" s="21"/>
      <c r="D652" s="22"/>
      <c r="E652" s="21"/>
      <c r="F652" s="25"/>
      <c r="G652" s="20"/>
      <c r="H652" s="20"/>
      <c r="I652" s="20"/>
      <c r="J652" s="20"/>
      <c r="K652" s="20"/>
      <c r="L652" s="25"/>
      <c r="M652" s="27"/>
      <c r="N652" s="42"/>
      <c r="O652" s="26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</row>
    <row r="653" ht="18.045112781954888" customHeight="1" spans="1:52" x14ac:dyDescent="0.25">
      <c r="A653" s="20"/>
      <c r="B653" s="20"/>
      <c r="C653" s="21"/>
      <c r="D653" s="22"/>
      <c r="E653" s="21"/>
      <c r="F653" s="25"/>
      <c r="G653" s="20"/>
      <c r="H653" s="20"/>
      <c r="I653" s="20"/>
      <c r="J653" s="20"/>
      <c r="K653" s="20"/>
      <c r="L653" s="25"/>
      <c r="M653" s="27"/>
      <c r="N653" s="42"/>
      <c r="O653" s="26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</row>
    <row r="654" ht="18.045112781954888" customHeight="1" spans="1:52" x14ac:dyDescent="0.25">
      <c r="A654" s="20"/>
      <c r="B654" s="20"/>
      <c r="C654" s="21"/>
      <c r="D654" s="22"/>
      <c r="E654" s="21"/>
      <c r="F654" s="25"/>
      <c r="G654" s="20"/>
      <c r="H654" s="20"/>
      <c r="I654" s="20"/>
      <c r="J654" s="20"/>
      <c r="K654" s="20"/>
      <c r="L654" s="25"/>
      <c r="M654" s="27"/>
      <c r="N654" s="42"/>
      <c r="O654" s="26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</row>
    <row r="655" ht="18.045112781954888" customHeight="1" spans="1:52" x14ac:dyDescent="0.25">
      <c r="A655" s="20"/>
      <c r="B655" s="20"/>
      <c r="C655" s="21"/>
      <c r="D655" s="22"/>
      <c r="E655" s="21"/>
      <c r="F655" s="25"/>
      <c r="G655" s="20"/>
      <c r="H655" s="20"/>
      <c r="I655" s="20"/>
      <c r="J655" s="20"/>
      <c r="K655" s="20"/>
      <c r="L655" s="25"/>
      <c r="M655" s="27"/>
      <c r="N655" s="42"/>
      <c r="O655" s="26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</row>
    <row r="656" ht="18.045112781954888" customHeight="1" spans="1:52" x14ac:dyDescent="0.25">
      <c r="A656" s="20"/>
      <c r="B656" s="20"/>
      <c r="C656" s="21"/>
      <c r="D656" s="22"/>
      <c r="E656" s="21"/>
      <c r="F656" s="25"/>
      <c r="G656" s="20"/>
      <c r="H656" s="20"/>
      <c r="I656" s="20"/>
      <c r="J656" s="20"/>
      <c r="K656" s="20"/>
      <c r="L656" s="25"/>
      <c r="M656" s="27"/>
      <c r="N656" s="42"/>
      <c r="O656" s="26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</row>
    <row r="657" ht="18.045112781954888" customHeight="1" spans="1:52" x14ac:dyDescent="0.25">
      <c r="A657" s="20"/>
      <c r="B657" s="20"/>
      <c r="C657" s="21"/>
      <c r="D657" s="22"/>
      <c r="E657" s="21"/>
      <c r="F657" s="25"/>
      <c r="G657" s="20"/>
      <c r="H657" s="20"/>
      <c r="I657" s="20"/>
      <c r="J657" s="20"/>
      <c r="K657" s="20"/>
      <c r="L657" s="25"/>
      <c r="M657" s="27"/>
      <c r="N657" s="42"/>
      <c r="O657" s="26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</row>
    <row r="658" ht="18.045112781954888" customHeight="1" spans="1:52" x14ac:dyDescent="0.25">
      <c r="A658" s="20"/>
      <c r="B658" s="20"/>
      <c r="C658" s="21"/>
      <c r="D658" s="22"/>
      <c r="E658" s="21"/>
      <c r="F658" s="25"/>
      <c r="G658" s="20"/>
      <c r="H658" s="20"/>
      <c r="I658" s="20"/>
      <c r="J658" s="20"/>
      <c r="K658" s="20"/>
      <c r="L658" s="25"/>
      <c r="M658" s="27"/>
      <c r="N658" s="42"/>
      <c r="O658" s="26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</row>
    <row r="659" ht="18.045112781954888" customHeight="1" spans="1:52" x14ac:dyDescent="0.25">
      <c r="A659" s="20"/>
      <c r="B659" s="20"/>
      <c r="C659" s="21"/>
      <c r="D659" s="22"/>
      <c r="E659" s="21"/>
      <c r="F659" s="25"/>
      <c r="G659" s="20"/>
      <c r="H659" s="20"/>
      <c r="I659" s="20"/>
      <c r="J659" s="20"/>
      <c r="K659" s="20"/>
      <c r="L659" s="25"/>
      <c r="M659" s="27"/>
      <c r="N659" s="42"/>
      <c r="O659" s="26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</row>
    <row r="660" ht="18.045112781954888" customHeight="1" spans="1:52" x14ac:dyDescent="0.25">
      <c r="A660" s="20"/>
      <c r="B660" s="20"/>
      <c r="C660" s="21"/>
      <c r="D660" s="22"/>
      <c r="E660" s="21"/>
      <c r="F660" s="25"/>
      <c r="G660" s="20"/>
      <c r="H660" s="20"/>
      <c r="I660" s="20"/>
      <c r="J660" s="20"/>
      <c r="K660" s="20"/>
      <c r="L660" s="25"/>
      <c r="M660" s="27"/>
      <c r="N660" s="42"/>
      <c r="O660" s="26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</row>
    <row r="661" ht="18.045112781954888" customHeight="1" spans="1:52" x14ac:dyDescent="0.25">
      <c r="A661" s="20"/>
      <c r="B661" s="20"/>
      <c r="C661" s="21"/>
      <c r="D661" s="22"/>
      <c r="E661" s="21"/>
      <c r="F661" s="25"/>
      <c r="G661" s="20"/>
      <c r="H661" s="20"/>
      <c r="I661" s="20"/>
      <c r="J661" s="20"/>
      <c r="K661" s="20"/>
      <c r="L661" s="25"/>
      <c r="M661" s="27"/>
      <c r="N661" s="42"/>
      <c r="O661" s="26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</row>
    <row r="662" ht="18.045112781954888" customHeight="1" spans="1:52" x14ac:dyDescent="0.25">
      <c r="A662" s="20"/>
      <c r="B662" s="20"/>
      <c r="C662" s="21"/>
      <c r="D662" s="22"/>
      <c r="E662" s="21"/>
      <c r="F662" s="25"/>
      <c r="G662" s="20"/>
      <c r="H662" s="20"/>
      <c r="I662" s="20"/>
      <c r="J662" s="20"/>
      <c r="K662" s="20"/>
      <c r="L662" s="25"/>
      <c r="M662" s="27"/>
      <c r="N662" s="42"/>
      <c r="O662" s="26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</row>
    <row r="663" ht="18.045112781954888" customHeight="1" spans="1:52" x14ac:dyDescent="0.25">
      <c r="A663" s="20"/>
      <c r="B663" s="20"/>
      <c r="C663" s="21"/>
      <c r="D663" s="22"/>
      <c r="E663" s="21"/>
      <c r="F663" s="25"/>
      <c r="G663" s="20"/>
      <c r="H663" s="20"/>
      <c r="I663" s="20"/>
      <c r="J663" s="20"/>
      <c r="K663" s="20"/>
      <c r="L663" s="25"/>
      <c r="M663" s="27"/>
      <c r="N663" s="42"/>
      <c r="O663" s="26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</row>
    <row r="664" ht="18.045112781954888" customHeight="1" spans="1:52" x14ac:dyDescent="0.25">
      <c r="A664" s="20"/>
      <c r="B664" s="20"/>
      <c r="C664" s="21"/>
      <c r="D664" s="22"/>
      <c r="E664" s="21"/>
      <c r="F664" s="25"/>
      <c r="G664" s="20"/>
      <c r="H664" s="20"/>
      <c r="I664" s="20"/>
      <c r="J664" s="20"/>
      <c r="K664" s="20"/>
      <c r="L664" s="25"/>
      <c r="M664" s="27"/>
      <c r="N664" s="42"/>
      <c r="O664" s="26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</row>
    <row r="665" ht="18.045112781954888" customHeight="1" spans="1:52" x14ac:dyDescent="0.25">
      <c r="A665" s="20"/>
      <c r="B665" s="20"/>
      <c r="C665" s="21"/>
      <c r="D665" s="22"/>
      <c r="E665" s="21"/>
      <c r="F665" s="25"/>
      <c r="G665" s="20"/>
      <c r="H665" s="20"/>
      <c r="I665" s="20"/>
      <c r="J665" s="20"/>
      <c r="K665" s="20"/>
      <c r="L665" s="25"/>
      <c r="M665" s="27"/>
      <c r="N665" s="42"/>
      <c r="O665" s="26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</row>
    <row r="666" ht="18.045112781954888" customHeight="1" spans="1:52" x14ac:dyDescent="0.25">
      <c r="A666" s="20"/>
      <c r="B666" s="20"/>
      <c r="C666" s="21"/>
      <c r="D666" s="22"/>
      <c r="E666" s="21"/>
      <c r="F666" s="25"/>
      <c r="G666" s="20"/>
      <c r="H666" s="20"/>
      <c r="I666" s="20"/>
      <c r="J666" s="20"/>
      <c r="K666" s="20"/>
      <c r="L666" s="25"/>
      <c r="M666" s="27"/>
      <c r="N666" s="42"/>
      <c r="O666" s="26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</row>
    <row r="667" ht="18.045112781954888" customHeight="1" spans="1:52" x14ac:dyDescent="0.25">
      <c r="A667" s="20"/>
      <c r="B667" s="20"/>
      <c r="C667" s="21"/>
      <c r="D667" s="22"/>
      <c r="E667" s="21"/>
      <c r="F667" s="25"/>
      <c r="G667" s="20"/>
      <c r="H667" s="20"/>
      <c r="I667" s="20"/>
      <c r="J667" s="20"/>
      <c r="K667" s="20"/>
      <c r="L667" s="25"/>
      <c r="M667" s="27"/>
      <c r="N667" s="42"/>
      <c r="O667" s="26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</row>
    <row r="668" ht="18.045112781954888" customHeight="1" spans="1:52" x14ac:dyDescent="0.25">
      <c r="A668" s="20"/>
      <c r="B668" s="20"/>
      <c r="C668" s="21"/>
      <c r="D668" s="22"/>
      <c r="E668" s="21"/>
      <c r="F668" s="25"/>
      <c r="G668" s="20"/>
      <c r="H668" s="20"/>
      <c r="I668" s="20"/>
      <c r="J668" s="20"/>
      <c r="K668" s="20"/>
      <c r="L668" s="25"/>
      <c r="M668" s="27"/>
      <c r="N668" s="42"/>
      <c r="O668" s="26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</row>
    <row r="669" ht="18.045112781954888" customHeight="1" spans="1:52" x14ac:dyDescent="0.25">
      <c r="A669" s="20"/>
      <c r="B669" s="20"/>
      <c r="C669" s="21"/>
      <c r="D669" s="22"/>
      <c r="E669" s="21"/>
      <c r="F669" s="25"/>
      <c r="G669" s="20"/>
      <c r="H669" s="20"/>
      <c r="I669" s="20"/>
      <c r="J669" s="20"/>
      <c r="K669" s="20"/>
      <c r="L669" s="25"/>
      <c r="M669" s="27"/>
      <c r="N669" s="42"/>
      <c r="O669" s="26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</row>
    <row r="670" ht="18.045112781954888" customHeight="1" spans="1:52" x14ac:dyDescent="0.25">
      <c r="A670" s="20"/>
      <c r="B670" s="20"/>
      <c r="C670" s="21"/>
      <c r="D670" s="22"/>
      <c r="E670" s="21"/>
      <c r="F670" s="25"/>
      <c r="G670" s="20"/>
      <c r="H670" s="20"/>
      <c r="I670" s="20"/>
      <c r="J670" s="20"/>
      <c r="K670" s="20"/>
      <c r="L670" s="25"/>
      <c r="M670" s="27"/>
      <c r="N670" s="42"/>
      <c r="O670" s="26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</row>
    <row r="671" ht="18.045112781954888" customHeight="1" spans="1:52" x14ac:dyDescent="0.25">
      <c r="A671" s="20"/>
      <c r="B671" s="20"/>
      <c r="C671" s="21"/>
      <c r="D671" s="22"/>
      <c r="E671" s="21"/>
      <c r="F671" s="25"/>
      <c r="G671" s="20"/>
      <c r="H671" s="20"/>
      <c r="I671" s="20"/>
      <c r="J671" s="20"/>
      <c r="K671" s="20"/>
      <c r="L671" s="25"/>
      <c r="M671" s="27"/>
      <c r="N671" s="42"/>
      <c r="O671" s="26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</row>
    <row r="672" ht="18.045112781954888" customHeight="1" spans="1:52" x14ac:dyDescent="0.25">
      <c r="A672" s="20"/>
      <c r="B672" s="20"/>
      <c r="C672" s="21"/>
      <c r="D672" s="22"/>
      <c r="E672" s="21"/>
      <c r="F672" s="25"/>
      <c r="G672" s="20"/>
      <c r="H672" s="20"/>
      <c r="I672" s="20"/>
      <c r="J672" s="20"/>
      <c r="K672" s="20"/>
      <c r="L672" s="25"/>
      <c r="M672" s="27"/>
      <c r="N672" s="42"/>
      <c r="O672" s="26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</row>
    <row r="673" ht="18.045112781954888" customHeight="1" spans="1:52" x14ac:dyDescent="0.25">
      <c r="A673" s="20"/>
      <c r="B673" s="20"/>
      <c r="C673" s="21"/>
      <c r="D673" s="22"/>
      <c r="E673" s="21"/>
      <c r="F673" s="25"/>
      <c r="G673" s="20"/>
      <c r="H673" s="20"/>
      <c r="I673" s="20"/>
      <c r="J673" s="20"/>
      <c r="K673" s="20"/>
      <c r="L673" s="25"/>
      <c r="M673" s="27"/>
      <c r="N673" s="42"/>
      <c r="O673" s="26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</row>
    <row r="674" ht="18.045112781954888" customHeight="1" spans="1:52" x14ac:dyDescent="0.25">
      <c r="A674" s="20"/>
      <c r="B674" s="20"/>
      <c r="C674" s="21"/>
      <c r="D674" s="22"/>
      <c r="E674" s="21"/>
      <c r="F674" s="25"/>
      <c r="G674" s="20"/>
      <c r="H674" s="20"/>
      <c r="I674" s="20"/>
      <c r="J674" s="20"/>
      <c r="K674" s="20"/>
      <c r="L674" s="25"/>
      <c r="M674" s="27"/>
      <c r="N674" s="42"/>
      <c r="O674" s="26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</row>
    <row r="675" ht="18.045112781954888" customHeight="1" spans="1:52" x14ac:dyDescent="0.25">
      <c r="A675" s="20"/>
      <c r="B675" s="20"/>
      <c r="C675" s="21"/>
      <c r="D675" s="22"/>
      <c r="E675" s="21"/>
      <c r="F675" s="25"/>
      <c r="G675" s="20"/>
      <c r="H675" s="20"/>
      <c r="I675" s="20"/>
      <c r="J675" s="20"/>
      <c r="K675" s="20"/>
      <c r="L675" s="25"/>
      <c r="M675" s="27"/>
      <c r="N675" s="42"/>
      <c r="O675" s="26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</row>
    <row r="676" ht="18.045112781954888" customHeight="1" spans="1:52" x14ac:dyDescent="0.25">
      <c r="A676" s="20"/>
      <c r="B676" s="20"/>
      <c r="C676" s="21"/>
      <c r="D676" s="22"/>
      <c r="E676" s="21"/>
      <c r="F676" s="25"/>
      <c r="G676" s="20"/>
      <c r="H676" s="20"/>
      <c r="I676" s="20"/>
      <c r="J676" s="20"/>
      <c r="K676" s="20"/>
      <c r="L676" s="25"/>
      <c r="M676" s="27"/>
      <c r="N676" s="42"/>
      <c r="O676" s="26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</row>
    <row r="677" ht="18.045112781954888" customHeight="1" spans="1:52" x14ac:dyDescent="0.25">
      <c r="A677" s="20"/>
      <c r="B677" s="20"/>
      <c r="C677" s="21"/>
      <c r="D677" s="22"/>
      <c r="E677" s="21"/>
      <c r="F677" s="25"/>
      <c r="G677" s="20"/>
      <c r="H677" s="20"/>
      <c r="I677" s="20"/>
      <c r="J677" s="20"/>
      <c r="K677" s="20"/>
      <c r="L677" s="25"/>
      <c r="M677" s="27"/>
      <c r="N677" s="42"/>
      <c r="O677" s="26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</row>
    <row r="678" ht="18.045112781954888" customHeight="1" spans="1:52" x14ac:dyDescent="0.25">
      <c r="A678" s="20"/>
      <c r="B678" s="20"/>
      <c r="C678" s="21"/>
      <c r="D678" s="22"/>
      <c r="E678" s="21"/>
      <c r="F678" s="25"/>
      <c r="G678" s="20"/>
      <c r="H678" s="20"/>
      <c r="I678" s="20"/>
      <c r="J678" s="20"/>
      <c r="K678" s="20"/>
      <c r="L678" s="25"/>
      <c r="M678" s="27"/>
      <c r="N678" s="42"/>
      <c r="O678" s="26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</row>
    <row r="679" ht="18.045112781954888" customHeight="1" spans="1:52" x14ac:dyDescent="0.25">
      <c r="A679" s="20"/>
      <c r="B679" s="20"/>
      <c r="C679" s="21"/>
      <c r="D679" s="22"/>
      <c r="E679" s="21"/>
      <c r="F679" s="25"/>
      <c r="G679" s="20"/>
      <c r="H679" s="20"/>
      <c r="I679" s="20"/>
      <c r="J679" s="20"/>
      <c r="K679" s="20"/>
      <c r="L679" s="25"/>
      <c r="M679" s="27"/>
      <c r="N679" s="42"/>
      <c r="O679" s="26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</row>
    <row r="680" ht="18.045112781954888" customHeight="1" spans="1:52" x14ac:dyDescent="0.25">
      <c r="A680" s="20"/>
      <c r="B680" s="20"/>
      <c r="C680" s="21"/>
      <c r="D680" s="22"/>
      <c r="E680" s="21"/>
      <c r="F680" s="25"/>
      <c r="G680" s="20"/>
      <c r="H680" s="20"/>
      <c r="I680" s="20"/>
      <c r="J680" s="20"/>
      <c r="K680" s="20"/>
      <c r="L680" s="25"/>
      <c r="M680" s="27"/>
      <c r="N680" s="42"/>
      <c r="O680" s="26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</row>
    <row r="681" ht="18.045112781954888" customHeight="1" spans="1:52" x14ac:dyDescent="0.25">
      <c r="A681" s="20"/>
      <c r="B681" s="20"/>
      <c r="C681" s="21"/>
      <c r="D681" s="22"/>
      <c r="E681" s="21"/>
      <c r="F681" s="25"/>
      <c r="G681" s="20"/>
      <c r="H681" s="20"/>
      <c r="I681" s="20"/>
      <c r="J681" s="20"/>
      <c r="K681" s="20"/>
      <c r="L681" s="25"/>
      <c r="M681" s="27"/>
      <c r="N681" s="42"/>
      <c r="O681" s="26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</row>
    <row r="682" ht="18.045112781954888" customHeight="1" spans="1:52" x14ac:dyDescent="0.25">
      <c r="A682" s="20"/>
      <c r="B682" s="20"/>
      <c r="C682" s="21"/>
      <c r="D682" s="22"/>
      <c r="E682" s="21"/>
      <c r="F682" s="25"/>
      <c r="G682" s="20"/>
      <c r="H682" s="20"/>
      <c r="I682" s="20"/>
      <c r="J682" s="20"/>
      <c r="K682" s="20"/>
      <c r="L682" s="25"/>
      <c r="M682" s="27"/>
      <c r="N682" s="42"/>
      <c r="O682" s="26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</row>
    <row r="683" ht="18.045112781954888" customHeight="1" spans="1:52" x14ac:dyDescent="0.25">
      <c r="A683" s="20"/>
      <c r="B683" s="20"/>
      <c r="C683" s="21"/>
      <c r="D683" s="22"/>
      <c r="E683" s="21"/>
      <c r="F683" s="25"/>
      <c r="G683" s="20"/>
      <c r="H683" s="20"/>
      <c r="I683" s="20"/>
      <c r="J683" s="20"/>
      <c r="K683" s="20"/>
      <c r="L683" s="25"/>
      <c r="M683" s="27"/>
      <c r="N683" s="42"/>
      <c r="O683" s="26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</row>
    <row r="684" ht="18.045112781954888" customHeight="1" spans="1:52" x14ac:dyDescent="0.25">
      <c r="A684" s="20"/>
      <c r="B684" s="20"/>
      <c r="C684" s="21"/>
      <c r="D684" s="22"/>
      <c r="E684" s="21"/>
      <c r="F684" s="25"/>
      <c r="G684" s="20"/>
      <c r="H684" s="20"/>
      <c r="I684" s="20"/>
      <c r="J684" s="20"/>
      <c r="K684" s="20"/>
      <c r="L684" s="25"/>
      <c r="M684" s="27"/>
      <c r="N684" s="42"/>
      <c r="O684" s="26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</row>
    <row r="685" ht="18.045112781954888" customHeight="1" spans="1:52" x14ac:dyDescent="0.25">
      <c r="A685" s="20"/>
      <c r="B685" s="20"/>
      <c r="C685" s="21"/>
      <c r="D685" s="22"/>
      <c r="E685" s="21"/>
      <c r="F685" s="25"/>
      <c r="G685" s="20"/>
      <c r="H685" s="20"/>
      <c r="I685" s="20"/>
      <c r="J685" s="20"/>
      <c r="K685" s="20"/>
      <c r="L685" s="25"/>
      <c r="M685" s="27"/>
      <c r="N685" s="42"/>
      <c r="O685" s="26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</row>
    <row r="686" ht="18.045112781954888" customHeight="1" spans="1:52" x14ac:dyDescent="0.25">
      <c r="A686" s="20"/>
      <c r="B686" s="20"/>
      <c r="C686" s="21"/>
      <c r="D686" s="22"/>
      <c r="E686" s="21"/>
      <c r="F686" s="25"/>
      <c r="G686" s="20"/>
      <c r="H686" s="20"/>
      <c r="I686" s="20"/>
      <c r="J686" s="20"/>
      <c r="K686" s="20"/>
      <c r="L686" s="25"/>
      <c r="M686" s="27"/>
      <c r="N686" s="42"/>
      <c r="O686" s="26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</row>
    <row r="687" ht="18.045112781954888" customHeight="1" spans="1:52" x14ac:dyDescent="0.25">
      <c r="A687" s="20"/>
      <c r="B687" s="20"/>
      <c r="C687" s="21"/>
      <c r="D687" s="22"/>
      <c r="E687" s="21"/>
      <c r="F687" s="25"/>
      <c r="G687" s="20"/>
      <c r="H687" s="20"/>
      <c r="I687" s="20"/>
      <c r="J687" s="20"/>
      <c r="K687" s="20"/>
      <c r="L687" s="25"/>
      <c r="M687" s="27"/>
      <c r="N687" s="42"/>
      <c r="O687" s="26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</row>
    <row r="688" ht="18.045112781954888" customHeight="1" spans="1:52" x14ac:dyDescent="0.25">
      <c r="A688" s="20"/>
      <c r="B688" s="20"/>
      <c r="C688" s="21"/>
      <c r="D688" s="22"/>
      <c r="E688" s="21"/>
      <c r="F688" s="25"/>
      <c r="G688" s="20"/>
      <c r="H688" s="20"/>
      <c r="I688" s="20"/>
      <c r="J688" s="20"/>
      <c r="K688" s="20"/>
      <c r="L688" s="25"/>
      <c r="M688" s="27"/>
      <c r="N688" s="42"/>
      <c r="O688" s="26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</row>
    <row r="689" ht="18.045112781954888" customHeight="1" spans="1:52" x14ac:dyDescent="0.25">
      <c r="A689" s="20"/>
      <c r="B689" s="20"/>
      <c r="C689" s="21"/>
      <c r="D689" s="22"/>
      <c r="E689" s="21"/>
      <c r="F689" s="25"/>
      <c r="G689" s="20"/>
      <c r="H689" s="20"/>
      <c r="I689" s="20"/>
      <c r="J689" s="20"/>
      <c r="K689" s="20"/>
      <c r="L689" s="25"/>
      <c r="M689" s="27"/>
      <c r="N689" s="42"/>
      <c r="O689" s="26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</row>
    <row r="690" ht="18.045112781954888" customHeight="1" spans="1:52" x14ac:dyDescent="0.25">
      <c r="A690" s="20"/>
      <c r="B690" s="20"/>
      <c r="C690" s="21"/>
      <c r="D690" s="22"/>
      <c r="E690" s="21"/>
      <c r="F690" s="25"/>
      <c r="G690" s="20"/>
      <c r="H690" s="20"/>
      <c r="I690" s="20"/>
      <c r="J690" s="20"/>
      <c r="K690" s="20"/>
      <c r="L690" s="25"/>
      <c r="M690" s="27"/>
      <c r="N690" s="42"/>
      <c r="O690" s="26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</row>
    <row r="691" ht="18.045112781954888" customHeight="1" spans="1:52" x14ac:dyDescent="0.25">
      <c r="A691" s="20"/>
      <c r="B691" s="20"/>
      <c r="C691" s="21"/>
      <c r="D691" s="22"/>
      <c r="E691" s="21"/>
      <c r="F691" s="25"/>
      <c r="G691" s="20"/>
      <c r="H691" s="20"/>
      <c r="I691" s="20"/>
      <c r="J691" s="20"/>
      <c r="K691" s="20"/>
      <c r="L691" s="25"/>
      <c r="M691" s="27"/>
      <c r="N691" s="42"/>
      <c r="O691" s="26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</row>
    <row r="692" ht="18.045112781954888" customHeight="1" spans="1:52" x14ac:dyDescent="0.25">
      <c r="A692" s="20"/>
      <c r="B692" s="20"/>
      <c r="C692" s="21"/>
      <c r="D692" s="22"/>
      <c r="E692" s="21"/>
      <c r="F692" s="25"/>
      <c r="G692" s="20"/>
      <c r="H692" s="20"/>
      <c r="I692" s="20"/>
      <c r="J692" s="20"/>
      <c r="K692" s="20"/>
      <c r="L692" s="25"/>
      <c r="M692" s="27"/>
      <c r="N692" s="42"/>
      <c r="O692" s="26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</row>
    <row r="693" ht="18.045112781954888" customHeight="1" spans="1:52" x14ac:dyDescent="0.25">
      <c r="A693" s="20"/>
      <c r="B693" s="20"/>
      <c r="C693" s="21"/>
      <c r="D693" s="22"/>
      <c r="E693" s="21"/>
      <c r="F693" s="25"/>
      <c r="G693" s="20"/>
      <c r="H693" s="20"/>
      <c r="I693" s="20"/>
      <c r="J693" s="20"/>
      <c r="K693" s="20"/>
      <c r="L693" s="25"/>
      <c r="M693" s="27"/>
      <c r="N693" s="42"/>
      <c r="O693" s="26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</row>
    <row r="694" ht="18.045112781954888" customHeight="1" spans="1:52" x14ac:dyDescent="0.25">
      <c r="A694" s="20"/>
      <c r="B694" s="20"/>
      <c r="C694" s="21"/>
      <c r="D694" s="22"/>
      <c r="E694" s="21"/>
      <c r="F694" s="25"/>
      <c r="G694" s="20"/>
      <c r="H694" s="20"/>
      <c r="I694" s="20"/>
      <c r="J694" s="20"/>
      <c r="K694" s="20"/>
      <c r="L694" s="25"/>
      <c r="M694" s="27"/>
      <c r="N694" s="42"/>
      <c r="O694" s="26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</row>
    <row r="695" ht="18.045112781954888" customHeight="1" spans="1:52" x14ac:dyDescent="0.25">
      <c r="A695" s="20"/>
      <c r="B695" s="20"/>
      <c r="C695" s="21"/>
      <c r="D695" s="22"/>
      <c r="E695" s="21"/>
      <c r="F695" s="25"/>
      <c r="G695" s="20"/>
      <c r="H695" s="20"/>
      <c r="I695" s="20"/>
      <c r="J695" s="20"/>
      <c r="K695" s="20"/>
      <c r="L695" s="25"/>
      <c r="M695" s="27"/>
      <c r="N695" s="42"/>
      <c r="O695" s="26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</row>
    <row r="696" ht="18.045112781954888" customHeight="1" spans="1:52" x14ac:dyDescent="0.25">
      <c r="A696" s="20"/>
      <c r="B696" s="20"/>
      <c r="C696" s="21"/>
      <c r="D696" s="22"/>
      <c r="E696" s="21"/>
      <c r="F696" s="25"/>
      <c r="G696" s="20"/>
      <c r="H696" s="20"/>
      <c r="I696" s="20"/>
      <c r="J696" s="20"/>
      <c r="K696" s="20"/>
      <c r="L696" s="25"/>
      <c r="M696" s="27"/>
      <c r="N696" s="42"/>
      <c r="O696" s="26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96"/>
  <sheetFormatPr defaultRowHeight="15" outlineLevelRow="0" outlineLevelCol="0" x14ac:dyDescent="55"/>
  <cols>
    <col min="1" max="1" width="13.6325" customWidth="1"/>
    <col min="2" max="2" width="28.42875" customWidth="1"/>
    <col min="3" max="3" width="16.625" customWidth="1"/>
    <col min="4" max="4" customWidth="1"/>
    <col min="5" max="5" customWidth="1"/>
    <col min="6" max="6" width="15.461250000000001" customWidth="1"/>
    <col min="7" max="7" width="24.62347235271471" customWidth="1"/>
    <col min="8" max="8" width="32.5850019965349" customWidth="1"/>
    <col min="9" max="10" width="19.950000000000003" customWidth="1"/>
    <col min="11" max="11" width="26.67556585600559" customWidth="1"/>
    <col min="12" max="13" width="19.950000000000003" customWidth="1"/>
    <col min="14" max="16" width="13.17069987293172" customWidth="1"/>
    <col min="17" max="17" width="15.353774411280568" customWidth="1"/>
    <col min="18" max="18" width="74.20460043244174" customWidth="1"/>
    <col min="19" max="19" width="70.6730490785354" customWidth="1"/>
    <col min="20" max="20" width="45.86317264301341" customWidth="1"/>
    <col min="21" max="23" width="19.950000000000003" customWidth="1"/>
    <col min="24" max="24" width="25.175974827478242" customWidth="1"/>
    <col min="25" max="25" width="24.51264234693966" customWidth="1"/>
    <col min="26" max="28" width="19.950000000000003" customWidth="1"/>
    <col min="29" max="29" width="17.06834668271437" customWidth="1"/>
    <col min="30" max="30" width="13.263056938775637" customWidth="1"/>
    <col min="31" max="31" width="17.954999177897303" customWidth="1"/>
    <col min="32" max="32" width="12.468750822102697" customWidth="1"/>
    <col min="33" max="57" width="19.950000000000003" customWidth="1"/>
  </cols>
  <sheetData>
    <row r="1" ht="15.789473684210526" customHeight="1" spans="1:57" x14ac:dyDescent="0.25">
      <c r="A1" s="1" t="s">
        <v>21</v>
      </c>
      <c r="B1" s="1" t="s">
        <v>3003</v>
      </c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3"/>
      <c r="O1" s="3"/>
      <c r="P1" s="3"/>
      <c r="Q1" s="4"/>
      <c r="R1" s="4"/>
      <c r="S1" s="5"/>
      <c r="T1" s="1"/>
      <c r="U1" s="1"/>
      <c r="V1" s="1"/>
      <c r="W1" s="1"/>
      <c r="X1" s="1"/>
      <c r="Y1" s="1"/>
      <c r="Z1" s="6"/>
      <c r="AA1" s="6"/>
      <c r="AB1" s="6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</row>
    <row r="2" ht="32.33082706766917" customHeight="1" spans="1:57" x14ac:dyDescent="0.25">
      <c r="A2" s="7" t="s">
        <v>21</v>
      </c>
      <c r="B2" s="43" t="s">
        <v>1</v>
      </c>
      <c r="C2" s="7" t="s">
        <v>2</v>
      </c>
      <c r="D2" s="9" t="s">
        <v>3</v>
      </c>
      <c r="E2" s="10" t="s">
        <v>4</v>
      </c>
      <c r="F2" s="9" t="s">
        <v>5</v>
      </c>
      <c r="G2" s="7" t="s">
        <v>6</v>
      </c>
      <c r="H2" s="43" t="s">
        <v>7</v>
      </c>
      <c r="I2" s="43" t="s">
        <v>7</v>
      </c>
      <c r="J2" s="43" t="s">
        <v>9</v>
      </c>
      <c r="K2" s="43" t="s">
        <v>10</v>
      </c>
      <c r="L2" s="7" t="s">
        <v>11</v>
      </c>
      <c r="M2" s="7" t="s">
        <v>12</v>
      </c>
      <c r="N2" s="43" t="s">
        <v>3004</v>
      </c>
      <c r="O2" s="43" t="s">
        <v>13</v>
      </c>
      <c r="P2" s="7" t="s">
        <v>3005</v>
      </c>
      <c r="Q2" s="44" t="s">
        <v>14</v>
      </c>
      <c r="R2" s="45" t="s">
        <v>3006</v>
      </c>
      <c r="S2" s="44" t="s">
        <v>15</v>
      </c>
      <c r="T2" s="11" t="s">
        <v>16</v>
      </c>
      <c r="U2" s="7" t="s">
        <v>17</v>
      </c>
      <c r="V2" s="7" t="s">
        <v>18</v>
      </c>
      <c r="W2" s="43" t="s">
        <v>19</v>
      </c>
      <c r="X2" s="10" t="s">
        <v>3007</v>
      </c>
      <c r="Y2" s="7" t="s">
        <v>20</v>
      </c>
      <c r="Z2" s="7" t="s">
        <v>3008</v>
      </c>
      <c r="AA2" s="44" t="s">
        <v>22</v>
      </c>
      <c r="AB2" s="43" t="s">
        <v>23</v>
      </c>
      <c r="AC2" s="7" t="s">
        <v>24</v>
      </c>
      <c r="AD2" s="7" t="s">
        <v>25</v>
      </c>
      <c r="AE2" s="7" t="s">
        <v>26</v>
      </c>
      <c r="AF2" s="7" t="s">
        <v>27</v>
      </c>
      <c r="AG2" s="7" t="s">
        <v>28</v>
      </c>
      <c r="AH2" s="7" t="s">
        <v>29</v>
      </c>
      <c r="AI2" s="12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</row>
    <row r="3" ht="19.548872180451127" customHeight="1" spans="1:57" x14ac:dyDescent="0.25">
      <c r="A3" s="13" t="s">
        <v>3009</v>
      </c>
      <c r="B3" s="13" t="s">
        <v>30</v>
      </c>
      <c r="C3" s="13" t="s">
        <v>31</v>
      </c>
      <c r="D3" s="14"/>
      <c r="E3" s="15"/>
      <c r="F3" s="14"/>
      <c r="G3" s="13"/>
      <c r="H3" s="13" t="s">
        <v>32</v>
      </c>
      <c r="I3" s="13" t="s">
        <v>32</v>
      </c>
      <c r="J3" s="13" t="s">
        <v>33</v>
      </c>
      <c r="K3" s="13" t="s">
        <v>34</v>
      </c>
      <c r="L3" s="13" t="s">
        <v>35</v>
      </c>
      <c r="M3" s="13" t="s">
        <v>12</v>
      </c>
      <c r="N3" s="13" t="s">
        <v>36</v>
      </c>
      <c r="O3" s="13" t="s">
        <v>36</v>
      </c>
      <c r="P3" s="17"/>
      <c r="Q3" s="13" t="s">
        <v>37</v>
      </c>
      <c r="R3" s="26" t="s">
        <v>320</v>
      </c>
      <c r="S3" s="16" t="s">
        <v>38</v>
      </c>
      <c r="T3" s="13"/>
      <c r="U3" s="13"/>
      <c r="V3" s="13"/>
      <c r="W3" s="13"/>
      <c r="X3" s="15"/>
      <c r="Y3" s="13" t="s">
        <v>39</v>
      </c>
      <c r="Z3" s="13"/>
      <c r="AA3" s="16" t="s">
        <v>40</v>
      </c>
      <c r="AB3" s="17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 ht="19.548872180451127" customHeight="1" spans="1:57" x14ac:dyDescent="0.25">
      <c r="A4" s="13" t="s">
        <v>3010</v>
      </c>
      <c r="B4" s="13" t="s">
        <v>41</v>
      </c>
      <c r="C4" s="13" t="s">
        <v>42</v>
      </c>
      <c r="D4" s="14" t="s">
        <v>43</v>
      </c>
      <c r="E4" s="15"/>
      <c r="F4" s="18"/>
      <c r="G4" s="13" t="s">
        <v>44</v>
      </c>
      <c r="H4" s="16" t="str">
        <f>SUBSTITUTE(SUBSTITUTE(SUBSTITUTE(S4,"/@","_"),"/cac:","_"),"/cbc:","_")</f>
        <v>Invoice_Full xPath_Full xPath1</v>
      </c>
      <c r="I4" s="16" t="str">
        <f>SUBSTITUTE(SUBSTITUTE(SUBSTITUTE(T4,"/@","_"),"/cac:","_"),"/cbc:","_")</f>
        <v/>
      </c>
      <c r="J4" s="13" t="s">
        <v>45</v>
      </c>
      <c r="K4" s="13" t="s">
        <v>46</v>
      </c>
      <c r="L4" s="13" t="s">
        <v>47</v>
      </c>
      <c r="M4" s="13" t="s">
        <v>48</v>
      </c>
      <c r="N4" s="13" t="s">
        <v>49</v>
      </c>
      <c r="O4" s="13" t="s">
        <v>49</v>
      </c>
      <c r="P4" s="13" t="s">
        <v>3011</v>
      </c>
      <c r="Q4" s="13" t="s">
        <v>50</v>
      </c>
      <c r="R4" s="13"/>
      <c r="S4" s="13" t="s">
        <v>51</v>
      </c>
      <c r="T4" s="13"/>
      <c r="U4" s="13" t="s">
        <v>52</v>
      </c>
      <c r="V4" s="13" t="s">
        <v>53</v>
      </c>
      <c r="W4" s="13" t="s">
        <v>54</v>
      </c>
      <c r="X4" s="15" t="s">
        <v>76</v>
      </c>
      <c r="Y4" s="13" t="s">
        <v>55</v>
      </c>
      <c r="Z4" s="13" t="s">
        <v>3012</v>
      </c>
      <c r="AA4" s="13" t="s">
        <v>56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 ht="81.02255639097744" customHeight="1" spans="1:57" x14ac:dyDescent="0.25">
      <c r="A5" s="20" t="s">
        <v>67</v>
      </c>
      <c r="B5" s="19" t="s">
        <v>41</v>
      </c>
      <c r="C5" s="20" t="s">
        <v>57</v>
      </c>
      <c r="D5" s="21" t="s">
        <v>58</v>
      </c>
      <c r="E5" s="22" t="s">
        <v>59</v>
      </c>
      <c r="F5" s="21" t="s">
        <v>60</v>
      </c>
      <c r="G5" s="23" t="s">
        <v>60</v>
      </c>
      <c r="H5" s="20" t="str">
        <f>SUBSTITUTE(SUBSTITUTE(SUBSTITUTE(S5,"/@","_"),"/cac:","_"),"/cbc:","_")</f>
        <v>Invoice_UUID</v>
      </c>
      <c r="I5" s="20" t="str">
        <f>SUBSTITUTE(SUBSTITUTE(SUBSTITUTE(T5,"/@","_"),"/cac:","_"),"/cbc:","_")</f>
        <v>含义可解释一致：输入为“系统内唯一记录标识”；UBL 的 UUID 是“该单据实例的唯一标识”。上下文为 Invoice 头字段。</v>
      </c>
      <c r="J5" s="19"/>
      <c r="K5" s="19" t="s">
        <v>62</v>
      </c>
      <c r="L5" s="24"/>
      <c r="M5" s="25" t="s">
        <v>63</v>
      </c>
      <c r="N5" s="20" t="s">
        <v>1280</v>
      </c>
      <c r="O5" s="19" t="s">
        <v>64</v>
      </c>
      <c r="P5" s="20"/>
      <c r="Q5" s="26" t="str">
        <f>IF(S5="","",LEN(S5)-LEN(SUBSTITUTE(S5,"/",""))+IF(ISNUMBER(SEARCH("@",S5)),0,1))</f>
        <v>2</v>
      </c>
      <c r="R5" s="26"/>
      <c r="S5" s="19" t="s">
        <v>65</v>
      </c>
      <c r="T5" s="19" t="s">
        <v>66</v>
      </c>
      <c r="U5" s="20"/>
      <c r="V5" s="20"/>
      <c r="W5" s="20"/>
      <c r="X5" s="46" t="s">
        <v>76</v>
      </c>
      <c r="Y5" s="20"/>
      <c r="Z5" s="20"/>
      <c r="AA5" s="20" t="s">
        <v>68</v>
      </c>
      <c r="AB5" s="20" t="str">
        <f>IF(ISBLANK(S5),"是","否")</f>
        <v>否</v>
      </c>
      <c r="AC5" s="20"/>
      <c r="AD5" s="24">
        <v>1</v>
      </c>
      <c r="AE5" s="25" t="s">
        <v>60</v>
      </c>
      <c r="AF5" s="24">
        <v>1</v>
      </c>
      <c r="AG5" s="25" t="s">
        <v>60</v>
      </c>
      <c r="AH5" s="20"/>
      <c r="AI5" s="24"/>
      <c r="AJ5" s="25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</row>
    <row r="6" ht="60.45112781954887" customHeight="1" spans="1:57" x14ac:dyDescent="0.25">
      <c r="A6" s="20" t="s">
        <v>67</v>
      </c>
      <c r="B6" s="19" t="s">
        <v>41</v>
      </c>
      <c r="C6" s="20" t="s">
        <v>57</v>
      </c>
      <c r="D6" s="21" t="s">
        <v>58</v>
      </c>
      <c r="E6" s="22" t="s">
        <v>59</v>
      </c>
      <c r="F6" s="21" t="s">
        <v>69</v>
      </c>
      <c r="G6" s="23" t="s">
        <v>69</v>
      </c>
      <c r="H6" s="20" t="str">
        <f>SUBSTITUTE(SUBSTITUTE(SUBSTITUTE(S6,"/@","_"),"/cac:","_"),"/cbc:","_")</f>
        <v>Invoice_ProfileExecutionID</v>
      </c>
      <c r="I6" s="20" t="str">
        <f>SUBSTITUTE(SUBSTITUTE(SUBSTITUTE(T6,"/@","_"),"/cac:","_"),"/cbc:","_")</f>
        <v>含义更贴近“业务请求/任务流水号”的“执行实例/协作交易关联标识”；且该行自带示例值。</v>
      </c>
      <c r="J6" s="19"/>
      <c r="K6" s="19" t="s">
        <v>71</v>
      </c>
      <c r="L6" s="20"/>
      <c r="M6" s="25" t="s">
        <v>72</v>
      </c>
      <c r="N6" s="20" t="s">
        <v>3013</v>
      </c>
      <c r="O6" s="19" t="s">
        <v>64</v>
      </c>
      <c r="P6" s="20"/>
      <c r="Q6" s="26" t="str">
        <f>IF(S6="","",LEN(S6)-LEN(SUBSTITUTE(S6,"/",""))+IF(ISNUMBER(SEARCH("@",S6)),0,1))</f>
        <v>2</v>
      </c>
      <c r="R6" s="26"/>
      <c r="S6" s="19" t="s">
        <v>73</v>
      </c>
      <c r="T6" s="19" t="s">
        <v>74</v>
      </c>
      <c r="U6" s="20"/>
      <c r="V6" s="20"/>
      <c r="W6" s="20" t="s">
        <v>75</v>
      </c>
      <c r="X6" s="46"/>
      <c r="Y6" s="20"/>
      <c r="Z6" s="20"/>
      <c r="AA6" s="20" t="s">
        <v>68</v>
      </c>
      <c r="AB6" s="20" t="str">
        <f>IF(ISBLANK(S6),"是","否")</f>
        <v>否</v>
      </c>
      <c r="AC6" s="20" t="s">
        <v>76</v>
      </c>
      <c r="AD6" s="24">
        <v>2</v>
      </c>
      <c r="AE6" s="25" t="s">
        <v>69</v>
      </c>
      <c r="AH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</row>
    <row r="7" ht="163.3082706766917" customHeight="1" spans="1:57" x14ac:dyDescent="0.25">
      <c r="A7" s="20" t="s">
        <v>67</v>
      </c>
      <c r="B7" s="27"/>
      <c r="C7" s="20" t="s">
        <v>57</v>
      </c>
      <c r="D7" s="21" t="s">
        <v>58</v>
      </c>
      <c r="E7" s="22" t="s">
        <v>59</v>
      </c>
      <c r="F7" s="21" t="s">
        <v>77</v>
      </c>
      <c r="G7" s="23" t="s">
        <v>77</v>
      </c>
      <c r="H7" s="20" t="str">
        <f>SUBSTITUTE(SUBSTITUTE(SUBSTITUTE(S7,"/@","_"),"/cac:","_"),"/cbc:","_")</f>
        <v/>
      </c>
      <c r="I7" s="20" t="str">
        <f>SUBSTITUTE(SUBSTITUTE(SUBSTITUTE(T7,"/@","_"),"/cac:","_"),"/cbc:","_")</f>
        <v>【未匹配】检索 Invoice 表头字段：最接近的是 ID（An identifier for this document, assigned by the sender.），但该字段语义是“整张单据的标识/号码”，而输入是“票面代码（与号码组合定位）”这一“号码的组成部分”，在 UBL Invoice 头字段中未找到可单独承载“代码部分”的行。</v>
      </c>
      <c r="J7" s="19"/>
      <c r="K7" s="19"/>
      <c r="L7" s="24"/>
      <c r="M7" s="25" t="s">
        <v>79</v>
      </c>
      <c r="N7" s="20" t="s">
        <v>3013</v>
      </c>
      <c r="O7" s="19"/>
      <c r="P7" s="20"/>
      <c r="Q7" s="26" t="str">
        <f>IF(S7="","",LEN(S7)-LEN(SUBSTITUTE(S7,"/",""))+IF(ISNUMBER(SEARCH("@",S7)),0,1))</f>
        <v/>
      </c>
      <c r="R7" s="26"/>
      <c r="S7" s="19"/>
      <c r="T7" s="19" t="s">
        <v>80</v>
      </c>
      <c r="U7" s="20"/>
      <c r="V7" s="20"/>
      <c r="W7" s="20"/>
      <c r="X7" s="46"/>
      <c r="Y7" s="20"/>
      <c r="Z7" s="20"/>
      <c r="AA7" s="20"/>
      <c r="AB7" s="20" t="str">
        <f>IF(ISBLANK(S7),"是","否")</f>
        <v>是</v>
      </c>
      <c r="AC7" s="20" t="s">
        <v>76</v>
      </c>
      <c r="AD7" s="24">
        <v>4</v>
      </c>
      <c r="AE7" s="25" t="s">
        <v>77</v>
      </c>
      <c r="AF7" s="24">
        <v>5</v>
      </c>
      <c r="AG7" s="25" t="s">
        <v>77</v>
      </c>
      <c r="AH7" s="20"/>
      <c r="AI7" s="24"/>
      <c r="AJ7" s="25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</row>
    <row r="8" ht="60.45112781954887" customHeight="1" spans="1:57" x14ac:dyDescent="0.25">
      <c r="A8" s="20" t="s">
        <v>67</v>
      </c>
      <c r="B8" s="19" t="s">
        <v>41</v>
      </c>
      <c r="C8" s="20" t="s">
        <v>57</v>
      </c>
      <c r="D8" s="21"/>
      <c r="E8" s="22"/>
      <c r="F8" s="21" t="s">
        <v>81</v>
      </c>
      <c r="G8" s="23" t="s">
        <v>81</v>
      </c>
      <c r="H8" s="20" t="str">
        <f>SUBSTITUTE(SUBSTITUTE(SUBSTITUTE(S8,"/@","_"),"/cac:","_"),"/cbc:","_")</f>
        <v>Invoice_ID</v>
      </c>
      <c r="I8" s="20" t="str">
        <f>SUBSTITUTE(SUBSTITUTE(SUBSTITUTE(T8,"/@","_"),"/cac:","_"),"/cbc:","_")</f>
        <v>含义与上下文一致：该行 Alt. Business Terms 明确为 “Invoice Number”，对应“发票号码”。</v>
      </c>
      <c r="J8" s="19" t="s">
        <v>83</v>
      </c>
      <c r="K8" s="19" t="s">
        <v>84</v>
      </c>
      <c r="L8" s="20"/>
      <c r="M8" s="25" t="s">
        <v>85</v>
      </c>
      <c r="N8" s="20" t="s">
        <v>3013</v>
      </c>
      <c r="O8" s="28">
        <v>1</v>
      </c>
      <c r="P8" s="20"/>
      <c r="Q8" s="26" t="str">
        <f>IF(S8="","",LEN(S8)-LEN(SUBSTITUTE(S8,"/",""))+IF(ISNUMBER(SEARCH("@",S8)),0,1))</f>
        <v>2</v>
      </c>
      <c r="R8" s="26"/>
      <c r="S8" s="19" t="s">
        <v>86</v>
      </c>
      <c r="T8" s="19" t="s">
        <v>87</v>
      </c>
      <c r="U8" s="20"/>
      <c r="V8" s="20"/>
      <c r="W8" s="20"/>
      <c r="X8" s="46"/>
      <c r="Y8" s="20"/>
      <c r="Z8" s="20"/>
      <c r="AA8" s="20" t="s">
        <v>68</v>
      </c>
      <c r="AB8" s="20" t="str">
        <f>IF(ISBLANK(S8),"是","否")</f>
        <v>否</v>
      </c>
      <c r="AC8" s="20" t="s">
        <v>76</v>
      </c>
      <c r="AD8" s="24">
        <v>5</v>
      </c>
      <c r="AE8" s="25" t="s">
        <v>88</v>
      </c>
      <c r="AF8" s="24">
        <v>6</v>
      </c>
      <c r="AG8" s="25" t="s">
        <v>89</v>
      </c>
      <c r="AH8" s="20"/>
      <c r="AI8" s="24"/>
      <c r="AJ8" s="25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</row>
    <row r="9" ht="81.02255639097744" customHeight="1" spans="1:57" x14ac:dyDescent="0.25">
      <c r="A9" s="20" t="s">
        <v>67</v>
      </c>
      <c r="B9" s="19" t="s">
        <v>41</v>
      </c>
      <c r="C9" s="20" t="s">
        <v>57</v>
      </c>
      <c r="D9" s="21"/>
      <c r="E9" s="22"/>
      <c r="F9" s="21" t="s">
        <v>90</v>
      </c>
      <c r="G9" s="23" t="s">
        <v>90</v>
      </c>
      <c r="H9" s="20" t="str">
        <f>SUBSTITUTE(SUBSTITUTE(SUBSTITUTE(S9,"/@","_"),"/cac:","_"),"/cbc:","_")</f>
        <v>Invoice_InvoiceTypeCode</v>
      </c>
      <c r="I9" s="20" t="str">
        <f>SUBSTITUTE(SUBSTITUTE(SUBSTITUTE(T9,"/@","_"),"/cac:","_"),"/cbc:","_")</f>
        <v>含义一致：输入为“发票类型代码”；UBL 定义为“发票类型代码”。该行未给 Examples，故不对你给的 380/381 枚举做强校验。</v>
      </c>
      <c r="J9" s="19"/>
      <c r="K9" s="19" t="s">
        <v>92</v>
      </c>
      <c r="L9" s="24"/>
      <c r="M9" s="25" t="s">
        <v>93</v>
      </c>
      <c r="N9" s="20" t="s">
        <v>3013</v>
      </c>
      <c r="O9" s="19" t="s">
        <v>64</v>
      </c>
      <c r="P9" s="20"/>
      <c r="Q9" s="26" t="str">
        <f>IF(S9="","",LEN(S9)-LEN(SUBSTITUTE(S9,"/",""))+IF(ISNUMBER(SEARCH("@",S9)),0,1))</f>
        <v>2</v>
      </c>
      <c r="R9" s="26"/>
      <c r="S9" s="19" t="s">
        <v>94</v>
      </c>
      <c r="T9" s="19" t="s">
        <v>95</v>
      </c>
      <c r="U9" s="20"/>
      <c r="V9" s="25" t="s">
        <v>96</v>
      </c>
      <c r="W9" s="20"/>
      <c r="X9" s="46"/>
      <c r="Y9" s="20"/>
      <c r="Z9" s="20"/>
      <c r="AA9" s="20" t="s">
        <v>68</v>
      </c>
      <c r="AB9" s="20" t="str">
        <f>IF(ISBLANK(S9),"是","否")</f>
        <v>否</v>
      </c>
      <c r="AC9" s="20" t="s">
        <v>76</v>
      </c>
      <c r="AD9" s="25"/>
      <c r="AE9" s="25"/>
      <c r="AH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</row>
    <row r="10" ht="81.02255639097744" customHeight="1" spans="1:57" x14ac:dyDescent="0.25">
      <c r="A10" s="20" t="s">
        <v>67</v>
      </c>
      <c r="B10" s="19" t="s">
        <v>97</v>
      </c>
      <c r="C10" s="20" t="s">
        <v>57</v>
      </c>
      <c r="D10" s="21" t="s">
        <v>58</v>
      </c>
      <c r="E10" s="22" t="s">
        <v>59</v>
      </c>
      <c r="F10" s="21" t="s">
        <v>98</v>
      </c>
      <c r="G10" s="23" t="s">
        <v>98</v>
      </c>
      <c r="H10" s="20" t="str">
        <f>SUBSTITUTE(SUBSTITUTE(SUBSTITUTE(S10,"/@","_"),"/cac:","_"),"/cbc:","_")</f>
        <v>Invoice_LegalMonetaryTotal_TaxInclusiveAmount</v>
      </c>
      <c r="I10" s="20" t="str">
        <f>SUBSTITUTE(SUBSTITUTE(SUBSTITUTE(T10,"/@","_"),"/cac:","_"),"/cbc:","_")</f>
        <v>“价税合计/含税总额”与 TaxInclusiveAmount（including taxes）一致；上下文为 Invoice→LegalMonetaryTotal。</v>
      </c>
      <c r="J10" s="19"/>
      <c r="K10" s="19" t="s">
        <v>100</v>
      </c>
      <c r="L10" s="24"/>
      <c r="M10" s="25" t="s">
        <v>101</v>
      </c>
      <c r="N10" s="20" t="s">
        <v>3013</v>
      </c>
      <c r="O10" s="19" t="s">
        <v>64</v>
      </c>
      <c r="P10" s="20"/>
      <c r="Q10" s="26" t="str">
        <f>IF(S10="","",LEN(S10)-LEN(SUBSTITUTE(S10,"/",""))+IF(ISNUMBER(SEARCH("@",S10)),0,1))</f>
        <v>3</v>
      </c>
      <c r="R10" s="26"/>
      <c r="S10" s="19" t="s">
        <v>102</v>
      </c>
      <c r="T10" s="19" t="s">
        <v>103</v>
      </c>
      <c r="U10" s="20"/>
      <c r="V10" s="20"/>
      <c r="W10" s="20"/>
      <c r="X10" s="46"/>
      <c r="Y10" s="20"/>
      <c r="Z10" s="20"/>
      <c r="AA10" s="20" t="s">
        <v>68</v>
      </c>
      <c r="AB10" s="20" t="str">
        <f>IF(ISBLANK(S10),"是","否")</f>
        <v>否</v>
      </c>
      <c r="AC10" s="20" t="s">
        <v>76</v>
      </c>
      <c r="AD10" s="24">
        <v>8</v>
      </c>
      <c r="AE10" s="25" t="s">
        <v>98</v>
      </c>
      <c r="AH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</row>
    <row r="11" ht="60.45112781954887" customHeight="1" spans="1:57" x14ac:dyDescent="0.25">
      <c r="A11" s="20" t="s">
        <v>67</v>
      </c>
      <c r="B11" s="19" t="s">
        <v>97</v>
      </c>
      <c r="C11" s="20" t="s">
        <v>57</v>
      </c>
      <c r="D11" s="21" t="s">
        <v>58</v>
      </c>
      <c r="E11" s="22" t="s">
        <v>59</v>
      </c>
      <c r="F11" s="21" t="s">
        <v>104</v>
      </c>
      <c r="G11" s="23" t="s">
        <v>104</v>
      </c>
      <c r="H11" s="20" t="str">
        <f>SUBSTITUTE(SUBSTITUTE(SUBSTITUTE(S11,"/@","_"),"/cac:","_"),"/cbc:","_")</f>
        <v>Invoice_LegalMonetaryTotal_LineExtensionAmount</v>
      </c>
      <c r="I11" s="20" t="str">
        <f>SUBSTITUTE(SUBSTITUTE(SUBSTITUTE(T11,"/@","_"),"/cac:","_"),"/cbc:","_")</f>
        <v>“所有明细项目不含税金额汇总”更贴近 LineExtensionAmount（行扩展金额合计）。</v>
      </c>
      <c r="J11" s="19"/>
      <c r="K11" s="19" t="s">
        <v>106</v>
      </c>
      <c r="L11" s="24"/>
      <c r="M11" s="25" t="s">
        <v>101</v>
      </c>
      <c r="N11" s="20" t="s">
        <v>3013</v>
      </c>
      <c r="O11" s="28">
        <v>1</v>
      </c>
      <c r="P11" s="20"/>
      <c r="Q11" s="26" t="str">
        <f>IF(S11="","",LEN(S11)-LEN(SUBSTITUTE(S11,"/",""))+IF(ISNUMBER(SEARCH("@",S11)),0,1))</f>
        <v>3</v>
      </c>
      <c r="R11" s="26"/>
      <c r="S11" s="19" t="s">
        <v>107</v>
      </c>
      <c r="T11" s="19" t="s">
        <v>108</v>
      </c>
      <c r="U11" s="20"/>
      <c r="V11" s="20"/>
      <c r="W11" s="20"/>
      <c r="X11" s="46"/>
      <c r="Y11" s="20"/>
      <c r="Z11" s="20"/>
      <c r="AA11" s="20" t="s">
        <v>68</v>
      </c>
      <c r="AB11" s="20" t="str">
        <f>IF(ISBLANK(S11),"是","否")</f>
        <v>否</v>
      </c>
      <c r="AC11" s="20" t="s">
        <v>76</v>
      </c>
      <c r="AD11" s="24">
        <v>9</v>
      </c>
      <c r="AE11" s="25" t="s">
        <v>104</v>
      </c>
      <c r="AF11" s="24">
        <v>21</v>
      </c>
      <c r="AG11" s="25" t="s">
        <v>104</v>
      </c>
      <c r="AH11" s="20"/>
      <c r="AI11" s="24"/>
      <c r="AJ11" s="25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 ht="70.73684210526315" customHeight="1" spans="1:57" x14ac:dyDescent="0.25">
      <c r="A12" s="20" t="s">
        <v>67</v>
      </c>
      <c r="B12" s="19" t="s">
        <v>109</v>
      </c>
      <c r="C12" s="20" t="s">
        <v>57</v>
      </c>
      <c r="D12" s="21" t="s">
        <v>58</v>
      </c>
      <c r="E12" s="22" t="s">
        <v>59</v>
      </c>
      <c r="F12" s="21" t="s">
        <v>110</v>
      </c>
      <c r="G12" s="23" t="s">
        <v>110</v>
      </c>
      <c r="H12" s="20" t="str">
        <f>SUBSTITUTE(SUBSTITUTE(SUBSTITUTE(S12,"/@","_"),"/cac:","_"),"/cbc:","_")</f>
        <v>Invoice_TaxTotal_TaxAmount</v>
      </c>
      <c r="I12" s="20" t="str">
        <f>SUBSTITUTE(SUBSTITUTE(SUBSTITUTE(T12,"/@","_"),"/cac:","_"),"/cbc:","_")</f>
        <v>“总税额”与 TaxTotal 下的 TaxAmount（total tax amount）一致；上下文为 Invoice→TaxTotal。</v>
      </c>
      <c r="J12" s="19"/>
      <c r="K12" s="19" t="s">
        <v>112</v>
      </c>
      <c r="L12" s="25"/>
      <c r="M12" s="25" t="s">
        <v>101</v>
      </c>
      <c r="N12" s="20" t="s">
        <v>3013</v>
      </c>
      <c r="O12" s="28">
        <v>1</v>
      </c>
      <c r="P12" s="20"/>
      <c r="Q12" s="26" t="str">
        <f>IF(S12="","",LEN(S12)-LEN(SUBSTITUTE(S12,"/",""))+IF(ISNUMBER(SEARCH("@",S12)),0,1))</f>
        <v>3</v>
      </c>
      <c r="R12" s="26"/>
      <c r="S12" s="19" t="s">
        <v>113</v>
      </c>
      <c r="T12" s="19" t="s">
        <v>114</v>
      </c>
      <c r="U12" s="20"/>
      <c r="V12" s="25"/>
      <c r="W12" s="20"/>
      <c r="X12" s="46"/>
      <c r="Y12" s="20"/>
      <c r="Z12" s="20"/>
      <c r="AA12" s="20" t="s">
        <v>68</v>
      </c>
      <c r="AB12" s="20" t="str">
        <f>IF(ISBLANK(S12),"是","否")</f>
        <v>否</v>
      </c>
      <c r="AC12" s="20" t="s">
        <v>76</v>
      </c>
      <c r="AD12" s="24">
        <v>10</v>
      </c>
      <c r="AE12" s="25" t="s">
        <v>110</v>
      </c>
      <c r="AF12" s="24">
        <v>23</v>
      </c>
      <c r="AG12" s="25" t="s">
        <v>110</v>
      </c>
      <c r="AH12" s="20"/>
      <c r="AI12" s="24"/>
      <c r="AJ12" s="25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</row>
    <row r="13" ht="81.02255639097744" customHeight="1" spans="1:57" x14ac:dyDescent="0.25">
      <c r="A13" s="20" t="s">
        <v>67</v>
      </c>
      <c r="B13" s="19" t="s">
        <v>41</v>
      </c>
      <c r="C13" s="20" t="s">
        <v>57</v>
      </c>
      <c r="D13" s="21" t="s">
        <v>58</v>
      </c>
      <c r="E13" s="22" t="s">
        <v>59</v>
      </c>
      <c r="F13" s="21" t="s">
        <v>115</v>
      </c>
      <c r="G13" s="23" t="s">
        <v>115</v>
      </c>
      <c r="H13" s="20" t="str">
        <f>SUBSTITUTE(SUBSTITUTE(SUBSTITUTE(S13,"/@","_"),"/cac:","_"),"/cbc:","_")</f>
        <v>Invoice_InvoiceTypeCode</v>
      </c>
      <c r="I13" s="20" t="str">
        <f>SUBSTITUTE(SUBSTITUTE(SUBSTITUTE(T13,"/@","_"),"/cac:","_"),"/cbc:","_")</f>
        <v>你的枚举“0蓝/1红”与 UBL 的“InvoiceTypeCode=发票类型”语义/码表口径不一致；仅能在“类型代码”层面勉强承载。</v>
      </c>
      <c r="J13" s="19"/>
      <c r="K13" s="19" t="s">
        <v>92</v>
      </c>
      <c r="L13" s="20"/>
      <c r="M13" s="25" t="s">
        <v>93</v>
      </c>
      <c r="N13" s="20" t="s">
        <v>3013</v>
      </c>
      <c r="O13" s="19" t="s">
        <v>64</v>
      </c>
      <c r="P13" s="20"/>
      <c r="Q13" s="26" t="str">
        <f>IF(S13="","",LEN(S13)-LEN(SUBSTITUTE(S13,"/",""))+IF(ISNUMBER(SEARCH("@",S13)),0,1))</f>
        <v>2</v>
      </c>
      <c r="R13" s="26"/>
      <c r="S13" s="19" t="s">
        <v>94</v>
      </c>
      <c r="T13" s="19" t="s">
        <v>117</v>
      </c>
      <c r="U13" s="20"/>
      <c r="V13" s="20" t="s">
        <v>118</v>
      </c>
      <c r="W13" s="20"/>
      <c r="X13" s="46"/>
      <c r="Y13" s="20"/>
      <c r="Z13" s="20"/>
      <c r="AA13" s="20" t="s">
        <v>68</v>
      </c>
      <c r="AB13" s="20" t="str">
        <f>IF(ISBLANK(S13),"是","否")</f>
        <v>否</v>
      </c>
      <c r="AC13" s="20" t="s">
        <v>76</v>
      </c>
      <c r="AD13" s="24">
        <v>11</v>
      </c>
      <c r="AE13" s="25" t="s">
        <v>115</v>
      </c>
      <c r="AF13" s="24">
        <v>40</v>
      </c>
      <c r="AG13" s="25" t="s">
        <v>119</v>
      </c>
      <c r="AH13" s="20"/>
      <c r="AI13" s="24"/>
      <c r="AJ13" s="25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</row>
    <row r="14" ht="50.16541353383458" customHeight="1" spans="1:57" x14ac:dyDescent="0.25">
      <c r="A14" s="20" t="s">
        <v>67</v>
      </c>
      <c r="B14" s="19" t="s">
        <v>41</v>
      </c>
      <c r="C14" s="20" t="s">
        <v>57</v>
      </c>
      <c r="D14" s="21"/>
      <c r="E14" s="22"/>
      <c r="F14" s="21" t="s">
        <v>120</v>
      </c>
      <c r="G14" s="23" t="s">
        <v>120</v>
      </c>
      <c r="H14" s="20" t="str">
        <f>SUBSTITUTE(SUBSTITUTE(SUBSTITUTE(S14,"/@","_"),"/cac:","_"),"/cbc:","_")</f>
        <v>Invoice_IssueDate</v>
      </c>
      <c r="I14" s="20" t="str">
        <f>SUBSTITUTE(SUBSTITUTE(SUBSTITUTE(T14,"/@","_"),"/cac:","_"),"/cbc:","_")</f>
        <v>输入定义是“开票日期(日期)”→与 IssueDate（Invoice Date）一致。</v>
      </c>
      <c r="J14" s="19" t="s">
        <v>122</v>
      </c>
      <c r="K14" s="19" t="s">
        <v>123</v>
      </c>
      <c r="L14" s="24"/>
      <c r="M14" s="25" t="s">
        <v>124</v>
      </c>
      <c r="N14" s="20" t="s">
        <v>1280</v>
      </c>
      <c r="O14" s="28">
        <v>1</v>
      </c>
      <c r="P14" s="20"/>
      <c r="Q14" s="26" t="str">
        <f>IF(S14="","",LEN(S14)-LEN(SUBSTITUTE(S14,"/",""))+IF(ISNUMBER(SEARCH("@",S14)),0,1))</f>
        <v>2</v>
      </c>
      <c r="R14" s="26"/>
      <c r="S14" s="19" t="s">
        <v>125</v>
      </c>
      <c r="T14" s="19" t="s">
        <v>126</v>
      </c>
      <c r="U14" s="20"/>
      <c r="V14" s="20"/>
      <c r="W14" s="20"/>
      <c r="X14" s="46"/>
      <c r="Y14" s="20"/>
      <c r="Z14" s="20"/>
      <c r="AA14" s="20" t="s">
        <v>68</v>
      </c>
      <c r="AB14" s="20" t="str">
        <f>IF(ISBLANK(S14),"是","否")</f>
        <v>否</v>
      </c>
      <c r="AC14" s="20" t="s">
        <v>76</v>
      </c>
      <c r="AD14" s="24">
        <v>12</v>
      </c>
      <c r="AE14" s="25" t="s">
        <v>127</v>
      </c>
      <c r="AF14" s="24">
        <v>8</v>
      </c>
      <c r="AG14" s="25" t="s">
        <v>128</v>
      </c>
      <c r="AH14" s="20"/>
      <c r="AI14" s="24"/>
      <c r="AJ14" s="25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</row>
    <row r="15" ht="81.02255639097744" customHeight="1" spans="1:57" x14ac:dyDescent="0.25">
      <c r="A15" s="20" t="s">
        <v>67</v>
      </c>
      <c r="B15" s="27"/>
      <c r="C15" s="20" t="s">
        <v>57</v>
      </c>
      <c r="D15" s="21" t="s">
        <v>58</v>
      </c>
      <c r="E15" s="22" t="s">
        <v>59</v>
      </c>
      <c r="F15" s="21" t="s">
        <v>129</v>
      </c>
      <c r="G15" s="23" t="s">
        <v>129</v>
      </c>
      <c r="H15" s="20" t="str">
        <f>SUBSTITUTE(SUBSTITUTE(SUBSTITUTE(S15,"/@","_"),"/cac:","_"),"/cbc:","_")</f>
        <v/>
      </c>
      <c r="I15" s="20" t="str">
        <f>SUBSTITUTE(SUBSTITUTE(SUBSTITUTE(T15,"/@","_"),"/cac:","_"),"/cbc:","_")</f>
        <v>Invoice 表及相关 Details 未提供“系统创建时间/落库时间”字段；仅有出具日期/时间（IssueDate/IssueTime）等。</v>
      </c>
      <c r="J15" s="19"/>
      <c r="K15" s="19"/>
      <c r="L15" s="20"/>
      <c r="M15" s="25" t="s">
        <v>124</v>
      </c>
      <c r="N15" s="20" t="s">
        <v>3013</v>
      </c>
      <c r="O15" s="19"/>
      <c r="P15" s="20"/>
      <c r="Q15" s="26" t="str">
        <f>IF(S15="","",LEN(S15)-LEN(SUBSTITUTE(S15,"/",""))+IF(ISNUMBER(SEARCH("@",S15)),0,1))</f>
        <v/>
      </c>
      <c r="R15" s="26"/>
      <c r="S15" s="19"/>
      <c r="T15" s="19" t="s">
        <v>131</v>
      </c>
      <c r="U15" s="20"/>
      <c r="V15" s="20"/>
      <c r="W15" s="20"/>
      <c r="X15" s="46"/>
      <c r="Y15" s="20"/>
      <c r="Z15" s="20"/>
      <c r="AA15" s="20"/>
      <c r="AB15" s="20" t="str">
        <f>IF(ISBLANK(S15),"是","否")</f>
        <v>是</v>
      </c>
      <c r="AC15" s="20" t="s">
        <v>76</v>
      </c>
      <c r="AD15" s="24">
        <v>13</v>
      </c>
      <c r="AE15" s="25" t="s">
        <v>129</v>
      </c>
      <c r="AF15" s="24">
        <v>2</v>
      </c>
      <c r="AG15" s="25" t="s">
        <v>129</v>
      </c>
      <c r="AH15" s="20"/>
      <c r="AI15" s="24"/>
      <c r="AJ15" s="25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</row>
    <row r="16" ht="81.02255639097744" customHeight="1" spans="1:57" x14ac:dyDescent="0.25">
      <c r="A16" s="20" t="s">
        <v>67</v>
      </c>
      <c r="B16" s="19" t="s">
        <v>132</v>
      </c>
      <c r="C16" s="20" t="s">
        <v>57</v>
      </c>
      <c r="D16" s="21" t="s">
        <v>58</v>
      </c>
      <c r="E16" s="22" t="s">
        <v>59</v>
      </c>
      <c r="F16" s="21" t="s">
        <v>133</v>
      </c>
      <c r="G16" s="23" t="s">
        <v>133</v>
      </c>
      <c r="H16" s="20" t="str">
        <f>SUBSTITUTE(SUBSTITUTE(SUBSTITUTE(S16,"/@","_"),"/cac:","_"),"/cbc:","_")</f>
        <v>Invoice_OrderReference_ID</v>
      </c>
      <c r="I16" s="20" t="str">
        <f>SUBSTITUTE(SUBSTITUTE(SUBSTITUTE(T16,"/@","_"),"/cac:","_"),"/cbc:","_")</f>
        <v>“订单号”可落在 OrderReference/ID（买方分配的订单引用标识）；Invoice 中存在 OrderReference 入口。</v>
      </c>
      <c r="J16" s="19"/>
      <c r="K16" s="19" t="s">
        <v>135</v>
      </c>
      <c r="L16" s="24"/>
      <c r="M16" s="25" t="s">
        <v>72</v>
      </c>
      <c r="N16" s="20" t="s">
        <v>3013</v>
      </c>
      <c r="O16" s="28">
        <v>1</v>
      </c>
      <c r="P16" s="20"/>
      <c r="Q16" s="26" t="str">
        <f>IF(S16="","",LEN(S16)-LEN(SUBSTITUTE(S16,"/",""))+IF(ISNUMBER(SEARCH("@",S16)),0,1))</f>
        <v>3</v>
      </c>
      <c r="R16" s="26"/>
      <c r="S16" s="19" t="s">
        <v>136</v>
      </c>
      <c r="T16" s="19" t="s">
        <v>137</v>
      </c>
      <c r="U16" s="20"/>
      <c r="V16" s="20"/>
      <c r="W16" s="20" t="s">
        <v>138</v>
      </c>
      <c r="X16" s="46"/>
      <c r="Y16" s="20"/>
      <c r="Z16" s="20"/>
      <c r="AA16" s="20" t="s">
        <v>68</v>
      </c>
      <c r="AB16" s="20" t="str">
        <f>IF(ISBLANK(S16),"是","否")</f>
        <v>否</v>
      </c>
      <c r="AC16" s="20" t="s">
        <v>76</v>
      </c>
      <c r="AD16" s="24">
        <v>14</v>
      </c>
      <c r="AE16" s="25" t="s">
        <v>133</v>
      </c>
      <c r="AH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</row>
    <row r="17" ht="101.59398496240601" customHeight="1" spans="1:57" x14ac:dyDescent="0.25">
      <c r="A17" s="20" t="s">
        <v>67</v>
      </c>
      <c r="B17" s="19" t="s">
        <v>139</v>
      </c>
      <c r="C17" s="20" t="s">
        <v>57</v>
      </c>
      <c r="D17" s="21" t="s">
        <v>58</v>
      </c>
      <c r="E17" s="22" t="s">
        <v>59</v>
      </c>
      <c r="F17" s="21" t="s">
        <v>44</v>
      </c>
      <c r="G17" s="23" t="s">
        <v>44</v>
      </c>
      <c r="H17" s="20" t="str">
        <f>SUBSTITUTE(SUBSTITUTE(SUBSTITUTE(S17,"/@","_"),"/cac:","_"),"/cbc:","_")</f>
        <v>Invoice_BillingReference_InvoiceDocumentReference_ID</v>
      </c>
      <c r="I17" s="20" t="str">
        <f>SUBSTITUTE(SUBSTITUTE(SUBSTITUTE(T17,"/@","_"),"/cac:","_"),"/cbc:","_")</f>
        <v>原票引用可通过 BillingReference→InvoiceDocumentReference→DocumentReference/ID；但 DocumentReference 仅有单一 Identifier，无法按“代码/号码”拆分。</v>
      </c>
      <c r="J17" s="19"/>
      <c r="K17" s="19" t="s">
        <v>141</v>
      </c>
      <c r="L17" s="24"/>
      <c r="M17" s="25" t="s">
        <v>79</v>
      </c>
      <c r="N17" s="20" t="s">
        <v>3013</v>
      </c>
      <c r="O17" s="28">
        <v>1</v>
      </c>
      <c r="P17" s="20"/>
      <c r="Q17" s="26" t="str">
        <f>IF(S17="","",LEN(S17)-LEN(SUBSTITUTE(S17,"/",""))+IF(ISNUMBER(SEARCH("@",S17)),0,1))</f>
        <v>4</v>
      </c>
      <c r="R17" s="26"/>
      <c r="S17" s="19" t="s">
        <v>142</v>
      </c>
      <c r="T17" s="19" t="s">
        <v>143</v>
      </c>
      <c r="U17" s="20"/>
      <c r="V17" s="20"/>
      <c r="W17" s="20" t="s">
        <v>138</v>
      </c>
      <c r="X17" s="46"/>
      <c r="Y17" s="20"/>
      <c r="Z17" s="20"/>
      <c r="AA17" s="20" t="s">
        <v>68</v>
      </c>
      <c r="AB17" s="20" t="str">
        <f>IF(ISBLANK(S17),"是","否")</f>
        <v>否</v>
      </c>
      <c r="AC17" s="20" t="s">
        <v>76</v>
      </c>
      <c r="AD17" s="24">
        <v>15</v>
      </c>
      <c r="AE17" s="25" t="s">
        <v>144</v>
      </c>
      <c r="AF17" s="24">
        <v>10</v>
      </c>
      <c r="AG17" s="25" t="s">
        <v>145</v>
      </c>
      <c r="AH17" s="20"/>
      <c r="AI17" s="24"/>
      <c r="AJ17" s="25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</row>
    <row r="18" ht="81.02255639097744" customHeight="1" spans="1:57" x14ac:dyDescent="0.25">
      <c r="A18" s="20" t="s">
        <v>67</v>
      </c>
      <c r="B18" s="19" t="s">
        <v>139</v>
      </c>
      <c r="C18" s="20" t="s">
        <v>57</v>
      </c>
      <c r="D18" s="21" t="s">
        <v>58</v>
      </c>
      <c r="E18" s="22" t="s">
        <v>59</v>
      </c>
      <c r="F18" s="21" t="s">
        <v>146</v>
      </c>
      <c r="G18" s="23" t="s">
        <v>146</v>
      </c>
      <c r="H18" s="20" t="str">
        <f>SUBSTITUTE(SUBSTITUTE(SUBSTITUTE(S18,"/@","_"),"/cac:","_"),"/cbc:","_")</f>
        <v>Invoice_BillingReference_InvoiceDocumentReference_ID</v>
      </c>
      <c r="I18" s="20" t="str">
        <f>SUBSTITUTE(SUBSTITUTE(SUBSTITUTE(T18,"/@","_"),"/cac:","_"),"/cbc:","_")</f>
        <v>“原发票号码”同样只能落在 DocumentReference/ID（引用单据标识）；与“代码/号码拆分”口径存在结构性不一致。</v>
      </c>
      <c r="J18" s="19"/>
      <c r="K18" s="19" t="s">
        <v>141</v>
      </c>
      <c r="L18" s="24"/>
      <c r="M18" s="25" t="s">
        <v>85</v>
      </c>
      <c r="N18" s="20" t="s">
        <v>3013</v>
      </c>
      <c r="O18" s="28">
        <v>1</v>
      </c>
      <c r="P18" s="20"/>
      <c r="Q18" s="26" t="str">
        <f>IF(S18="","",LEN(S18)-LEN(SUBSTITUTE(S18,"/",""))+IF(ISNUMBER(SEARCH("@",S18)),0,1))</f>
        <v>4</v>
      </c>
      <c r="R18" s="26"/>
      <c r="S18" s="19" t="s">
        <v>142</v>
      </c>
      <c r="T18" s="19" t="s">
        <v>148</v>
      </c>
      <c r="U18" s="20"/>
      <c r="V18" s="20"/>
      <c r="W18" s="20" t="s">
        <v>138</v>
      </c>
      <c r="X18" s="46"/>
      <c r="Y18" s="20"/>
      <c r="Z18" s="20"/>
      <c r="AA18" s="20" t="s">
        <v>68</v>
      </c>
      <c r="AB18" s="20" t="str">
        <f>IF(ISBLANK(S18),"是","否")</f>
        <v>否</v>
      </c>
      <c r="AC18" s="20" t="s">
        <v>76</v>
      </c>
      <c r="AD18" s="24">
        <v>16</v>
      </c>
      <c r="AE18" s="25" t="s">
        <v>149</v>
      </c>
      <c r="AF18" s="24">
        <v>11</v>
      </c>
      <c r="AG18" s="25" t="s">
        <v>150</v>
      </c>
      <c r="AH18" s="20"/>
      <c r="AI18" s="24"/>
      <c r="AJ18" s="25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</row>
    <row r="19" ht="39.879699248120296" customHeight="1" spans="1:57" x14ac:dyDescent="0.25">
      <c r="A19" s="20" t="s">
        <v>67</v>
      </c>
      <c r="B19" s="19" t="s">
        <v>41</v>
      </c>
      <c r="C19" s="20" t="s">
        <v>57</v>
      </c>
      <c r="D19" s="21"/>
      <c r="E19" s="22"/>
      <c r="F19" s="21" t="s">
        <v>151</v>
      </c>
      <c r="G19" s="23" t="s">
        <v>151</v>
      </c>
      <c r="H19" s="20" t="str">
        <f>SUBSTITUTE(SUBSTITUTE(SUBSTITUTE(S19,"/@","_"),"/cac:","_"),"/cbc:","_")</f>
        <v>Invoice_Note</v>
      </c>
      <c r="I19" s="20" t="str">
        <f>SUBSTITUTE(SUBSTITUTE(SUBSTITUTE(T19,"/@","_"),"/cac:","_"),"/cbc:","_")</f>
        <v>“备注”与 cbc:Note（自由文本补充说明）一致。</v>
      </c>
      <c r="J19" s="19"/>
      <c r="K19" s="19" t="s">
        <v>153</v>
      </c>
      <c r="L19" s="25"/>
      <c r="M19" s="25" t="s">
        <v>154</v>
      </c>
      <c r="N19" s="20" t="s">
        <v>3013</v>
      </c>
      <c r="O19" s="19" t="s">
        <v>49</v>
      </c>
      <c r="P19" s="20"/>
      <c r="Q19" s="26" t="str">
        <f>IF(S19="","",LEN(S19)-LEN(SUBSTITUTE(S19,"/",""))+IF(ISNUMBER(SEARCH("@",S19)),0,1))</f>
        <v>2</v>
      </c>
      <c r="R19" s="26"/>
      <c r="S19" s="19" t="s">
        <v>155</v>
      </c>
      <c r="T19" s="19" t="s">
        <v>156</v>
      </c>
      <c r="U19" s="20"/>
      <c r="V19" s="25"/>
      <c r="W19" s="20"/>
      <c r="X19" s="46"/>
      <c r="Y19" s="20"/>
      <c r="Z19" s="20"/>
      <c r="AA19" s="20" t="s">
        <v>68</v>
      </c>
      <c r="AB19" s="20" t="str">
        <f>IF(ISBLANK(S19),"是","否")</f>
        <v>否</v>
      </c>
      <c r="AC19" s="20" t="s">
        <v>76</v>
      </c>
      <c r="AD19" s="24">
        <v>51</v>
      </c>
      <c r="AE19" s="25" t="s">
        <v>157</v>
      </c>
      <c r="AF19" s="24">
        <v>34</v>
      </c>
      <c r="AG19" s="25" t="s">
        <v>157</v>
      </c>
      <c r="AH19" s="20"/>
      <c r="AI19" s="24"/>
      <c r="AJ19" s="25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</row>
    <row r="20" ht="91.30827067669172" customHeight="1" spans="1:57" x14ac:dyDescent="0.25">
      <c r="A20" s="20" t="s">
        <v>67</v>
      </c>
      <c r="B20" s="27"/>
      <c r="C20" s="20" t="s">
        <v>57</v>
      </c>
      <c r="D20" s="21" t="s">
        <v>58</v>
      </c>
      <c r="E20" s="22" t="s">
        <v>59</v>
      </c>
      <c r="F20" s="21" t="s">
        <v>158</v>
      </c>
      <c r="G20" s="23" t="s">
        <v>158</v>
      </c>
      <c r="H20" s="20" t="str">
        <f>SUBSTITUTE(SUBSTITUTE(SUBSTITUTE(S20,"/@","_"),"/cac:","_"),"/cbc:","_")</f>
        <v/>
      </c>
      <c r="I20" s="20" t="str">
        <f>SUBSTITUTE(SUBSTITUTE(SUBSTITUTE(T20,"/@","_"),"/cac:","_"),"/cbc:","_")</f>
        <v>Invoice 头字段中未见“发票数据来源渠道”概念；CustomizationID/ProfileID 语义为 UBL 自定义/剖面标识，并非数据来源渠道标识。</v>
      </c>
      <c r="J20" s="19"/>
      <c r="K20" s="19"/>
      <c r="L20" s="24"/>
      <c r="M20" s="25" t="s">
        <v>93</v>
      </c>
      <c r="N20" s="20" t="s">
        <v>3013</v>
      </c>
      <c r="O20" s="20"/>
      <c r="P20" s="20"/>
      <c r="Q20" s="26" t="str">
        <f>IF(S20="","",LEN(S20)-LEN(SUBSTITUTE(S20,"/",""))+IF(ISNUMBER(SEARCH("@",S20)),0,1))</f>
        <v/>
      </c>
      <c r="R20" s="26"/>
      <c r="S20" s="19"/>
      <c r="T20" s="19" t="s">
        <v>160</v>
      </c>
      <c r="U20" s="20"/>
      <c r="V20" s="25" t="s">
        <v>161</v>
      </c>
      <c r="W20" s="20"/>
      <c r="X20" s="46"/>
      <c r="Y20" s="20"/>
      <c r="Z20" s="20"/>
      <c r="AA20" s="20"/>
      <c r="AB20" s="20" t="str">
        <f>IF(ISBLANK(S20),"是","否")</f>
        <v>是</v>
      </c>
      <c r="AC20" s="20" t="s">
        <v>76</v>
      </c>
      <c r="AD20" s="24">
        <v>46</v>
      </c>
      <c r="AE20" s="25" t="s">
        <v>158</v>
      </c>
      <c r="AH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</row>
    <row r="21" ht="60.45112781954887" customHeight="1" spans="1:57" x14ac:dyDescent="0.25">
      <c r="A21" s="20" t="s">
        <v>67</v>
      </c>
      <c r="B21" s="19" t="s">
        <v>41</v>
      </c>
      <c r="C21" s="20" t="s">
        <v>57</v>
      </c>
      <c r="D21" s="21" t="s">
        <v>58</v>
      </c>
      <c r="E21" s="22" t="s">
        <v>59</v>
      </c>
      <c r="F21" s="21" t="s">
        <v>162</v>
      </c>
      <c r="G21" s="23" t="s">
        <v>162</v>
      </c>
      <c r="H21" s="20" t="str">
        <f>SUBSTITUTE(SUBSTITUTE(SUBSTITUTE(S21,"/@","_"),"/cac:","_"),"/cbc:","_")</f>
        <v>Invoice_ID</v>
      </c>
      <c r="I21" s="20" t="str">
        <f>SUBSTITUTE(SUBSTITUTE(SUBSTITUTE(T21,"/@","_"),"/cac:","_"),"/cbc:","_")</f>
        <v>“数电发票号码”在 UBL Invoice 中仍对应单据标识 ID；与“发票号码”落位相同。</v>
      </c>
      <c r="J21" s="19" t="s">
        <v>83</v>
      </c>
      <c r="K21" s="19" t="s">
        <v>84</v>
      </c>
      <c r="L21" s="24"/>
      <c r="M21" s="25" t="s">
        <v>164</v>
      </c>
      <c r="N21" s="20" t="s">
        <v>3013</v>
      </c>
      <c r="O21" s="20" t="s">
        <v>165</v>
      </c>
      <c r="P21" s="20"/>
      <c r="Q21" s="26" t="str">
        <f>IF(S21="","",LEN(S21)-LEN(SUBSTITUTE(S21,"/",""))+IF(ISNUMBER(SEARCH("@",S21)),0,1))</f>
        <v>2</v>
      </c>
      <c r="R21" s="26"/>
      <c r="S21" s="19" t="s">
        <v>86</v>
      </c>
      <c r="T21" s="19" t="s">
        <v>166</v>
      </c>
      <c r="U21" s="20"/>
      <c r="V21" s="20"/>
      <c r="W21" s="20"/>
      <c r="X21" s="46"/>
      <c r="Y21" s="20"/>
      <c r="Z21" s="20"/>
      <c r="AA21" s="20" t="s">
        <v>68</v>
      </c>
      <c r="AB21" s="20" t="str">
        <f>IF(ISBLANK(S21),"是","否")</f>
        <v>否</v>
      </c>
      <c r="AC21" s="20" t="s">
        <v>76</v>
      </c>
      <c r="AD21" s="24">
        <v>3</v>
      </c>
      <c r="AE21" s="25" t="s">
        <v>162</v>
      </c>
      <c r="AF21" s="24">
        <v>119</v>
      </c>
      <c r="AG21" s="25" t="s">
        <v>167</v>
      </c>
      <c r="AH21" s="20"/>
      <c r="AI21" s="24"/>
      <c r="AJ21" s="25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</row>
    <row r="22" ht="70.73684210526315" customHeight="1" spans="1:57" x14ac:dyDescent="0.25">
      <c r="A22" s="20" t="s">
        <v>67</v>
      </c>
      <c r="B22" s="19" t="s">
        <v>41</v>
      </c>
      <c r="C22" s="20" t="s">
        <v>57</v>
      </c>
      <c r="D22" s="21"/>
      <c r="E22" s="22"/>
      <c r="F22" s="21"/>
      <c r="G22" s="23"/>
      <c r="H22" s="20" t="str">
        <f>SUBSTITUTE(SUBSTITUTE(SUBSTITUTE(S22,"/@","_"),"/cac:","_"),"/cbc:","_")</f>
        <v>Invoice_Note</v>
      </c>
      <c r="I22" s="20" t="str">
        <f>SUBSTITUTE(SUBSTITUTE(SUBSTITUTE(T22,"/@","_"),"/cac:","_"),"/cbc:","_")</f>
        <v>“红冲原因”属于自由文本原因说明；UBL 该行 Note 为可重复（0..n）的单据级自由文本，可承载原因类说明。</v>
      </c>
      <c r="J22" s="19"/>
      <c r="K22" s="19" t="s">
        <v>153</v>
      </c>
      <c r="L22" s="20"/>
      <c r="M22" s="25"/>
      <c r="N22" s="20"/>
      <c r="O22" s="20" t="s">
        <v>49</v>
      </c>
      <c r="P22" s="20"/>
      <c r="Q22" s="26" t="str">
        <f>IF(S22="","",LEN(S22)-LEN(SUBSTITUTE(S22,"/",""))+IF(ISNUMBER(SEARCH("@",S22)),0,1))</f>
        <v>2</v>
      </c>
      <c r="R22" s="26"/>
      <c r="S22" s="19" t="s">
        <v>155</v>
      </c>
      <c r="T22" s="19" t="s">
        <v>169</v>
      </c>
      <c r="U22" s="20"/>
      <c r="V22" s="20"/>
      <c r="W22" s="20"/>
      <c r="X22" s="46"/>
      <c r="Y22" s="20"/>
      <c r="Z22" s="20"/>
      <c r="AA22" s="20" t="s">
        <v>68</v>
      </c>
      <c r="AB22" s="20" t="str">
        <f>IF(ISBLANK(S22),"是","否")</f>
        <v>否</v>
      </c>
      <c r="AC22" s="20" t="s">
        <v>76</v>
      </c>
      <c r="AD22" s="25"/>
      <c r="AE22" s="25"/>
      <c r="AH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</row>
    <row r="23" ht="111.8796992481203" customHeight="1" spans="1:57" x14ac:dyDescent="0.25">
      <c r="A23" s="20" t="s">
        <v>67</v>
      </c>
      <c r="B23" s="19" t="s">
        <v>139</v>
      </c>
      <c r="C23" s="20" t="s">
        <v>57</v>
      </c>
      <c r="D23" s="21" t="s">
        <v>58</v>
      </c>
      <c r="E23" s="22" t="s">
        <v>59</v>
      </c>
      <c r="F23" s="21" t="s">
        <v>170</v>
      </c>
      <c r="G23" s="23" t="s">
        <v>170</v>
      </c>
      <c r="H23" s="20" t="str">
        <f>SUBSTITUTE(SUBSTITUTE(SUBSTITUTE(S23,"/@","_"),"/cac:","_"),"/cbc:","_")</f>
        <v>Invoice_AdditionalDocumentReference_ID</v>
      </c>
      <c r="I23" s="20" t="str">
        <f>SUBSTITUTE(SUBSTITUTE(SUBSTITUTE(T23,"/@","_"),"/cac:","_"),"/cbc:","_")</f>
        <v>将“红字确认单”视为与发票关联的“附加单据”；Invoice 允许 AdditionalDocumentReference（附加单据引用），其 DocumentReference/ID 表达“被引用单据的标识”。</v>
      </c>
      <c r="J23" s="19"/>
      <c r="K23" s="19" t="s">
        <v>172</v>
      </c>
      <c r="L23" s="25"/>
      <c r="M23" s="25" t="s">
        <v>72</v>
      </c>
      <c r="N23" s="20" t="s">
        <v>3013</v>
      </c>
      <c r="O23" s="20" t="s">
        <v>165</v>
      </c>
      <c r="P23" s="20"/>
      <c r="Q23" s="26" t="str">
        <f>IF(S23="","",LEN(S23)-LEN(SUBSTITUTE(S23,"/",""))+IF(ISNUMBER(SEARCH("@",S23)),0,1))</f>
        <v>3</v>
      </c>
      <c r="R23" s="26"/>
      <c r="S23" s="19" t="s">
        <v>173</v>
      </c>
      <c r="T23" s="19" t="s">
        <v>174</v>
      </c>
      <c r="U23" s="20"/>
      <c r="V23" s="25"/>
      <c r="W23" s="20" t="s">
        <v>138</v>
      </c>
      <c r="X23" s="46"/>
      <c r="Y23" s="20"/>
      <c r="Z23" s="20"/>
      <c r="AA23" s="20" t="s">
        <v>68</v>
      </c>
      <c r="AB23" s="20" t="str">
        <f>IF(ISBLANK(S23),"是","否")</f>
        <v>否</v>
      </c>
      <c r="AC23" s="20" t="s">
        <v>76</v>
      </c>
      <c r="AD23" s="24">
        <v>17</v>
      </c>
      <c r="AE23" s="25" t="s">
        <v>170</v>
      </c>
      <c r="AH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</row>
    <row r="24" ht="122.16541353383457" customHeight="1" spans="1:57" x14ac:dyDescent="0.25">
      <c r="A24" s="20" t="s">
        <v>67</v>
      </c>
      <c r="B24" s="19" t="s">
        <v>175</v>
      </c>
      <c r="C24" s="20" t="s">
        <v>57</v>
      </c>
      <c r="D24" s="21" t="s">
        <v>58</v>
      </c>
      <c r="E24" s="22" t="s">
        <v>59</v>
      </c>
      <c r="F24" s="21" t="s">
        <v>176</v>
      </c>
      <c r="G24" s="23" t="s">
        <v>176</v>
      </c>
      <c r="H24" s="20" t="str">
        <f>SUBSTITUTE(SUBSTITUTE(SUBSTITUTE(S24,"/@","_"),"/cac:","_"),"/cbc:","_")</f>
        <v>Invoice_AccountingSupplierParty_SellerContact_Name</v>
      </c>
      <c r="I24" s="20" t="str">
        <f>SUBSTITUTE(SUBSTITUTE(SUBSTITUTE(T24,"/@","_"),"/cac:","_"),"/cbc:","_")</f>
        <v>语义域：主体信息域。SupplierParty 的 SellerContact=“The primary contact for this supplier party.”，可作为“开票经办人”承载位；但 Contact.Name 规范上更偏“职能名”而非个人名，存在语义偏差风险。</v>
      </c>
      <c r="J24" s="19"/>
      <c r="K24" s="19" t="s">
        <v>178</v>
      </c>
      <c r="L24" s="25"/>
      <c r="M24" s="25" t="s">
        <v>164</v>
      </c>
      <c r="N24" s="20" t="s">
        <v>3013</v>
      </c>
      <c r="O24" s="20" t="s">
        <v>64</v>
      </c>
      <c r="P24" s="20"/>
      <c r="Q24" s="26" t="str">
        <f>IF(S24="","",LEN(S24)-LEN(SUBSTITUTE(S24,"/",""))+IF(ISNUMBER(SEARCH("@",S24)),0,1))</f>
        <v>4</v>
      </c>
      <c r="R24" s="26"/>
      <c r="S24" s="19" t="s">
        <v>179</v>
      </c>
      <c r="T24" s="19" t="s">
        <v>180</v>
      </c>
      <c r="U24" s="20"/>
      <c r="V24" s="25"/>
      <c r="W24" s="20" t="s">
        <v>181</v>
      </c>
      <c r="X24" s="46"/>
      <c r="Y24" s="20"/>
      <c r="Z24" s="20"/>
      <c r="AA24" s="20" t="s">
        <v>68</v>
      </c>
      <c r="AB24" s="20" t="str">
        <f>IF(ISBLANK(S24),"是","否")</f>
        <v>否</v>
      </c>
      <c r="AC24" s="20" t="s">
        <v>76</v>
      </c>
      <c r="AD24" s="24">
        <v>42</v>
      </c>
      <c r="AE24" s="25" t="s">
        <v>176</v>
      </c>
      <c r="AF24" s="24">
        <v>145</v>
      </c>
      <c r="AG24" s="25" t="s">
        <v>176</v>
      </c>
      <c r="AH24" s="20"/>
      <c r="AI24" s="24"/>
      <c r="AJ24" s="25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</row>
    <row r="25" ht="91.30827067669172" customHeight="1" spans="1:57" x14ac:dyDescent="0.25">
      <c r="A25" s="20" t="s">
        <v>67</v>
      </c>
      <c r="B25" s="19" t="s">
        <v>175</v>
      </c>
      <c r="C25" s="20" t="s">
        <v>57</v>
      </c>
      <c r="D25" s="21" t="s">
        <v>58</v>
      </c>
      <c r="E25" s="22" t="s">
        <v>59</v>
      </c>
      <c r="F25" s="21" t="s">
        <v>182</v>
      </c>
      <c r="G25" s="23" t="s">
        <v>182</v>
      </c>
      <c r="H25" s="20" t="str">
        <f>SUBSTITUTE(SUBSTITUTE(SUBSTITUTE(S25,"/@","_"),"/cac:","_"),"/cbc:","_")</f>
        <v>Invoice_AccountingSupplierParty_SellerContact_ID</v>
      </c>
      <c r="I25" s="20" t="str">
        <f>SUBSTITUTE(SUBSTITUTE(SUBSTITUTE(T25,"/@","_"),"/cac:","_"),"/cbc:","_")</f>
        <v>语义域：主体信息域。以 SellerContact（供应方主联系人）承载“开票人ID”；但 UBL 的 Contact.ID 仅定义为“联系人标识”，未限定为“系统用户ID”。</v>
      </c>
      <c r="J25" s="19"/>
      <c r="K25" s="19" t="s">
        <v>184</v>
      </c>
      <c r="L25" s="25"/>
      <c r="M25" s="25" t="s">
        <v>63</v>
      </c>
      <c r="N25" s="20" t="s">
        <v>3013</v>
      </c>
      <c r="O25" s="19" t="s">
        <v>64</v>
      </c>
      <c r="P25" s="20"/>
      <c r="Q25" s="26" t="str">
        <f>IF(S25="","",LEN(S25)-LEN(SUBSTITUTE(S25,"/",""))+IF(ISNUMBER(SEARCH("@",S25)),0,1))</f>
        <v>4</v>
      </c>
      <c r="R25" s="26"/>
      <c r="S25" s="19" t="s">
        <v>185</v>
      </c>
      <c r="T25" s="19" t="s">
        <v>186</v>
      </c>
      <c r="U25" s="20"/>
      <c r="V25" s="25"/>
      <c r="W25" s="20" t="s">
        <v>187</v>
      </c>
      <c r="X25" s="46"/>
      <c r="Y25" s="20"/>
      <c r="Z25" s="20"/>
      <c r="AA25" s="20" t="s">
        <v>68</v>
      </c>
      <c r="AB25" s="20" t="str">
        <f>IF(ISBLANK(S25),"是","否")</f>
        <v>否</v>
      </c>
      <c r="AC25" s="20" t="s">
        <v>76</v>
      </c>
      <c r="AD25" s="24">
        <v>43</v>
      </c>
      <c r="AE25" s="25" t="s">
        <v>182</v>
      </c>
      <c r="AH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</row>
    <row r="26" ht="101.59398496240601" customHeight="1" spans="1:57" x14ac:dyDescent="0.25">
      <c r="A26" s="20" t="s">
        <v>67</v>
      </c>
      <c r="B26" s="19" t="s">
        <v>188</v>
      </c>
      <c r="C26" s="20" t="s">
        <v>57</v>
      </c>
      <c r="D26" s="21" t="s">
        <v>58</v>
      </c>
      <c r="E26" s="22" t="s">
        <v>59</v>
      </c>
      <c r="F26" s="21" t="s">
        <v>189</v>
      </c>
      <c r="G26" s="23" t="s">
        <v>189</v>
      </c>
      <c r="H26" s="20" t="str">
        <f>SUBSTITUTE(SUBSTITUTE(SUBSTITUTE(S26,"/@","_"),"/cac:","_"),"/cbc:","_")</f>
        <v>Invoice_PayeeParty_PartyName_Name</v>
      </c>
      <c r="I26" s="20" t="str">
        <f>SUBSTITUTE(SUBSTITUTE(SUBSTITUTE(T26,"/@","_"),"/cac:","_"),"/cbc:","_")</f>
        <v>语义域：交易单据域（收款方）。Invoice 的 PayeeParty=“The payee.”，若“收款人”指收款主体/机构名称，用 PartyName/Name 更贴近。</v>
      </c>
      <c r="J26" s="19"/>
      <c r="K26" s="19" t="s">
        <v>191</v>
      </c>
      <c r="L26" s="20"/>
      <c r="M26" s="25" t="s">
        <v>164</v>
      </c>
      <c r="N26" s="20" t="s">
        <v>3013</v>
      </c>
      <c r="O26" s="28">
        <v>1</v>
      </c>
      <c r="P26" s="20"/>
      <c r="Q26" s="26" t="str">
        <f>IF(S26="","",LEN(S26)-LEN(SUBSTITUTE(S26,"/",""))+IF(ISNUMBER(SEARCH("@",S26)),0,1))</f>
        <v>4</v>
      </c>
      <c r="R26" s="26"/>
      <c r="S26" s="19" t="s">
        <v>192</v>
      </c>
      <c r="T26" s="19" t="s">
        <v>193</v>
      </c>
      <c r="U26" s="20"/>
      <c r="V26" s="20"/>
      <c r="W26" s="20" t="s">
        <v>194</v>
      </c>
      <c r="X26" s="46"/>
      <c r="Y26" s="20"/>
      <c r="Z26" s="20"/>
      <c r="AA26" s="20" t="s">
        <v>68</v>
      </c>
      <c r="AB26" s="20" t="str">
        <f>IF(ISBLANK(S26),"是","否")</f>
        <v>否</v>
      </c>
      <c r="AC26" s="20" t="s">
        <v>76</v>
      </c>
      <c r="AD26" s="24">
        <v>44</v>
      </c>
      <c r="AE26" s="25" t="s">
        <v>189</v>
      </c>
      <c r="AF26" s="24">
        <v>28</v>
      </c>
      <c r="AG26" s="25" t="s">
        <v>195</v>
      </c>
      <c r="AH26" s="20"/>
      <c r="AI26" s="24"/>
      <c r="AJ26" s="25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</row>
    <row r="27" ht="91.30827067669172" customHeight="1" spans="1:57" x14ac:dyDescent="0.25">
      <c r="A27" s="20" t="s">
        <v>67</v>
      </c>
      <c r="B27" s="19" t="s">
        <v>175</v>
      </c>
      <c r="C27" s="20" t="s">
        <v>57</v>
      </c>
      <c r="D27" s="21" t="s">
        <v>58</v>
      </c>
      <c r="E27" s="22" t="s">
        <v>59</v>
      </c>
      <c r="F27" s="21" t="s">
        <v>196</v>
      </c>
      <c r="G27" s="23" t="s">
        <v>196</v>
      </c>
      <c r="H27" s="20" t="str">
        <f>SUBSTITUTE(SUBSTITUTE(SUBSTITUTE(S27,"/@","_"),"/cac:","_"),"/cbc:","_")</f>
        <v>Invoice_Signature_SignatoryParty_Contact_Name</v>
      </c>
      <c r="I27" s="20" t="str">
        <f>SUBSTITUTE(SUBSTITUTE(SUBSTITUTE(T27,"/@","_"),"/cac:","_"),"/cbc:","_")</f>
        <v>UBL 无专门“复核人”字段；最接近可解释为 Signature 的 SignatoryParty（签署方）用于内部控制留痕，但概念是“签署方”而非“复核人”。</v>
      </c>
      <c r="J27" s="19"/>
      <c r="K27" s="19" t="s">
        <v>178</v>
      </c>
      <c r="L27" s="24"/>
      <c r="M27" s="25" t="s">
        <v>164</v>
      </c>
      <c r="N27" s="20" t="s">
        <v>3013</v>
      </c>
      <c r="O27" s="19" t="s">
        <v>64</v>
      </c>
      <c r="P27" s="20"/>
      <c r="Q27" s="26" t="str">
        <f>IF(S27="","",LEN(S27)-LEN(SUBSTITUTE(S27,"/",""))+IF(ISNUMBER(SEARCH("@",S27)),0,1))</f>
        <v>5</v>
      </c>
      <c r="R27" s="26"/>
      <c r="S27" s="19" t="s">
        <v>198</v>
      </c>
      <c r="T27" s="19" t="s">
        <v>199</v>
      </c>
      <c r="U27" s="20"/>
      <c r="V27" s="20"/>
      <c r="W27" s="20" t="s">
        <v>181</v>
      </c>
      <c r="X27" s="46"/>
      <c r="Y27" s="20"/>
      <c r="Z27" s="20"/>
      <c r="AA27" s="20" t="s">
        <v>68</v>
      </c>
      <c r="AB27" s="20" t="str">
        <f>IF(ISBLANK(S27),"是","否")</f>
        <v>否</v>
      </c>
      <c r="AC27" s="20" t="s">
        <v>76</v>
      </c>
      <c r="AD27" s="24">
        <v>45</v>
      </c>
      <c r="AE27" s="25" t="s">
        <v>196</v>
      </c>
      <c r="AF27" s="24">
        <v>29</v>
      </c>
      <c r="AG27" s="25" t="s">
        <v>200</v>
      </c>
      <c r="AH27" s="20"/>
      <c r="AI27" s="24"/>
      <c r="AJ27" s="25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</row>
    <row r="28" ht="111.8796992481203" customHeight="1" spans="1:57" x14ac:dyDescent="0.25">
      <c r="A28" s="20" t="s">
        <v>67</v>
      </c>
      <c r="B28" s="27"/>
      <c r="C28" s="20" t="s">
        <v>57</v>
      </c>
      <c r="D28" s="21" t="s">
        <v>58</v>
      </c>
      <c r="E28" s="22" t="s">
        <v>59</v>
      </c>
      <c r="F28" s="21" t="s">
        <v>201</v>
      </c>
      <c r="G28" s="23" t="s">
        <v>201</v>
      </c>
      <c r="H28" s="20" t="str">
        <f>SUBSTITUTE(SUBSTITUTE(SUBSTITUTE(S28,"/@","_"),"/cac:","_"),"/cbc:","_")</f>
        <v/>
      </c>
      <c r="I28" s="20" t="str">
        <f>SUBSTITUTE(SUBSTITUTE(SUBSTITUTE(T28,"/@","_"),"/cac:","_"),"/cbc:","_")</f>
        <v>【未匹配】该字段是“票面备注区是否展示购方地址电话”的呈现控制；在 Invoice / Note 等结构中仅找到自由文本备注 Note（不含任何“是否展示XX”的布尔/代码字段）。</v>
      </c>
      <c r="J28" s="19"/>
      <c r="K28" s="19"/>
      <c r="L28" s="20" t="s">
        <v>203</v>
      </c>
      <c r="M28" s="25" t="s">
        <v>204</v>
      </c>
      <c r="N28" s="20" t="s">
        <v>3013</v>
      </c>
      <c r="O28" s="20"/>
      <c r="P28" s="20"/>
      <c r="Q28" s="26" t="str">
        <f>IF(S28="","",LEN(S28)-LEN(SUBSTITUTE(S28,"/",""))+IF(ISNUMBER(SEARCH("@",S28)),0,1))</f>
        <v/>
      </c>
      <c r="R28" s="26"/>
      <c r="S28" s="19"/>
      <c r="T28" s="19" t="s">
        <v>205</v>
      </c>
      <c r="U28" s="20"/>
      <c r="V28" s="20" t="s">
        <v>206</v>
      </c>
      <c r="W28" s="20"/>
      <c r="X28" s="46"/>
      <c r="Y28" s="20"/>
      <c r="Z28" s="20"/>
      <c r="AA28" s="20"/>
      <c r="AB28" s="20" t="str">
        <f>IF(ISBLANK(S28),"是","否")</f>
        <v>是</v>
      </c>
      <c r="AC28" s="20" t="s">
        <v>76</v>
      </c>
      <c r="AD28" s="24">
        <v>47</v>
      </c>
      <c r="AE28" s="25" t="s">
        <v>201</v>
      </c>
      <c r="AH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</row>
    <row r="29" ht="111.8796992481203" customHeight="1" spans="1:57" x14ac:dyDescent="0.25">
      <c r="A29" s="20" t="s">
        <v>67</v>
      </c>
      <c r="B29" s="27"/>
      <c r="C29" s="20" t="s">
        <v>57</v>
      </c>
      <c r="D29" s="21" t="s">
        <v>58</v>
      </c>
      <c r="E29" s="22" t="s">
        <v>59</v>
      </c>
      <c r="F29" s="21" t="s">
        <v>207</v>
      </c>
      <c r="G29" s="23" t="s">
        <v>207</v>
      </c>
      <c r="H29" s="20" t="str">
        <f>SUBSTITUTE(SUBSTITUTE(SUBSTITUTE(S29,"/@","_"),"/cac:","_"),"/cbc:","_")</f>
        <v/>
      </c>
      <c r="I29" s="20" t="str">
        <f>SUBSTITUTE(SUBSTITUTE(SUBSTITUTE(T29,"/@","_"),"/cac:","_"),"/cbc:","_")</f>
        <v>【未匹配】该字段是“票面备注区是否展示购方开户行及账号”的呈现控制；在 Invoice / Note 等结构中仅找到自由文本备注 Note（不含任何“是否展示XX”的布尔/代码字段）。</v>
      </c>
      <c r="J29" s="19"/>
      <c r="K29" s="19"/>
      <c r="L29" s="20" t="s">
        <v>203</v>
      </c>
      <c r="M29" s="25" t="s">
        <v>204</v>
      </c>
      <c r="N29" s="20" t="s">
        <v>3013</v>
      </c>
      <c r="O29" s="20"/>
      <c r="P29" s="20"/>
      <c r="Q29" s="26" t="str">
        <f>IF(S29="","",LEN(S29)-LEN(SUBSTITUTE(S29,"/",""))+IF(ISNUMBER(SEARCH("@",S29)),0,1))</f>
        <v/>
      </c>
      <c r="R29" s="26"/>
      <c r="S29" s="19"/>
      <c r="T29" s="19" t="s">
        <v>209</v>
      </c>
      <c r="U29" s="20"/>
      <c r="V29" s="20" t="s">
        <v>206</v>
      </c>
      <c r="W29" s="20"/>
      <c r="X29" s="46"/>
      <c r="Y29" s="20"/>
      <c r="Z29" s="20"/>
      <c r="AA29" s="20"/>
      <c r="AB29" s="20" t="str">
        <f>IF(ISBLANK(S29),"是","否")</f>
        <v>是</v>
      </c>
      <c r="AC29" s="20" t="s">
        <v>76</v>
      </c>
      <c r="AD29" s="24">
        <v>48</v>
      </c>
      <c r="AE29" s="25" t="s">
        <v>207</v>
      </c>
      <c r="AH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 ht="111.8796992481203" customHeight="1" spans="1:57" x14ac:dyDescent="0.25">
      <c r="A30" s="20" t="s">
        <v>67</v>
      </c>
      <c r="B30" s="27"/>
      <c r="C30" s="20" t="s">
        <v>57</v>
      </c>
      <c r="D30" s="21" t="s">
        <v>58</v>
      </c>
      <c r="E30" s="22" t="s">
        <v>59</v>
      </c>
      <c r="F30" s="21" t="s">
        <v>210</v>
      </c>
      <c r="G30" s="23" t="s">
        <v>210</v>
      </c>
      <c r="H30" s="20" t="str">
        <f>SUBSTITUTE(SUBSTITUTE(SUBSTITUTE(S30,"/@","_"),"/cac:","_"),"/cbc:","_")</f>
        <v/>
      </c>
      <c r="I30" s="20" t="str">
        <f>SUBSTITUTE(SUBSTITUTE(SUBSTITUTE(T30,"/@","_"),"/cac:","_"),"/cbc:","_")</f>
        <v>【未匹配】该字段是“票面备注区是否展示销方地址电话”的呈现控制；在 Invoice / Note 等结构中仅找到自由文本备注 Note（不含任何“是否展示XX”的布尔/代码字段）。</v>
      </c>
      <c r="J30" s="19"/>
      <c r="K30" s="19"/>
      <c r="L30" s="20" t="s">
        <v>203</v>
      </c>
      <c r="M30" s="25" t="s">
        <v>204</v>
      </c>
      <c r="N30" s="20" t="s">
        <v>3013</v>
      </c>
      <c r="O30" s="20"/>
      <c r="P30" s="20"/>
      <c r="Q30" s="26" t="str">
        <f>IF(S30="","",LEN(S30)-LEN(SUBSTITUTE(S30,"/",""))+IF(ISNUMBER(SEARCH("@",S30)),0,1))</f>
        <v/>
      </c>
      <c r="R30" s="26"/>
      <c r="S30" s="19"/>
      <c r="T30" s="19" t="s">
        <v>212</v>
      </c>
      <c r="U30" s="20"/>
      <c r="V30" s="20" t="s">
        <v>206</v>
      </c>
      <c r="W30" s="20"/>
      <c r="X30" s="46"/>
      <c r="Y30" s="20"/>
      <c r="Z30" s="20"/>
      <c r="AA30" s="20"/>
      <c r="AB30" s="20" t="str">
        <f>IF(ISBLANK(S30),"是","否")</f>
        <v>是</v>
      </c>
      <c r="AC30" s="20" t="s">
        <v>76</v>
      </c>
      <c r="AD30" s="24">
        <v>49</v>
      </c>
      <c r="AE30" s="25" t="s">
        <v>210</v>
      </c>
      <c r="AH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</row>
    <row r="31" ht="111.8796992481203" customHeight="1" spans="1:57" x14ac:dyDescent="0.25">
      <c r="A31" s="20" t="s">
        <v>67</v>
      </c>
      <c r="B31" s="27"/>
      <c r="C31" s="20" t="s">
        <v>57</v>
      </c>
      <c r="D31" s="21" t="s">
        <v>58</v>
      </c>
      <c r="E31" s="22" t="s">
        <v>59</v>
      </c>
      <c r="F31" s="21" t="s">
        <v>213</v>
      </c>
      <c r="G31" s="23" t="s">
        <v>213</v>
      </c>
      <c r="H31" s="20" t="str">
        <f>SUBSTITUTE(SUBSTITUTE(SUBSTITUTE(S31,"/@","_"),"/cac:","_"),"/cbc:","_")</f>
        <v/>
      </c>
      <c r="I31" s="20" t="str">
        <f>SUBSTITUTE(SUBSTITUTE(SUBSTITUTE(T31,"/@","_"),"/cac:","_"),"/cbc:","_")</f>
        <v>【未匹配】该字段是“票面备注区是否展示销方开户行及账号”的呈现控制；在 Invoice / Note 等结构中仅找到自由文本备注 Note（不含任何“是否展示XX”的布尔/代码字段）。</v>
      </c>
      <c r="J31" s="19"/>
      <c r="K31" s="19"/>
      <c r="L31" s="20" t="s">
        <v>203</v>
      </c>
      <c r="M31" s="25" t="s">
        <v>204</v>
      </c>
      <c r="N31" s="20" t="s">
        <v>3013</v>
      </c>
      <c r="O31" s="20"/>
      <c r="P31" s="20"/>
      <c r="Q31" s="26" t="str">
        <f>IF(S31="","",LEN(S31)-LEN(SUBSTITUTE(S31,"/",""))+IF(ISNUMBER(SEARCH("@",S31)),0,1))</f>
        <v/>
      </c>
      <c r="R31" s="26"/>
      <c r="S31" s="19"/>
      <c r="T31" s="19" t="s">
        <v>215</v>
      </c>
      <c r="U31" s="20"/>
      <c r="V31" s="20" t="s">
        <v>206</v>
      </c>
      <c r="W31" s="20"/>
      <c r="X31" s="46"/>
      <c r="Y31" s="20"/>
      <c r="Z31" s="20"/>
      <c r="AA31" s="20"/>
      <c r="AB31" s="20" t="str">
        <f>IF(ISBLANK(S31),"是","否")</f>
        <v>是</v>
      </c>
      <c r="AC31" s="20" t="s">
        <v>76</v>
      </c>
      <c r="AD31" s="24">
        <v>50</v>
      </c>
      <c r="AE31" s="25" t="s">
        <v>213</v>
      </c>
      <c r="AH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</row>
    <row r="32" ht="29.59398496240601" customHeight="1" spans="1:57" x14ac:dyDescent="0.25">
      <c r="A32" s="25" t="s">
        <v>67</v>
      </c>
      <c r="B32" s="19" t="s">
        <v>41</v>
      </c>
      <c r="C32" s="20" t="s">
        <v>57</v>
      </c>
      <c r="D32" s="21"/>
      <c r="E32" s="22"/>
      <c r="F32" s="21" t="s">
        <v>216</v>
      </c>
      <c r="G32" s="29" t="s">
        <v>217</v>
      </c>
      <c r="H32" s="20" t="str">
        <f>SUBSTITUTE(SUBSTITUTE(SUBSTITUTE(S32,"/@","_"),"/cac:","_"),"/cbc:","_")</f>
        <v>Invoice_AccountingSupplierParty</v>
      </c>
      <c r="I32" s="20" t="str">
        <f>SUBSTITUTE(SUBSTITUTE(SUBSTITUTE(T32,"/@","_"),"/cac:","_"),"/cbc:","_")</f>
        <v/>
      </c>
      <c r="J32" s="19"/>
      <c r="K32" s="19" t="s">
        <v>219</v>
      </c>
      <c r="L32" s="20"/>
      <c r="M32" s="25" t="s">
        <v>220</v>
      </c>
      <c r="N32" s="27" t="s">
        <v>165</v>
      </c>
      <c r="O32" s="27" t="s">
        <v>165</v>
      </c>
      <c r="P32" s="27" t="s">
        <v>3014</v>
      </c>
      <c r="Q32" s="26" t="str">
        <f>IF(S32="","",LEN(S32)-LEN(SUBSTITUTE(S32,"/",""))+IF(ISNUMBER(SEARCH("@",S32)),0,1))</f>
        <v>2</v>
      </c>
      <c r="R32" s="42" t="s">
        <v>221</v>
      </c>
      <c r="S32" s="26" t="s">
        <v>221</v>
      </c>
      <c r="T32" s="20"/>
      <c r="U32" s="20"/>
      <c r="V32" s="20"/>
      <c r="W32" s="27"/>
      <c r="X32" s="46"/>
      <c r="Y32" s="20"/>
      <c r="Z32" s="20"/>
      <c r="AA32" s="27" t="s">
        <v>222</v>
      </c>
      <c r="AB32" s="20" t="str">
        <f>IF(ISBLANK(S32),"是","否")</f>
        <v>否</v>
      </c>
      <c r="AC32" s="20"/>
      <c r="AD32" s="25"/>
      <c r="AE32" s="25"/>
      <c r="AH32" s="20" t="s">
        <v>76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</row>
    <row r="33" ht="29.59398496240601" customHeight="1" spans="1:57" x14ac:dyDescent="0.25">
      <c r="A33" s="25" t="s">
        <v>67</v>
      </c>
      <c r="B33" s="19" t="s">
        <v>223</v>
      </c>
      <c r="C33" s="20" t="s">
        <v>57</v>
      </c>
      <c r="D33" s="21"/>
      <c r="E33" s="22"/>
      <c r="F33" s="21" t="s">
        <v>224</v>
      </c>
      <c r="G33" s="29" t="s">
        <v>225</v>
      </c>
      <c r="H33" s="20" t="str">
        <f>SUBSTITUTE(SUBSTITUTE(SUBSTITUTE(S33,"/@","_"),"/cac:","_"),"/cbc:","_")</f>
        <v>Invoice_AccountingSupplierParty_CustomerAssignedAccountID</v>
      </c>
      <c r="I33" s="20" t="str">
        <f>SUBSTITUTE(SUBSTITUTE(SUBSTITUTE(T33,"/@","_"),"/cac:","_"),"/cbc:","_")</f>
        <v/>
      </c>
      <c r="J33" s="19"/>
      <c r="K33" s="19" t="s">
        <v>227</v>
      </c>
      <c r="L33" s="20"/>
      <c r="M33" s="25" t="s">
        <v>228</v>
      </c>
      <c r="N33" s="27" t="s">
        <v>64</v>
      </c>
      <c r="O33" s="27" t="s">
        <v>64</v>
      </c>
      <c r="P33" s="27" t="s">
        <v>50</v>
      </c>
      <c r="Q33" s="26" t="str">
        <f>IF(S33="","",LEN(S33)-LEN(SUBSTITUTE(S33,"/",""))+IF(ISNUMBER(SEARCH("@",S33)),0,1))</f>
        <v>3</v>
      </c>
      <c r="R33" s="42" t="s">
        <v>229</v>
      </c>
      <c r="S33" s="26" t="s">
        <v>229</v>
      </c>
      <c r="T33" s="20"/>
      <c r="U33" s="20"/>
      <c r="V33" s="20"/>
      <c r="W33" s="27"/>
      <c r="X33" s="46"/>
      <c r="Y33" s="20"/>
      <c r="Z33" s="20"/>
      <c r="AA33" s="27" t="s">
        <v>68</v>
      </c>
      <c r="AB33" s="20" t="str">
        <f>IF(ISBLANK(S33),"是","否")</f>
        <v>否</v>
      </c>
      <c r="AC33" s="20"/>
      <c r="AD33" s="25"/>
      <c r="AE33" s="25"/>
      <c r="AH33" s="20" t="s">
        <v>76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</row>
    <row r="34" ht="29.59398496240601" customHeight="1" spans="1:57" x14ac:dyDescent="0.25">
      <c r="A34" s="25" t="s">
        <v>67</v>
      </c>
      <c r="B34" s="19" t="s">
        <v>223</v>
      </c>
      <c r="C34" s="20" t="s">
        <v>57</v>
      </c>
      <c r="D34" s="21"/>
      <c r="E34" s="22"/>
      <c r="F34" s="21" t="s">
        <v>230</v>
      </c>
      <c r="G34" s="29" t="s">
        <v>231</v>
      </c>
      <c r="H34" s="20" t="str">
        <f>SUBSTITUTE(SUBSTITUTE(SUBSTITUTE(S34,"/@","_"),"/cac:","_"),"/cbc:","_")</f>
        <v>Invoice_AccountingSupplierParty_Party</v>
      </c>
      <c r="I34" s="20" t="str">
        <f>SUBSTITUTE(SUBSTITUTE(SUBSTITUTE(T34,"/@","_"),"/cac:","_"),"/cbc:","_")</f>
        <v/>
      </c>
      <c r="J34" s="19"/>
      <c r="K34" s="19" t="s">
        <v>233</v>
      </c>
      <c r="L34" s="20"/>
      <c r="M34" s="25" t="s">
        <v>220</v>
      </c>
      <c r="N34" s="27" t="s">
        <v>64</v>
      </c>
      <c r="O34" s="27" t="s">
        <v>64</v>
      </c>
      <c r="P34" s="27" t="s">
        <v>50</v>
      </c>
      <c r="Q34" s="26" t="str">
        <f>IF(S34="","",LEN(S34)-LEN(SUBSTITUTE(S34,"/",""))+IF(ISNUMBER(SEARCH("@",S34)),0,1))</f>
        <v>3</v>
      </c>
      <c r="R34" s="42" t="s">
        <v>234</v>
      </c>
      <c r="S34" s="26" t="s">
        <v>234</v>
      </c>
      <c r="T34" s="20"/>
      <c r="U34" s="20"/>
      <c r="V34" s="20"/>
      <c r="W34" s="27"/>
      <c r="X34" s="46"/>
      <c r="Y34" s="20"/>
      <c r="Z34" s="20"/>
      <c r="AA34" s="27" t="s">
        <v>222</v>
      </c>
      <c r="AB34" s="20" t="str">
        <f>IF(ISBLANK(S34),"是","否")</f>
        <v>否</v>
      </c>
      <c r="AC34" s="20"/>
      <c r="AD34" s="25"/>
      <c r="AE34" s="25"/>
      <c r="AH34" s="20" t="s">
        <v>76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 ht="29.59398496240601" customHeight="1" spans="1:57" x14ac:dyDescent="0.25">
      <c r="A35" s="25" t="s">
        <v>67</v>
      </c>
      <c r="B35" s="19" t="s">
        <v>230</v>
      </c>
      <c r="C35" s="20" t="s">
        <v>57</v>
      </c>
      <c r="D35" s="21"/>
      <c r="E35" s="22"/>
      <c r="F35" s="21" t="s">
        <v>235</v>
      </c>
      <c r="G35" s="29" t="s">
        <v>236</v>
      </c>
      <c r="H35" s="20" t="str">
        <f>SUBSTITUTE(SUBSTITUTE(SUBSTITUTE(S35,"/@","_"),"/cac:","_"),"/cbc:","_")</f>
        <v>Invoice_AccountingSupplierParty_Party_EndpointID</v>
      </c>
      <c r="I35" s="20" t="str">
        <f>SUBSTITUTE(SUBSTITUTE(SUBSTITUTE(T35,"/@","_"),"/cac:","_"),"/cbc:","_")</f>
        <v/>
      </c>
      <c r="J35" s="19"/>
      <c r="K35" s="19" t="s">
        <v>238</v>
      </c>
      <c r="L35" s="20"/>
      <c r="M35" s="25" t="s">
        <v>228</v>
      </c>
      <c r="N35" s="27" t="s">
        <v>64</v>
      </c>
      <c r="O35" s="27" t="s">
        <v>64</v>
      </c>
      <c r="P35" s="27" t="s">
        <v>3015</v>
      </c>
      <c r="Q35" s="26" t="str">
        <f>IF(S35="","",LEN(S35)-LEN(SUBSTITUTE(S35,"/",""))+IF(ISNUMBER(SEARCH("@",S35)),0,1))</f>
        <v>4</v>
      </c>
      <c r="R35" s="42" t="s">
        <v>239</v>
      </c>
      <c r="S35" s="26" t="s">
        <v>239</v>
      </c>
      <c r="T35" s="20"/>
      <c r="U35" s="20"/>
      <c r="V35" s="20"/>
      <c r="W35" s="27" t="s">
        <v>240</v>
      </c>
      <c r="X35" s="46"/>
      <c r="Y35" s="20"/>
      <c r="Z35" s="20"/>
      <c r="AA35" s="27" t="s">
        <v>68</v>
      </c>
      <c r="AB35" s="20" t="str">
        <f>IF(ISBLANK(S35),"是","否")</f>
        <v>否</v>
      </c>
      <c r="AC35" s="20"/>
      <c r="AD35" s="25"/>
      <c r="AE35" s="25"/>
      <c r="AH35" s="20" t="s">
        <v>76</v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</row>
    <row r="36" ht="29.59398496240601" customHeight="1" spans="1:57" x14ac:dyDescent="0.25">
      <c r="A36" s="25" t="s">
        <v>67</v>
      </c>
      <c r="B36" s="19" t="s">
        <v>230</v>
      </c>
      <c r="C36" s="20" t="s">
        <v>57</v>
      </c>
      <c r="D36" s="21"/>
      <c r="E36" s="22"/>
      <c r="F36" s="21" t="s">
        <v>241</v>
      </c>
      <c r="G36" s="29" t="s">
        <v>242</v>
      </c>
      <c r="H36" s="20" t="str">
        <f>SUBSTITUTE(SUBSTITUTE(SUBSTITUTE(S36,"/@","_"),"/cac:","_"),"/cbc:","_")</f>
        <v>Invoice_AccountingSupplierParty_Party_EndpointID_schemeID</v>
      </c>
      <c r="I36" s="20" t="str">
        <f>SUBSTITUTE(SUBSTITUTE(SUBSTITUTE(T36,"/@","_"),"/cac:","_"),"/cbc:","_")</f>
        <v/>
      </c>
      <c r="J36" s="19"/>
      <c r="K36" s="19" t="s">
        <v>238</v>
      </c>
      <c r="L36" s="20"/>
      <c r="M36" s="25" t="s">
        <v>243</v>
      </c>
      <c r="N36" s="27" t="s">
        <v>64</v>
      </c>
      <c r="O36" s="27" t="s">
        <v>64</v>
      </c>
      <c r="P36" s="27" t="s">
        <v>3015</v>
      </c>
      <c r="Q36" s="26" t="str">
        <f>IF(S36="","",LEN(S36)-LEN(SUBSTITUTE(S36,"/",""))+IF(ISNUMBER(SEARCH("@",S36)),0,1))</f>
        <v>4</v>
      </c>
      <c r="R36" s="42" t="s">
        <v>244</v>
      </c>
      <c r="S36" s="26" t="s">
        <v>244</v>
      </c>
      <c r="T36" s="20"/>
      <c r="U36" s="20"/>
      <c r="V36" s="20"/>
      <c r="W36" s="27" t="s">
        <v>240</v>
      </c>
      <c r="X36" s="46"/>
      <c r="Y36" s="20"/>
      <c r="Z36" s="20"/>
      <c r="AA36" s="27" t="s">
        <v>68</v>
      </c>
      <c r="AB36" s="20" t="str">
        <f>IF(ISBLANK(S36),"是","否")</f>
        <v>否</v>
      </c>
      <c r="AC36" s="20"/>
      <c r="AD36" s="25"/>
      <c r="AE36" s="25"/>
      <c r="AH36" s="20" t="s">
        <v>76</v>
      </c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</row>
    <row r="37" ht="29.59398496240601" customHeight="1" spans="1:57" x14ac:dyDescent="0.25">
      <c r="A37" s="25" t="s">
        <v>67</v>
      </c>
      <c r="B37" s="19" t="s">
        <v>230</v>
      </c>
      <c r="C37" s="20" t="s">
        <v>57</v>
      </c>
      <c r="D37" s="21"/>
      <c r="E37" s="22"/>
      <c r="F37" s="21" t="s">
        <v>245</v>
      </c>
      <c r="G37" s="29" t="s">
        <v>246</v>
      </c>
      <c r="H37" s="20" t="str">
        <f>SUBSTITUTE(SUBSTITUTE(SUBSTITUTE(S37,"/@","_"),"/cac:","_"),"/cbc:","_")</f>
        <v>Invoice_AccountingSupplierParty_Party_IndustryClassificationCode</v>
      </c>
      <c r="I37" s="20" t="str">
        <f>SUBSTITUTE(SUBSTITUTE(SUBSTITUTE(T37,"/@","_"),"/cac:","_"),"/cbc:","_")</f>
        <v/>
      </c>
      <c r="J37" s="19"/>
      <c r="K37" s="19" t="s">
        <v>248</v>
      </c>
      <c r="L37" s="20"/>
      <c r="M37" s="25" t="s">
        <v>243</v>
      </c>
      <c r="N37" s="27" t="s">
        <v>64</v>
      </c>
      <c r="O37" s="27" t="s">
        <v>64</v>
      </c>
      <c r="P37" s="27" t="s">
        <v>3015</v>
      </c>
      <c r="Q37" s="26" t="str">
        <f>IF(S37="","",LEN(S37)-LEN(SUBSTITUTE(S37,"/",""))+IF(ISNUMBER(SEARCH("@",S37)),0,1))</f>
        <v>4</v>
      </c>
      <c r="R37" s="42" t="s">
        <v>249</v>
      </c>
      <c r="S37" s="26" t="s">
        <v>249</v>
      </c>
      <c r="T37" s="20"/>
      <c r="U37" s="20"/>
      <c r="V37" s="20"/>
      <c r="W37" s="27" t="s">
        <v>250</v>
      </c>
      <c r="X37" s="46"/>
      <c r="Y37" s="20"/>
      <c r="Z37" s="20"/>
      <c r="AA37" s="27" t="s">
        <v>68</v>
      </c>
      <c r="AB37" s="20" t="str">
        <f>IF(ISBLANK(S37),"是","否")</f>
        <v>否</v>
      </c>
      <c r="AC37" s="20"/>
      <c r="AD37" s="25"/>
      <c r="AE37" s="25"/>
      <c r="AH37" s="20" t="s">
        <v>76</v>
      </c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</row>
    <row r="38" ht="39.879699248120296" customHeight="1" spans="1:57" x14ac:dyDescent="0.25">
      <c r="A38" s="25" t="s">
        <v>67</v>
      </c>
      <c r="B38" s="19" t="s">
        <v>230</v>
      </c>
      <c r="C38" s="20" t="s">
        <v>57</v>
      </c>
      <c r="D38" s="21"/>
      <c r="E38" s="22"/>
      <c r="F38" s="21" t="s">
        <v>251</v>
      </c>
      <c r="G38" s="29" t="s">
        <v>252</v>
      </c>
      <c r="H38" s="20" t="str">
        <f>SUBSTITUTE(SUBSTITUTE(SUBSTITUTE(S38,"/@","_"),"/cac:","_"),"/cbc:","_")</f>
        <v>Invoice_AccountingSupplierParty_Party_IndustryClassificationCode_name</v>
      </c>
      <c r="I38" s="20" t="str">
        <f>SUBSTITUTE(SUBSTITUTE(SUBSTITUTE(T38,"/@","_"),"/cac:","_"),"/cbc:","_")</f>
        <v/>
      </c>
      <c r="J38" s="19"/>
      <c r="K38" s="19" t="s">
        <v>248</v>
      </c>
      <c r="L38" s="20"/>
      <c r="M38" s="25" t="s">
        <v>228</v>
      </c>
      <c r="N38" s="27" t="s">
        <v>64</v>
      </c>
      <c r="O38" s="27" t="s">
        <v>64</v>
      </c>
      <c r="P38" s="27" t="s">
        <v>3016</v>
      </c>
      <c r="Q38" s="26" t="str">
        <f>IF(S38="","",LEN(S38)-LEN(SUBSTITUTE(S38,"/",""))+IF(ISNUMBER(SEARCH("@",S38)),0,1))</f>
        <v>4</v>
      </c>
      <c r="R38" s="42" t="s">
        <v>254</v>
      </c>
      <c r="S38" s="26" t="s">
        <v>254</v>
      </c>
      <c r="T38" s="20"/>
      <c r="U38" s="20"/>
      <c r="V38" s="20"/>
      <c r="W38" s="27" t="s">
        <v>250</v>
      </c>
      <c r="X38" s="46"/>
      <c r="Y38" s="20"/>
      <c r="Z38" s="20"/>
      <c r="AA38" s="27" t="s">
        <v>68</v>
      </c>
      <c r="AB38" s="20" t="str">
        <f>IF(ISBLANK(S38),"是","否")</f>
        <v>否</v>
      </c>
      <c r="AC38" s="20"/>
      <c r="AD38" s="25"/>
      <c r="AE38" s="25"/>
      <c r="AH38" s="20" t="s">
        <v>76</v>
      </c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</row>
    <row r="39" ht="29.59398496240601" customHeight="1" spans="1:57" x14ac:dyDescent="0.25">
      <c r="A39" s="25" t="s">
        <v>67</v>
      </c>
      <c r="B39" s="19" t="s">
        <v>230</v>
      </c>
      <c r="C39" s="20" t="s">
        <v>57</v>
      </c>
      <c r="D39" s="21"/>
      <c r="E39" s="22"/>
      <c r="F39" s="21" t="s">
        <v>255</v>
      </c>
      <c r="G39" s="29" t="s">
        <v>256</v>
      </c>
      <c r="H39" s="20" t="str">
        <f>SUBSTITUTE(SUBSTITUTE(SUBSTITUTE(S39,"/@","_"),"/cac:","_"),"/cbc:","_")</f>
        <v>Invoice_AccountingSupplierParty_Party_PartyIdentification</v>
      </c>
      <c r="I39" s="20" t="str">
        <f>SUBSTITUTE(SUBSTITUTE(SUBSTITUTE(T39,"/@","_"),"/cac:","_"),"/cbc:","_")</f>
        <v/>
      </c>
      <c r="J39" s="19"/>
      <c r="K39" s="19" t="s">
        <v>257</v>
      </c>
      <c r="L39" s="20"/>
      <c r="M39" s="25" t="s">
        <v>258</v>
      </c>
      <c r="N39" s="30" t="s">
        <v>49</v>
      </c>
      <c r="O39" s="30" t="s">
        <v>49</v>
      </c>
      <c r="P39" s="27"/>
      <c r="Q39" s="26" t="str">
        <f>IF(S39="","",LEN(S39)-LEN(SUBSTITUTE(S39,"/",""))+IF(ISNUMBER(SEARCH("@",S39)),0,1))</f>
        <v>4</v>
      </c>
      <c r="R39" s="42" t="s">
        <v>259</v>
      </c>
      <c r="S39" s="26" t="s">
        <v>259</v>
      </c>
      <c r="T39" s="20"/>
      <c r="U39" s="20"/>
      <c r="V39" s="20"/>
      <c r="W39" s="27"/>
      <c r="X39" s="46"/>
      <c r="Y39" s="20"/>
      <c r="Z39" s="20"/>
      <c r="AA39" s="27" t="s">
        <v>222</v>
      </c>
      <c r="AB39" s="20" t="str">
        <f>IF(ISBLANK(S39),"是","否")</f>
        <v>否</v>
      </c>
      <c r="AC39" s="20"/>
      <c r="AD39" s="25"/>
      <c r="AE39" s="25"/>
      <c r="AH39" s="20" t="s">
        <v>76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</row>
    <row r="40" ht="29.59398496240601" customHeight="1" spans="1:57" x14ac:dyDescent="0.25">
      <c r="A40" s="25" t="s">
        <v>67</v>
      </c>
      <c r="B40" s="19" t="s">
        <v>255</v>
      </c>
      <c r="C40" s="20" t="s">
        <v>57</v>
      </c>
      <c r="D40" s="21"/>
      <c r="E40" s="22"/>
      <c r="F40" s="21" t="s">
        <v>260</v>
      </c>
      <c r="G40" s="29" t="s">
        <v>261</v>
      </c>
      <c r="H40" s="20" t="str">
        <f>SUBSTITUTE(SUBSTITUTE(SUBSTITUTE(S40,"/@","_"),"/cac:","_"),"/cbc:","_")</f>
        <v>Invoice_AccountingSupplierParty_Party_PartyIdentification_ID</v>
      </c>
      <c r="I40" s="20" t="str">
        <f>SUBSTITUTE(SUBSTITUTE(SUBSTITUTE(T40,"/@","_"),"/cac:","_"),"/cbc:","_")</f>
        <v/>
      </c>
      <c r="J40" s="19"/>
      <c r="K40" s="19" t="s">
        <v>263</v>
      </c>
      <c r="L40" s="20"/>
      <c r="M40" s="25" t="s">
        <v>228</v>
      </c>
      <c r="N40" s="30" t="s">
        <v>165</v>
      </c>
      <c r="O40" s="30" t="s">
        <v>165</v>
      </c>
      <c r="P40" s="27" t="s">
        <v>3015</v>
      </c>
      <c r="Q40" s="26" t="str">
        <f>IF(S40="","",LEN(S40)-LEN(SUBSTITUTE(S40,"/",""))+IF(ISNUMBER(SEARCH("@",S40)),0,1))</f>
        <v>5</v>
      </c>
      <c r="R40" s="42" t="s">
        <v>264</v>
      </c>
      <c r="S40" s="26" t="s">
        <v>264</v>
      </c>
      <c r="T40" s="20"/>
      <c r="U40" s="20"/>
      <c r="V40" s="20"/>
      <c r="W40" s="27"/>
      <c r="X40" s="46"/>
      <c r="Y40" s="20"/>
      <c r="Z40" s="20"/>
      <c r="AA40" s="27" t="s">
        <v>68</v>
      </c>
      <c r="AB40" s="20" t="str">
        <f>IF(ISBLANK(S40),"是","否")</f>
        <v>否</v>
      </c>
      <c r="AC40" s="20"/>
      <c r="AD40" s="25"/>
      <c r="AE40" s="25"/>
      <c r="AH40" s="20" t="s">
        <v>76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</row>
    <row r="41" ht="39.879699248120296" customHeight="1" spans="1:57" x14ac:dyDescent="0.25">
      <c r="A41" s="25" t="s">
        <v>67</v>
      </c>
      <c r="B41" s="19" t="s">
        <v>255</v>
      </c>
      <c r="C41" s="20" t="s">
        <v>57</v>
      </c>
      <c r="D41" s="21"/>
      <c r="E41" s="22"/>
      <c r="F41" s="21" t="s">
        <v>265</v>
      </c>
      <c r="G41" s="29" t="s">
        <v>266</v>
      </c>
      <c r="H41" s="20" t="str">
        <f>SUBSTITUTE(SUBSTITUTE(SUBSTITUTE(S41,"/@","_"),"/cac:","_"),"/cbc:","_")</f>
        <v>Invoice_AccountingSupplierParty_Party_PartyIdentification_ID_schemeID</v>
      </c>
      <c r="I41" s="20" t="str">
        <f>SUBSTITUTE(SUBSTITUTE(SUBSTITUTE(T41,"/@","_"),"/cac:","_"),"/cbc:","_")</f>
        <v/>
      </c>
      <c r="J41" s="19"/>
      <c r="K41" s="19" t="s">
        <v>263</v>
      </c>
      <c r="L41" s="20"/>
      <c r="M41" s="25" t="s">
        <v>243</v>
      </c>
      <c r="N41" s="30" t="s">
        <v>165</v>
      </c>
      <c r="O41" s="30" t="s">
        <v>165</v>
      </c>
      <c r="P41" s="27" t="s">
        <v>3015</v>
      </c>
      <c r="Q41" s="26" t="str">
        <f>IF(S41="","",LEN(S41)-LEN(SUBSTITUTE(S41,"/",""))+IF(ISNUMBER(SEARCH("@",S41)),0,1))</f>
        <v>5</v>
      </c>
      <c r="R41" s="42" t="s">
        <v>268</v>
      </c>
      <c r="S41" s="26" t="s">
        <v>268</v>
      </c>
      <c r="T41" s="20"/>
      <c r="U41" s="20"/>
      <c r="V41" s="20"/>
      <c r="W41" s="20"/>
      <c r="X41" s="46"/>
      <c r="Y41" s="20"/>
      <c r="Z41" s="20"/>
      <c r="AA41" s="20" t="s">
        <v>68</v>
      </c>
      <c r="AB41" s="20" t="str">
        <f>IF(ISBLANK(S41),"是","否")</f>
        <v>否</v>
      </c>
      <c r="AC41" s="20"/>
      <c r="AD41" s="25"/>
      <c r="AE41" s="25"/>
      <c r="AH41" s="20" t="s">
        <v>76</v>
      </c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</row>
    <row r="42" ht="29.59398496240601" customHeight="1" spans="1:57" x14ac:dyDescent="0.25">
      <c r="A42" s="25" t="s">
        <v>67</v>
      </c>
      <c r="B42" s="19" t="s">
        <v>230</v>
      </c>
      <c r="C42" s="20" t="s">
        <v>57</v>
      </c>
      <c r="D42" s="21"/>
      <c r="E42" s="22"/>
      <c r="F42" s="21" t="s">
        <v>188</v>
      </c>
      <c r="G42" s="29" t="s">
        <v>269</v>
      </c>
      <c r="H42" s="20" t="str">
        <f>SUBSTITUTE(SUBSTITUTE(SUBSTITUTE(S42,"/@","_"),"/cac:","_"),"/cbc:","_")</f>
        <v>Invoice_AccountingSupplierParty_Party_PartyName</v>
      </c>
      <c r="I42" s="20" t="str">
        <f>SUBSTITUTE(SUBSTITUTE(SUBSTITUTE(T42,"/@","_"),"/cac:","_"),"/cbc:","_")</f>
        <v/>
      </c>
      <c r="J42" s="19"/>
      <c r="K42" s="19" t="s">
        <v>271</v>
      </c>
      <c r="L42" s="20"/>
      <c r="M42" s="25" t="s">
        <v>220</v>
      </c>
      <c r="N42" s="30" t="s">
        <v>49</v>
      </c>
      <c r="O42" s="30" t="s">
        <v>49</v>
      </c>
      <c r="P42" s="27"/>
      <c r="Q42" s="26" t="str">
        <f>IF(S42="","",LEN(S42)-LEN(SUBSTITUTE(S42,"/",""))+IF(ISNUMBER(SEARCH("@",S42)),0,1))</f>
        <v>4</v>
      </c>
      <c r="R42" s="42" t="s">
        <v>272</v>
      </c>
      <c r="S42" s="26" t="s">
        <v>272</v>
      </c>
      <c r="T42" s="20"/>
      <c r="U42" s="20"/>
      <c r="V42" s="20"/>
      <c r="W42" s="20"/>
      <c r="X42" s="46"/>
      <c r="Y42" s="20"/>
      <c r="Z42" s="20"/>
      <c r="AA42" s="20" t="s">
        <v>222</v>
      </c>
      <c r="AB42" s="20" t="str">
        <f>IF(ISBLANK(S42),"是","否")</f>
        <v>否</v>
      </c>
      <c r="AC42" s="20"/>
      <c r="AD42" s="25"/>
      <c r="AE42" s="25"/>
      <c r="AH42" s="20" t="s">
        <v>76</v>
      </c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</row>
    <row r="43" ht="29.59398496240601" customHeight="1" spans="1:57" x14ac:dyDescent="0.25">
      <c r="A43" s="25" t="s">
        <v>67</v>
      </c>
      <c r="B43" s="19" t="s">
        <v>188</v>
      </c>
      <c r="C43" s="20" t="s">
        <v>57</v>
      </c>
      <c r="D43" s="21"/>
      <c r="E43" s="22"/>
      <c r="F43" s="21" t="s">
        <v>273</v>
      </c>
      <c r="G43" s="29" t="s">
        <v>274</v>
      </c>
      <c r="H43" s="20" t="str">
        <f>SUBSTITUTE(SUBSTITUTE(SUBSTITUTE(S43,"/@","_"),"/cac:","_"),"/cbc:","_")</f>
        <v>Invoice_AccountingSupplierParty_Party_PartyName_Name</v>
      </c>
      <c r="I43" s="20" t="str">
        <f>SUBSTITUTE(SUBSTITUTE(SUBSTITUTE(T43,"/@","_"),"/cac:","_"),"/cbc:","_")</f>
        <v/>
      </c>
      <c r="J43" s="19"/>
      <c r="K43" s="19" t="s">
        <v>191</v>
      </c>
      <c r="L43" s="20"/>
      <c r="M43" s="25" t="s">
        <v>228</v>
      </c>
      <c r="N43" s="30" t="s">
        <v>165</v>
      </c>
      <c r="O43" s="30" t="s">
        <v>165</v>
      </c>
      <c r="P43" s="27" t="s">
        <v>3015</v>
      </c>
      <c r="Q43" s="26" t="str">
        <f>IF(S43="","",LEN(S43)-LEN(SUBSTITUTE(S43,"/",""))+IF(ISNUMBER(SEARCH("@",S43)),0,1))</f>
        <v>5</v>
      </c>
      <c r="R43" s="42" t="s">
        <v>276</v>
      </c>
      <c r="S43" s="26" t="s">
        <v>276</v>
      </c>
      <c r="T43" s="20"/>
      <c r="U43" s="20"/>
      <c r="V43" s="20"/>
      <c r="W43" s="20" t="s">
        <v>194</v>
      </c>
      <c r="X43" s="46"/>
      <c r="Y43" s="20"/>
      <c r="Z43" s="20"/>
      <c r="AA43" s="20" t="s">
        <v>68</v>
      </c>
      <c r="AB43" s="20" t="str">
        <f>IF(ISBLANK(S43),"是","否")</f>
        <v>否</v>
      </c>
      <c r="AC43" s="20"/>
      <c r="AD43" s="25"/>
      <c r="AE43" s="25"/>
      <c r="AH43" s="20" t="s">
        <v>76</v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</row>
    <row r="44" ht="29.59398496240601" customHeight="1" spans="1:57" x14ac:dyDescent="0.25">
      <c r="A44" s="25" t="s">
        <v>67</v>
      </c>
      <c r="B44" s="19" t="s">
        <v>230</v>
      </c>
      <c r="C44" s="20" t="s">
        <v>57</v>
      </c>
      <c r="D44" s="21"/>
      <c r="E44" s="22"/>
      <c r="F44" s="21" t="s">
        <v>277</v>
      </c>
      <c r="G44" s="29" t="s">
        <v>278</v>
      </c>
      <c r="H44" s="20" t="str">
        <f>SUBSTITUTE(SUBSTITUTE(SUBSTITUTE(S44,"/@","_"),"/cac:","_"),"/cbc:","_")</f>
        <v>Invoice_AccountingSupplierParty_Party_PostalAddress</v>
      </c>
      <c r="I44" s="20" t="str">
        <f>SUBSTITUTE(SUBSTITUTE(SUBSTITUTE(T44,"/@","_"),"/cac:","_"),"/cbc:","_")</f>
        <v/>
      </c>
      <c r="J44" s="19"/>
      <c r="K44" s="19" t="s">
        <v>280</v>
      </c>
      <c r="L44" s="20"/>
      <c r="M44" s="25" t="s">
        <v>220</v>
      </c>
      <c r="N44" s="27" t="s">
        <v>64</v>
      </c>
      <c r="O44" s="27" t="s">
        <v>64</v>
      </c>
      <c r="P44" s="27" t="s">
        <v>3015</v>
      </c>
      <c r="Q44" s="26" t="str">
        <f>IF(S44="","",LEN(S44)-LEN(SUBSTITUTE(S44,"/",""))+IF(ISNUMBER(SEARCH("@",S44)),0,1))</f>
        <v>4</v>
      </c>
      <c r="R44" s="42" t="s">
        <v>281</v>
      </c>
      <c r="S44" s="26" t="s">
        <v>281</v>
      </c>
      <c r="T44" s="20"/>
      <c r="U44" s="20"/>
      <c r="V44" s="20"/>
      <c r="W44" s="20"/>
      <c r="X44" s="46"/>
      <c r="Y44" s="20"/>
      <c r="Z44" s="20"/>
      <c r="AA44" s="20" t="s">
        <v>222</v>
      </c>
      <c r="AB44" s="20" t="str">
        <f>IF(ISBLANK(S44),"是","否")</f>
        <v>否</v>
      </c>
      <c r="AC44" s="20"/>
      <c r="AD44" s="25"/>
      <c r="AE44" s="25"/>
      <c r="AH44" s="20" t="s">
        <v>76</v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</row>
    <row r="45" ht="29.59398496240601" customHeight="1" spans="1:57" x14ac:dyDescent="0.25">
      <c r="A45" s="25" t="s">
        <v>67</v>
      </c>
      <c r="B45" s="19" t="s">
        <v>282</v>
      </c>
      <c r="C45" s="20" t="s">
        <v>57</v>
      </c>
      <c r="D45" s="21"/>
      <c r="E45" s="22"/>
      <c r="F45" s="21" t="s">
        <v>283</v>
      </c>
      <c r="G45" s="29" t="s">
        <v>284</v>
      </c>
      <c r="H45" s="20" t="str">
        <f>SUBSTITUTE(SUBSTITUTE(SUBSTITUTE(S45,"/@","_"),"/cac:","_"),"/cbc:","_")</f>
        <v>Invoice_AccountingSupplierParty_Party_PostalAddress_StreetName</v>
      </c>
      <c r="I45" s="20" t="str">
        <f>SUBSTITUTE(SUBSTITUTE(SUBSTITUTE(T45,"/@","_"),"/cac:","_"),"/cbc:","_")</f>
        <v/>
      </c>
      <c r="J45" s="19" t="s">
        <v>286</v>
      </c>
      <c r="K45" s="19" t="s">
        <v>287</v>
      </c>
      <c r="L45" s="20"/>
      <c r="M45" s="25" t="s">
        <v>228</v>
      </c>
      <c r="N45" s="27" t="s">
        <v>64</v>
      </c>
      <c r="O45" s="27" t="s">
        <v>64</v>
      </c>
      <c r="P45" s="27" t="s">
        <v>3016</v>
      </c>
      <c r="Q45" s="26" t="str">
        <f>IF(S45="","",LEN(S45)-LEN(SUBSTITUTE(S45,"/",""))+IF(ISNUMBER(SEARCH("@",S45)),0,1))</f>
        <v>5</v>
      </c>
      <c r="R45" s="42" t="s">
        <v>288</v>
      </c>
      <c r="S45" s="26" t="s">
        <v>288</v>
      </c>
      <c r="T45" s="20"/>
      <c r="U45" s="20"/>
      <c r="V45" s="20"/>
      <c r="W45" s="20" t="s">
        <v>289</v>
      </c>
      <c r="X45" s="46"/>
      <c r="Y45" s="20"/>
      <c r="Z45" s="20"/>
      <c r="AA45" s="20" t="s">
        <v>68</v>
      </c>
      <c r="AB45" s="20" t="str">
        <f>IF(ISBLANK(S45),"是","否")</f>
        <v>否</v>
      </c>
      <c r="AC45" s="20"/>
      <c r="AD45" s="25"/>
      <c r="AE45" s="25"/>
      <c r="AH45" s="20" t="s">
        <v>76</v>
      </c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</row>
    <row r="46" ht="29.59398496240601" customHeight="1" spans="1:57" x14ac:dyDescent="0.25">
      <c r="A46" s="25" t="s">
        <v>67</v>
      </c>
      <c r="B46" s="19" t="s">
        <v>282</v>
      </c>
      <c r="C46" s="20" t="s">
        <v>57</v>
      </c>
      <c r="D46" s="21"/>
      <c r="E46" s="22"/>
      <c r="F46" s="21" t="s">
        <v>290</v>
      </c>
      <c r="G46" s="29" t="s">
        <v>291</v>
      </c>
      <c r="H46" s="20" t="str">
        <f>SUBSTITUTE(SUBSTITUTE(SUBSTITUTE(S46,"/@","_"),"/cac:","_"),"/cbc:","_")</f>
        <v>Invoice_AccountingSupplierParty_Party_PostalAddress_CityName</v>
      </c>
      <c r="I46" s="20" t="str">
        <f>SUBSTITUTE(SUBSTITUTE(SUBSTITUTE(T46,"/@","_"),"/cac:","_"),"/cbc:","_")</f>
        <v/>
      </c>
      <c r="J46" s="19" t="s">
        <v>293</v>
      </c>
      <c r="K46" s="19" t="s">
        <v>294</v>
      </c>
      <c r="L46" s="20"/>
      <c r="M46" s="25" t="s">
        <v>228</v>
      </c>
      <c r="N46" s="27" t="s">
        <v>64</v>
      </c>
      <c r="O46" s="27" t="s">
        <v>64</v>
      </c>
      <c r="P46" s="27" t="s">
        <v>3016</v>
      </c>
      <c r="Q46" s="26" t="str">
        <f>IF(S46="","",LEN(S46)-LEN(SUBSTITUTE(S46,"/",""))+IF(ISNUMBER(SEARCH("@",S46)),0,1))</f>
        <v>5</v>
      </c>
      <c r="R46" s="42" t="s">
        <v>295</v>
      </c>
      <c r="S46" s="26" t="s">
        <v>295</v>
      </c>
      <c r="T46" s="20"/>
      <c r="U46" s="20"/>
      <c r="V46" s="20"/>
      <c r="W46" s="20" t="s">
        <v>296</v>
      </c>
      <c r="X46" s="46"/>
      <c r="Y46" s="20"/>
      <c r="Z46" s="20"/>
      <c r="AA46" s="20" t="s">
        <v>68</v>
      </c>
      <c r="AB46" s="20" t="str">
        <f>IF(ISBLANK(S46),"是","否")</f>
        <v>否</v>
      </c>
      <c r="AC46" s="20"/>
      <c r="AD46" s="25"/>
      <c r="AE46" s="25"/>
      <c r="AH46" s="20" t="s">
        <v>76</v>
      </c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</row>
    <row r="47" ht="39.879699248120296" customHeight="1" spans="1:57" x14ac:dyDescent="0.25">
      <c r="A47" s="25" t="s">
        <v>67</v>
      </c>
      <c r="B47" s="19" t="s">
        <v>282</v>
      </c>
      <c r="C47" s="20" t="s">
        <v>57</v>
      </c>
      <c r="D47" s="21"/>
      <c r="E47" s="22"/>
      <c r="F47" s="21" t="s">
        <v>297</v>
      </c>
      <c r="G47" s="29" t="s">
        <v>298</v>
      </c>
      <c r="H47" s="20" t="str">
        <f>SUBSTITUTE(SUBSTITUTE(SUBSTITUTE(S47,"/@","_"),"/cac:","_"),"/cbc:","_")</f>
        <v>Invoice_AccountingSupplierParty_Party_PostalAddress_CountrySubentity</v>
      </c>
      <c r="I47" s="20" t="str">
        <f>SUBSTITUTE(SUBSTITUTE(SUBSTITUTE(T47,"/@","_"),"/cac:","_"),"/cbc:","_")</f>
        <v/>
      </c>
      <c r="J47" s="19" t="s">
        <v>300</v>
      </c>
      <c r="K47" s="19" t="s">
        <v>301</v>
      </c>
      <c r="L47" s="20"/>
      <c r="M47" s="25" t="s">
        <v>243</v>
      </c>
      <c r="N47" s="27" t="s">
        <v>64</v>
      </c>
      <c r="O47" s="27" t="s">
        <v>64</v>
      </c>
      <c r="P47" s="27" t="s">
        <v>3016</v>
      </c>
      <c r="Q47" s="26" t="str">
        <f>IF(S47="","",LEN(S47)-LEN(SUBSTITUTE(S47,"/",""))+IF(ISNUMBER(SEARCH("@",S47)),0,1))</f>
        <v>5</v>
      </c>
      <c r="R47" s="42" t="s">
        <v>302</v>
      </c>
      <c r="S47" s="26" t="s">
        <v>302</v>
      </c>
      <c r="T47" s="20"/>
      <c r="U47" s="20"/>
      <c r="V47" s="20"/>
      <c r="W47" s="20" t="s">
        <v>303</v>
      </c>
      <c r="X47" s="46"/>
      <c r="Y47" s="20"/>
      <c r="Z47" s="20"/>
      <c r="AA47" s="20" t="s">
        <v>68</v>
      </c>
      <c r="AB47" s="20" t="str">
        <f>IF(ISBLANK(S47),"是","否")</f>
        <v>否</v>
      </c>
      <c r="AC47" s="20"/>
      <c r="AD47" s="25"/>
      <c r="AE47" s="25"/>
      <c r="AH47" s="20" t="s">
        <v>76</v>
      </c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</row>
    <row r="48" ht="39.879699248120296" customHeight="1" spans="1:57" x14ac:dyDescent="0.25">
      <c r="A48" s="25" t="s">
        <v>67</v>
      </c>
      <c r="B48" s="19" t="s">
        <v>282</v>
      </c>
      <c r="C48" s="20" t="s">
        <v>57</v>
      </c>
      <c r="D48" s="21"/>
      <c r="E48" s="22"/>
      <c r="F48" s="21" t="s">
        <v>304</v>
      </c>
      <c r="G48" s="29" t="s">
        <v>305</v>
      </c>
      <c r="H48" s="20" t="str">
        <f>SUBSTITUTE(SUBSTITUTE(SUBSTITUTE(S48,"/@","_"),"/cac:","_"),"/cbc:","_")</f>
        <v>Invoice_AccountingSupplierParty_Party_PostalAddress_CountrySubentityCode</v>
      </c>
      <c r="I48" s="20" t="str">
        <f>SUBSTITUTE(SUBSTITUTE(SUBSTITUTE(T48,"/@","_"),"/cac:","_"),"/cbc:","_")</f>
        <v/>
      </c>
      <c r="J48" s="19" t="s">
        <v>306</v>
      </c>
      <c r="K48" s="19" t="s">
        <v>307</v>
      </c>
      <c r="L48" s="20"/>
      <c r="M48" s="25" t="s">
        <v>243</v>
      </c>
      <c r="N48" s="27" t="s">
        <v>64</v>
      </c>
      <c r="O48" s="27" t="s">
        <v>64</v>
      </c>
      <c r="P48" s="27"/>
      <c r="Q48" s="26" t="str">
        <f>IF(S48="","",LEN(S48)-LEN(SUBSTITUTE(S48,"/",""))+IF(ISNUMBER(SEARCH("@",S48)),0,1))</f>
        <v>5</v>
      </c>
      <c r="R48" s="47" t="s">
        <v>308</v>
      </c>
      <c r="S48" s="26" t="s">
        <v>308</v>
      </c>
      <c r="T48" s="20"/>
      <c r="U48" s="20"/>
      <c r="V48" s="20"/>
      <c r="W48" s="20"/>
      <c r="X48" s="46"/>
      <c r="Y48" s="20"/>
      <c r="Z48" s="20"/>
      <c r="AA48" s="20" t="s">
        <v>68</v>
      </c>
      <c r="AB48" s="20" t="str">
        <f>IF(ISBLANK(S48),"是","否")</f>
        <v>否</v>
      </c>
      <c r="AC48" s="20"/>
      <c r="AD48" s="25"/>
      <c r="AE48" s="25"/>
      <c r="AH48" s="20" t="s">
        <v>76</v>
      </c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</row>
    <row r="49" ht="39.879699248120296" customHeight="1" spans="1:57" x14ac:dyDescent="0.25">
      <c r="A49" s="25" t="s">
        <v>67</v>
      </c>
      <c r="B49" s="19" t="s">
        <v>282</v>
      </c>
      <c r="C49" s="20" t="s">
        <v>57</v>
      </c>
      <c r="D49" s="21"/>
      <c r="E49" s="22"/>
      <c r="F49" s="21" t="s">
        <v>309</v>
      </c>
      <c r="G49" s="29" t="s">
        <v>310</v>
      </c>
      <c r="H49" s="20" t="str">
        <f>SUBSTITUTE(SUBSTITUTE(SUBSTITUTE(S49,"/@","_"),"/cac:","_"),"/cbc:","_")</f>
        <v>Invoice_AccountingSupplierParty_Party_PostalAddress_PostalZone</v>
      </c>
      <c r="I49" s="20" t="str">
        <f>SUBSTITUTE(SUBSTITUTE(SUBSTITUTE(T49,"/@","_"),"/cac:","_"),"/cbc:","_")</f>
        <v/>
      </c>
      <c r="J49" s="19" t="s">
        <v>312</v>
      </c>
      <c r="K49" s="19" t="s">
        <v>313</v>
      </c>
      <c r="L49" s="20"/>
      <c r="M49" s="25" t="s">
        <v>228</v>
      </c>
      <c r="N49" s="27" t="s">
        <v>64</v>
      </c>
      <c r="O49" s="27" t="s">
        <v>64</v>
      </c>
      <c r="P49" s="27" t="s">
        <v>3016</v>
      </c>
      <c r="Q49" s="26" t="str">
        <f>IF(S49="","",LEN(S49)-LEN(SUBSTITUTE(S49,"/",""))+IF(ISNUMBER(SEARCH("@",S49)),0,1))</f>
        <v>5</v>
      </c>
      <c r="R49" s="42" t="s">
        <v>314</v>
      </c>
      <c r="S49" s="26" t="s">
        <v>314</v>
      </c>
      <c r="T49" s="20"/>
      <c r="U49" s="20"/>
      <c r="V49" s="20"/>
      <c r="W49" s="20" t="s">
        <v>315</v>
      </c>
      <c r="X49" s="46"/>
      <c r="Y49" s="20"/>
      <c r="Z49" s="20"/>
      <c r="AA49" s="20" t="s">
        <v>68</v>
      </c>
      <c r="AB49" s="20" t="str">
        <f>IF(ISBLANK(S49),"是","否")</f>
        <v>否</v>
      </c>
      <c r="AC49" s="20"/>
      <c r="AD49" s="25"/>
      <c r="AE49" s="25"/>
      <c r="AH49" s="20" t="s">
        <v>76</v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</row>
    <row r="50" ht="29.59398496240601" customHeight="1" spans="1:57" x14ac:dyDescent="0.25">
      <c r="A50" s="25" t="s">
        <v>67</v>
      </c>
      <c r="B50" s="19" t="s">
        <v>282</v>
      </c>
      <c r="C50" s="20" t="s">
        <v>57</v>
      </c>
      <c r="D50" s="21"/>
      <c r="E50" s="22"/>
      <c r="F50" s="21" t="s">
        <v>316</v>
      </c>
      <c r="G50" s="29" t="s">
        <v>317</v>
      </c>
      <c r="H50" s="20" t="str">
        <f>SUBSTITUTE(SUBSTITUTE(SUBSTITUTE(S50,"/@","_"),"/cac:","_"),"/cbc:","_")</f>
        <v>Invoice_AccountingSupplierParty_Party_PostalAddress_AddressLine</v>
      </c>
      <c r="I50" s="20" t="str">
        <f>SUBSTITUTE(SUBSTITUTE(SUBSTITUTE(T50,"/@","_"),"/cac:","_"),"/cbc:","_")</f>
        <v/>
      </c>
      <c r="J50" s="19"/>
      <c r="K50" s="19" t="s">
        <v>319</v>
      </c>
      <c r="L50" s="20"/>
      <c r="M50" s="25" t="s">
        <v>220</v>
      </c>
      <c r="N50" s="30" t="s">
        <v>64</v>
      </c>
      <c r="O50" s="27" t="s">
        <v>49</v>
      </c>
      <c r="P50" s="27" t="s">
        <v>3016</v>
      </c>
      <c r="Q50" s="26" t="str">
        <f>IF(S50="","",LEN(S50)-LEN(SUBSTITUTE(S50,"/",""))+IF(ISNUMBER(SEARCH("@",S50)),0,1))</f>
        <v>5</v>
      </c>
      <c r="R50" s="42" t="s">
        <v>320</v>
      </c>
      <c r="S50" s="26" t="s">
        <v>320</v>
      </c>
      <c r="T50" s="20"/>
      <c r="U50" s="20"/>
      <c r="V50" s="20"/>
      <c r="W50" s="20"/>
      <c r="X50" s="46"/>
      <c r="Y50" s="20"/>
      <c r="Z50" s="20"/>
      <c r="AA50" s="20" t="s">
        <v>222</v>
      </c>
      <c r="AB50" s="20" t="str">
        <f>IF(ISBLANK(S50),"是","否")</f>
        <v>否</v>
      </c>
      <c r="AC50" s="20"/>
      <c r="AD50" s="25"/>
      <c r="AE50" s="25"/>
      <c r="AH50" s="20" t="s">
        <v>76</v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</row>
    <row r="51" ht="39.879699248120296" customHeight="1" spans="1:57" x14ac:dyDescent="0.25">
      <c r="A51" s="25" t="s">
        <v>67</v>
      </c>
      <c r="B51" s="19" t="s">
        <v>316</v>
      </c>
      <c r="C51" s="20" t="s">
        <v>57</v>
      </c>
      <c r="D51" s="21"/>
      <c r="E51" s="22"/>
      <c r="F51" s="21" t="s">
        <v>321</v>
      </c>
      <c r="G51" s="29" t="s">
        <v>322</v>
      </c>
      <c r="H51" s="20" t="str">
        <f>SUBSTITUTE(SUBSTITUTE(SUBSTITUTE(S51,"/@","_"),"/cac:","_"),"/cbc:","_")</f>
        <v>Invoice_AccountingSupplierParty_Party_PostalAddress_AddressLine_Line</v>
      </c>
      <c r="I51" s="20" t="str">
        <f>SUBSTITUTE(SUBSTITUTE(SUBSTITUTE(T51,"/@","_"),"/cac:","_"),"/cbc:","_")</f>
        <v/>
      </c>
      <c r="J51" s="19"/>
      <c r="K51" s="19" t="s">
        <v>324</v>
      </c>
      <c r="L51" s="20"/>
      <c r="M51" s="25" t="s">
        <v>325</v>
      </c>
      <c r="N51" s="27" t="s">
        <v>49</v>
      </c>
      <c r="O51" s="27" t="s">
        <v>165</v>
      </c>
      <c r="P51" s="27" t="s">
        <v>3017</v>
      </c>
      <c r="Q51" s="26" t="str">
        <f>IF(S51="","",LEN(S51)-LEN(SUBSTITUTE(S51,"/",""))+IF(ISNUMBER(SEARCH("@",S51)),0,1))</f>
        <v>6</v>
      </c>
      <c r="R51" s="42" t="s">
        <v>326</v>
      </c>
      <c r="S51" s="26" t="s">
        <v>326</v>
      </c>
      <c r="T51" s="20"/>
      <c r="U51" s="20"/>
      <c r="V51" s="20"/>
      <c r="W51" s="20" t="s">
        <v>327</v>
      </c>
      <c r="X51" s="46"/>
      <c r="Y51" s="20"/>
      <c r="Z51" s="20"/>
      <c r="AA51" s="20" t="s">
        <v>68</v>
      </c>
      <c r="AB51" s="20" t="str">
        <f>IF(ISBLANK(S51),"是","否")</f>
        <v>否</v>
      </c>
      <c r="AC51" s="20"/>
      <c r="AD51" s="25"/>
      <c r="AE51" s="25"/>
      <c r="AH51" s="20" t="s">
        <v>76</v>
      </c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</row>
    <row r="52" ht="29.59398496240601" customHeight="1" spans="1:57" x14ac:dyDescent="0.25">
      <c r="A52" s="25" t="s">
        <v>67</v>
      </c>
      <c r="B52" s="19" t="s">
        <v>282</v>
      </c>
      <c r="C52" s="20" t="s">
        <v>57</v>
      </c>
      <c r="D52" s="21"/>
      <c r="E52" s="22"/>
      <c r="F52" s="21" t="s">
        <v>328</v>
      </c>
      <c r="G52" s="29" t="s">
        <v>329</v>
      </c>
      <c r="H52" s="20" t="str">
        <f>SUBSTITUTE(SUBSTITUTE(SUBSTITUTE(S52,"/@","_"),"/cac:","_"),"/cbc:","_")</f>
        <v>Invoice_AccountingSupplierParty_Party_PostalAddress_Country</v>
      </c>
      <c r="I52" s="20" t="str">
        <f>SUBSTITUTE(SUBSTITUTE(SUBSTITUTE(T52,"/@","_"),"/cac:","_"),"/cbc:","_")</f>
        <v/>
      </c>
      <c r="J52" s="19"/>
      <c r="K52" s="19" t="s">
        <v>331</v>
      </c>
      <c r="L52" s="20"/>
      <c r="M52" s="25" t="s">
        <v>220</v>
      </c>
      <c r="N52" s="27" t="s">
        <v>165</v>
      </c>
      <c r="O52" s="27" t="s">
        <v>64</v>
      </c>
      <c r="P52" s="27"/>
      <c r="Q52" s="26" t="str">
        <f>IF(S52="","",LEN(S52)-LEN(SUBSTITUTE(S52,"/",""))+IF(ISNUMBER(SEARCH("@",S52)),0,1))</f>
        <v>5</v>
      </c>
      <c r="R52" s="42" t="s">
        <v>332</v>
      </c>
      <c r="S52" s="26" t="s">
        <v>332</v>
      </c>
      <c r="T52" s="20"/>
      <c r="U52" s="20"/>
      <c r="V52" s="20"/>
      <c r="W52" s="20"/>
      <c r="X52" s="46"/>
      <c r="Y52" s="20"/>
      <c r="Z52" s="20"/>
      <c r="AA52" s="20" t="s">
        <v>222</v>
      </c>
      <c r="AB52" s="20" t="str">
        <f>IF(ISBLANK(S52),"是","否")</f>
        <v>否</v>
      </c>
      <c r="AC52" s="20"/>
      <c r="AD52" s="25"/>
      <c r="AE52" s="25"/>
      <c r="AH52" s="20" t="s">
        <v>76</v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</row>
    <row r="53" ht="39.879699248120296" customHeight="1" spans="1:57" x14ac:dyDescent="0.25">
      <c r="A53" s="25" t="s">
        <v>67</v>
      </c>
      <c r="B53" s="19" t="s">
        <v>328</v>
      </c>
      <c r="C53" s="20" t="s">
        <v>57</v>
      </c>
      <c r="D53" s="21"/>
      <c r="E53" s="22"/>
      <c r="F53" s="21" t="s">
        <v>333</v>
      </c>
      <c r="G53" s="29" t="s">
        <v>334</v>
      </c>
      <c r="H53" s="20" t="str">
        <f>SUBSTITUTE(SUBSTITUTE(SUBSTITUTE(S53,"/@","_"),"/cac:","_"),"/cbc:","_")</f>
        <v>Invoice_AccountingSupplierParty_Party_PostalAddress_Country_IdentificationCode</v>
      </c>
      <c r="I53" s="20" t="str">
        <f>SUBSTITUTE(SUBSTITUTE(SUBSTITUTE(T53,"/@","_"),"/cac:","_"),"/cbc:","_")</f>
        <v/>
      </c>
      <c r="J53" s="19"/>
      <c r="K53" s="19" t="s">
        <v>336</v>
      </c>
      <c r="L53" s="20"/>
      <c r="M53" s="25" t="s">
        <v>243</v>
      </c>
      <c r="N53" s="27" t="s">
        <v>165</v>
      </c>
      <c r="O53" s="27" t="s">
        <v>64</v>
      </c>
      <c r="P53" s="27" t="s">
        <v>3016</v>
      </c>
      <c r="Q53" s="26" t="str">
        <f>IF(S53="","",LEN(S53)-LEN(SUBSTITUTE(S53,"/",""))+IF(ISNUMBER(SEARCH("@",S53)),0,1))</f>
        <v>6</v>
      </c>
      <c r="R53" s="42" t="s">
        <v>337</v>
      </c>
      <c r="S53" s="26" t="s">
        <v>337</v>
      </c>
      <c r="T53" s="20"/>
      <c r="U53" s="20"/>
      <c r="V53" s="20"/>
      <c r="W53" s="20"/>
      <c r="X53" s="46"/>
      <c r="Y53" s="20"/>
      <c r="Z53" s="20"/>
      <c r="AA53" s="20" t="s">
        <v>68</v>
      </c>
      <c r="AB53" s="20" t="str">
        <f>IF(ISBLANK(S53),"是","否")</f>
        <v>否</v>
      </c>
      <c r="AC53" s="20"/>
      <c r="AD53" s="25"/>
      <c r="AE53" s="25"/>
      <c r="AH53" s="20" t="s">
        <v>76</v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</row>
    <row r="54" ht="29.59398496240601" customHeight="1" spans="1:57" x14ac:dyDescent="0.25">
      <c r="A54" s="25" t="s">
        <v>67</v>
      </c>
      <c r="B54" s="19" t="s">
        <v>328</v>
      </c>
      <c r="C54" s="20" t="s">
        <v>57</v>
      </c>
      <c r="D54" s="21"/>
      <c r="E54" s="22"/>
      <c r="F54" s="21" t="s">
        <v>338</v>
      </c>
      <c r="G54" s="29" t="s">
        <v>339</v>
      </c>
      <c r="H54" s="20" t="str">
        <f>SUBSTITUTE(SUBSTITUTE(SUBSTITUTE(S54,"/@","_"),"/cac:","_"),"/cbc:","_")</f>
        <v>Invoice_AccountingSupplierParty_Party_PostalAddress_Country_Name</v>
      </c>
      <c r="I54" s="20" t="str">
        <f>SUBSTITUTE(SUBSTITUTE(SUBSTITUTE(T54,"/@","_"),"/cac:","_"),"/cbc:","_")</f>
        <v/>
      </c>
      <c r="J54" s="19"/>
      <c r="K54" s="19" t="s">
        <v>341</v>
      </c>
      <c r="L54" s="20"/>
      <c r="M54" s="25" t="s">
        <v>228</v>
      </c>
      <c r="N54" s="27" t="s">
        <v>64</v>
      </c>
      <c r="O54" s="27" t="s">
        <v>64</v>
      </c>
      <c r="P54" s="27" t="s">
        <v>3016</v>
      </c>
      <c r="Q54" s="26" t="str">
        <f>IF(S54="","",LEN(S54)-LEN(SUBSTITUTE(S54,"/",""))+IF(ISNUMBER(SEARCH("@",S54)),0,1))</f>
        <v>6</v>
      </c>
      <c r="R54" s="42" t="s">
        <v>342</v>
      </c>
      <c r="S54" s="26" t="s">
        <v>342</v>
      </c>
      <c r="T54" s="20"/>
      <c r="U54" s="20"/>
      <c r="V54" s="20"/>
      <c r="W54" s="20" t="s">
        <v>343</v>
      </c>
      <c r="X54" s="46"/>
      <c r="Y54" s="20"/>
      <c r="Z54" s="20"/>
      <c r="AA54" s="20" t="s">
        <v>68</v>
      </c>
      <c r="AB54" s="20" t="str">
        <f>IF(ISBLANK(S54),"是","否")</f>
        <v>否</v>
      </c>
      <c r="AC54" s="20"/>
      <c r="AD54" s="25"/>
      <c r="AE54" s="25"/>
      <c r="AH54" s="20" t="s">
        <v>76</v>
      </c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</row>
    <row r="55" ht="29.59398496240601" customHeight="1" spans="1:57" x14ac:dyDescent="0.25">
      <c r="A55" s="25" t="s">
        <v>67</v>
      </c>
      <c r="B55" s="19" t="s">
        <v>230</v>
      </c>
      <c r="C55" s="20" t="s">
        <v>57</v>
      </c>
      <c r="D55" s="21"/>
      <c r="E55" s="22"/>
      <c r="F55" s="21" t="s">
        <v>344</v>
      </c>
      <c r="G55" s="29" t="s">
        <v>345</v>
      </c>
      <c r="H55" s="20" t="str">
        <f>SUBSTITUTE(SUBSTITUTE(SUBSTITUTE(S55,"/@","_"),"/cac:","_"),"/cbc:","_")</f>
        <v>Invoice_AccountingSupplierParty_Party_PartyTaxScheme</v>
      </c>
      <c r="I55" s="20" t="str">
        <f>SUBSTITUTE(SUBSTITUTE(SUBSTITUTE(T55,"/@","_"),"/cac:","_"),"/cbc:","_")</f>
        <v/>
      </c>
      <c r="J55" s="19"/>
      <c r="K55" s="19" t="s">
        <v>347</v>
      </c>
      <c r="L55" s="20"/>
      <c r="M55" s="25" t="s">
        <v>220</v>
      </c>
      <c r="N55" s="27" t="s">
        <v>165</v>
      </c>
      <c r="O55" s="27" t="s">
        <v>49</v>
      </c>
      <c r="P55" s="27" t="s">
        <v>3015</v>
      </c>
      <c r="Q55" s="26" t="str">
        <f>IF(S55="","",LEN(S55)-LEN(SUBSTITUTE(S55,"/",""))+IF(ISNUMBER(SEARCH("@",S55)),0,1))</f>
        <v>4</v>
      </c>
      <c r="R55" s="42" t="s">
        <v>348</v>
      </c>
      <c r="S55" s="26" t="s">
        <v>348</v>
      </c>
      <c r="T55" s="20"/>
      <c r="U55" s="20"/>
      <c r="V55" s="20"/>
      <c r="W55" s="20"/>
      <c r="X55" s="46"/>
      <c r="Y55" s="20"/>
      <c r="Z55" s="20"/>
      <c r="AA55" s="20" t="s">
        <v>222</v>
      </c>
      <c r="AB55" s="20" t="str">
        <f>IF(ISBLANK(S55),"是","否")</f>
        <v>否</v>
      </c>
      <c r="AC55" s="20"/>
      <c r="AD55" s="25"/>
      <c r="AE55" s="25"/>
      <c r="AH55" s="20" t="s">
        <v>76</v>
      </c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</row>
    <row r="56" ht="60.45112781954887" customHeight="1" spans="1:57" x14ac:dyDescent="0.25">
      <c r="A56" s="25" t="s">
        <v>67</v>
      </c>
      <c r="B56" s="19" t="s">
        <v>349</v>
      </c>
      <c r="C56" s="20" t="s">
        <v>57</v>
      </c>
      <c r="D56" s="21"/>
      <c r="E56" s="22"/>
      <c r="F56" s="21" t="s">
        <v>349</v>
      </c>
      <c r="G56" s="29" t="s">
        <v>350</v>
      </c>
      <c r="H56" s="20" t="str">
        <f>SUBSTITUTE(SUBSTITUTE(SUBSTITUTE(S56,"/@","_"),"/cac:","_"),"/cbc:","_")</f>
        <v>Invoice_AccountingSupplierParty_Party_PartyTaxScheme_TaxScheme_ID</v>
      </c>
      <c r="I56" s="20" t="str">
        <f>SUBSTITUTE(SUBSTITUTE(SUBSTITUTE(T56,"/@","_"),"/cac:","_"),"/cbc:","_")</f>
        <v/>
      </c>
      <c r="J56" s="19"/>
      <c r="K56" s="19" t="s">
        <v>351</v>
      </c>
      <c r="L56" s="20"/>
      <c r="M56" s="25" t="s">
        <v>243</v>
      </c>
      <c r="N56" s="27" t="s">
        <v>165</v>
      </c>
      <c r="O56" s="27" t="s">
        <v>64</v>
      </c>
      <c r="P56" s="27" t="s">
        <v>3016</v>
      </c>
      <c r="Q56" s="26" t="str">
        <f>IF(S56="","",LEN(S56)-LEN(SUBSTITUTE(S56,"/",""))+IF(ISNUMBER(SEARCH("@",S56)),0,1))</f>
        <v>6</v>
      </c>
      <c r="R56" s="42" t="s">
        <v>352</v>
      </c>
      <c r="S56" s="26" t="s">
        <v>352</v>
      </c>
      <c r="T56" s="20"/>
      <c r="U56" s="20"/>
      <c r="V56" s="20"/>
      <c r="W56" s="20" t="s">
        <v>353</v>
      </c>
      <c r="X56" s="46"/>
      <c r="Y56" s="20"/>
      <c r="Z56" s="20"/>
      <c r="AA56" s="20" t="s">
        <v>68</v>
      </c>
      <c r="AB56" s="20" t="str">
        <f>IF(ISBLANK(S56),"是","否")</f>
        <v>否</v>
      </c>
      <c r="AC56" s="20"/>
      <c r="AD56" s="25"/>
      <c r="AE56" s="25"/>
      <c r="AH56" s="20" t="s">
        <v>76</v>
      </c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</row>
    <row r="57" ht="29.59398496240601" customHeight="1" spans="1:57" x14ac:dyDescent="0.25">
      <c r="A57" s="25" t="s">
        <v>67</v>
      </c>
      <c r="B57" s="19" t="s">
        <v>344</v>
      </c>
      <c r="C57" s="20" t="s">
        <v>57</v>
      </c>
      <c r="D57" s="21"/>
      <c r="E57" s="22"/>
      <c r="F57" s="21" t="s">
        <v>354</v>
      </c>
      <c r="G57" s="29" t="s">
        <v>355</v>
      </c>
      <c r="H57" s="20" t="str">
        <f>SUBSTITUTE(SUBSTITUTE(SUBSTITUTE(S57,"/@","_"),"/cac:","_"),"/cbc:","_")</f>
        <v>Invoice_AccountingSupplierParty_Party_PartyTaxScheme_CompanyID</v>
      </c>
      <c r="I57" s="20" t="str">
        <f>SUBSTITUTE(SUBSTITUTE(SUBSTITUTE(T57,"/@","_"),"/cac:","_"),"/cbc:","_")</f>
        <v/>
      </c>
      <c r="J57" s="19" t="s">
        <v>357</v>
      </c>
      <c r="K57" s="19" t="s">
        <v>358</v>
      </c>
      <c r="L57" s="20"/>
      <c r="M57" s="25" t="s">
        <v>228</v>
      </c>
      <c r="N57" s="27" t="s">
        <v>165</v>
      </c>
      <c r="O57" s="27" t="s">
        <v>64</v>
      </c>
      <c r="P57" s="27" t="s">
        <v>3016</v>
      </c>
      <c r="Q57" s="26" t="str">
        <f>IF(S57="","",LEN(S57)-LEN(SUBSTITUTE(S57,"/",""))+IF(ISNUMBER(SEARCH("@",S57)),0,1))</f>
        <v>5</v>
      </c>
      <c r="R57" s="42" t="s">
        <v>359</v>
      </c>
      <c r="S57" s="26" t="s">
        <v>359</v>
      </c>
      <c r="T57" s="20"/>
      <c r="U57" s="20"/>
      <c r="V57" s="20"/>
      <c r="W57" s="20" t="s">
        <v>360</v>
      </c>
      <c r="X57" s="46"/>
      <c r="Y57" s="20"/>
      <c r="Z57" s="20"/>
      <c r="AA57" s="20" t="s">
        <v>68</v>
      </c>
      <c r="AB57" s="20" t="str">
        <f>IF(ISBLANK(S57),"是","否")</f>
        <v>否</v>
      </c>
      <c r="AC57" s="20"/>
      <c r="AD57" s="25"/>
      <c r="AE57" s="25"/>
      <c r="AH57" s="20" t="s">
        <v>76</v>
      </c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</row>
    <row r="58" ht="29.59398496240601" customHeight="1" spans="1:57" x14ac:dyDescent="0.25">
      <c r="A58" s="25" t="s">
        <v>67</v>
      </c>
      <c r="B58" s="19" t="s">
        <v>230</v>
      </c>
      <c r="C58" s="20" t="s">
        <v>57</v>
      </c>
      <c r="D58" s="21"/>
      <c r="E58" s="22"/>
      <c r="F58" s="21" t="s">
        <v>361</v>
      </c>
      <c r="G58" s="29" t="s">
        <v>362</v>
      </c>
      <c r="H58" s="20" t="str">
        <f>SUBSTITUTE(SUBSTITUTE(SUBSTITUTE(S58,"/@","_"),"/cac:","_"),"/cbc:","_")</f>
        <v>Invoice_AccountingSupplierParty_Party_PartyLegalEntity</v>
      </c>
      <c r="I58" s="20" t="str">
        <f>SUBSTITUTE(SUBSTITUTE(SUBSTITUTE(T58,"/@","_"),"/cac:","_"),"/cbc:","_")</f>
        <v/>
      </c>
      <c r="J58" s="19"/>
      <c r="K58" s="19" t="s">
        <v>364</v>
      </c>
      <c r="L58" s="20"/>
      <c r="M58" s="25" t="s">
        <v>220</v>
      </c>
      <c r="N58" s="27" t="s">
        <v>165</v>
      </c>
      <c r="O58" s="27" t="s">
        <v>49</v>
      </c>
      <c r="P58" s="27" t="s">
        <v>3015</v>
      </c>
      <c r="Q58" s="26" t="str">
        <f>IF(S58="","",LEN(S58)-LEN(SUBSTITUTE(S58,"/",""))+IF(ISNUMBER(SEARCH("@",S58)),0,1))</f>
        <v>4</v>
      </c>
      <c r="R58" s="42" t="s">
        <v>365</v>
      </c>
      <c r="S58" s="26" t="s">
        <v>365</v>
      </c>
      <c r="T58" s="20"/>
      <c r="U58" s="20"/>
      <c r="V58" s="20"/>
      <c r="W58" s="20"/>
      <c r="X58" s="46"/>
      <c r="Y58" s="20"/>
      <c r="Z58" s="20"/>
      <c r="AA58" s="20" t="s">
        <v>222</v>
      </c>
      <c r="AB58" s="20" t="str">
        <f>IF(ISBLANK(S58),"是","否")</f>
        <v>否</v>
      </c>
      <c r="AC58" s="20"/>
      <c r="AD58" s="25"/>
      <c r="AE58" s="25"/>
      <c r="AH58" s="20" t="s">
        <v>76</v>
      </c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</row>
    <row r="59" ht="39.879699248120296" customHeight="1" spans="1:57" x14ac:dyDescent="0.25">
      <c r="A59" s="25" t="s">
        <v>67</v>
      </c>
      <c r="B59" s="19" t="s">
        <v>366</v>
      </c>
      <c r="C59" s="20" t="s">
        <v>57</v>
      </c>
      <c r="D59" s="21"/>
      <c r="E59" s="22"/>
      <c r="F59" s="21" t="s">
        <v>367</v>
      </c>
      <c r="G59" s="29" t="s">
        <v>368</v>
      </c>
      <c r="H59" s="20" t="str">
        <f>SUBSTITUTE(SUBSTITUTE(SUBSTITUTE(S59,"/@","_"),"/cac:","_"),"/cbc:","_")</f>
        <v>Invoice_AccountingSupplierParty_Party_PartyLegalEntity_RegistrationName</v>
      </c>
      <c r="I59" s="20" t="str">
        <f>SUBSTITUTE(SUBSTITUTE(SUBSTITUTE(T59,"/@","_"),"/cac:","_"),"/cbc:","_")</f>
        <v/>
      </c>
      <c r="J59" s="19"/>
      <c r="K59" s="19" t="s">
        <v>369</v>
      </c>
      <c r="L59" s="20"/>
      <c r="M59" s="25" t="s">
        <v>228</v>
      </c>
      <c r="N59" s="27" t="s">
        <v>165</v>
      </c>
      <c r="O59" s="27" t="s">
        <v>64</v>
      </c>
      <c r="P59" s="27" t="s">
        <v>3016</v>
      </c>
      <c r="Q59" s="26" t="str">
        <f>IF(S59="","",LEN(S59)-LEN(SUBSTITUTE(S59,"/",""))+IF(ISNUMBER(SEARCH("@",S59)),0,1))</f>
        <v>5</v>
      </c>
      <c r="R59" s="42" t="s">
        <v>370</v>
      </c>
      <c r="S59" s="26" t="s">
        <v>370</v>
      </c>
      <c r="T59" s="20"/>
      <c r="U59" s="20"/>
      <c r="V59" s="20"/>
      <c r="W59" s="20" t="s">
        <v>371</v>
      </c>
      <c r="X59" s="46"/>
      <c r="Y59" s="20"/>
      <c r="Z59" s="20"/>
      <c r="AA59" s="20" t="s">
        <v>68</v>
      </c>
      <c r="AB59" s="20" t="str">
        <f>IF(ISBLANK(S59),"是","否")</f>
        <v>否</v>
      </c>
      <c r="AC59" s="20"/>
      <c r="AD59" s="25"/>
      <c r="AE59" s="25"/>
      <c r="AH59" s="20" t="s">
        <v>76</v>
      </c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</row>
    <row r="60" ht="50.16541353383458" customHeight="1" spans="1:57" x14ac:dyDescent="0.25">
      <c r="A60" s="25" t="s">
        <v>67</v>
      </c>
      <c r="B60" s="19" t="s">
        <v>366</v>
      </c>
      <c r="C60" s="20" t="s">
        <v>57</v>
      </c>
      <c r="D60" s="21"/>
      <c r="E60" s="22"/>
      <c r="F60" s="21" t="s">
        <v>354</v>
      </c>
      <c r="G60" s="29" t="s">
        <v>372</v>
      </c>
      <c r="H60" s="20" t="str">
        <f>SUBSTITUTE(SUBSTITUTE(SUBSTITUTE(S60,"/@","_"),"/cac:","_"),"/cbc:","_")</f>
        <v>Invoice_AccountingSupplierParty_Party_PartyLegalEntity_CompanyID</v>
      </c>
      <c r="I60" s="20" t="str">
        <f>SUBSTITUTE(SUBSTITUTE(SUBSTITUTE(T60,"/@","_"),"/cac:","_"),"/cbc:","_")</f>
        <v/>
      </c>
      <c r="J60" s="19" t="s">
        <v>373</v>
      </c>
      <c r="K60" s="19" t="s">
        <v>374</v>
      </c>
      <c r="L60" s="20"/>
      <c r="M60" s="25" t="s">
        <v>228</v>
      </c>
      <c r="N60" s="27" t="s">
        <v>165</v>
      </c>
      <c r="O60" s="27" t="s">
        <v>64</v>
      </c>
      <c r="P60" s="27" t="s">
        <v>3016</v>
      </c>
      <c r="Q60" s="26" t="str">
        <f>IF(S60="","",LEN(S60)-LEN(SUBSTITUTE(S60,"/",""))+IF(ISNUMBER(SEARCH("@",S60)),0,1))</f>
        <v>5</v>
      </c>
      <c r="R60" s="42" t="s">
        <v>375</v>
      </c>
      <c r="S60" s="26" t="s">
        <v>375</v>
      </c>
      <c r="T60" s="20"/>
      <c r="U60" s="20"/>
      <c r="V60" s="20"/>
      <c r="W60" s="20" t="s">
        <v>360</v>
      </c>
      <c r="X60" s="46"/>
      <c r="Y60" s="20"/>
      <c r="Z60" s="20"/>
      <c r="AA60" s="20" t="s">
        <v>68</v>
      </c>
      <c r="AB60" s="20" t="str">
        <f>IF(ISBLANK(S60),"是","否")</f>
        <v>否</v>
      </c>
      <c r="AC60" s="20"/>
      <c r="AD60" s="25"/>
      <c r="AE60" s="25"/>
      <c r="AH60" s="20" t="s">
        <v>76</v>
      </c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</row>
    <row r="61" ht="50.16541353383458" customHeight="1" spans="1:57" x14ac:dyDescent="0.25">
      <c r="A61" s="25" t="s">
        <v>67</v>
      </c>
      <c r="B61" s="19" t="s">
        <v>366</v>
      </c>
      <c r="C61" s="20" t="s">
        <v>57</v>
      </c>
      <c r="D61" s="21"/>
      <c r="E61" s="22"/>
      <c r="F61" s="21" t="s">
        <v>376</v>
      </c>
      <c r="G61" s="29" t="s">
        <v>377</v>
      </c>
      <c r="H61" s="20" t="str">
        <f>SUBSTITUTE(SUBSTITUTE(SUBSTITUTE(S61,"/@","_"),"/cac:","_"),"/cbc:","_")</f>
        <v>Invoice_AccountingSupplierParty_Party_PartyLegalEntity_CompanyID_schemeID</v>
      </c>
      <c r="I61" s="20" t="str">
        <f>SUBSTITUTE(SUBSTITUTE(SUBSTITUTE(T61,"/@","_"),"/cac:","_"),"/cbc:","_")</f>
        <v/>
      </c>
      <c r="J61" s="19" t="s">
        <v>373</v>
      </c>
      <c r="K61" s="19" t="s">
        <v>374</v>
      </c>
      <c r="L61" s="20"/>
      <c r="M61" s="25" t="s">
        <v>243</v>
      </c>
      <c r="N61" s="27" t="s">
        <v>64</v>
      </c>
      <c r="O61" s="27" t="s">
        <v>64</v>
      </c>
      <c r="P61" s="27" t="s">
        <v>3016</v>
      </c>
      <c r="Q61" s="26" t="str">
        <f>IF(S61="","",LEN(S61)-LEN(SUBSTITUTE(S61,"/",""))+IF(ISNUMBER(SEARCH("@",S61)),0,1))</f>
        <v>5</v>
      </c>
      <c r="R61" s="42" t="s">
        <v>378</v>
      </c>
      <c r="S61" s="26" t="s">
        <v>378</v>
      </c>
      <c r="T61" s="20"/>
      <c r="U61" s="20"/>
      <c r="V61" s="20"/>
      <c r="W61" s="20" t="s">
        <v>360</v>
      </c>
      <c r="X61" s="46"/>
      <c r="Y61" s="20"/>
      <c r="Z61" s="20"/>
      <c r="AA61" s="20" t="s">
        <v>68</v>
      </c>
      <c r="AB61" s="20" t="str">
        <f>IF(ISBLANK(S61),"是","否")</f>
        <v>否</v>
      </c>
      <c r="AC61" s="20"/>
      <c r="AD61" s="25"/>
      <c r="AE61" s="25"/>
      <c r="AH61" s="20" t="s">
        <v>76</v>
      </c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 ht="39.879699248120296" customHeight="1" spans="1:57" x14ac:dyDescent="0.25">
      <c r="A62" s="25" t="s">
        <v>67</v>
      </c>
      <c r="B62" s="19" t="s">
        <v>366</v>
      </c>
      <c r="C62" s="20" t="s">
        <v>57</v>
      </c>
      <c r="D62" s="21"/>
      <c r="E62" s="22"/>
      <c r="F62" s="21" t="s">
        <v>379</v>
      </c>
      <c r="G62" s="29" t="s">
        <v>380</v>
      </c>
      <c r="H62" s="20" t="str">
        <f>SUBSTITUTE(SUBSTITUTE(SUBSTITUTE(S62,"/@","_"),"/cac:","_"),"/cbc:","_")</f>
        <v>Invoice_AccountingSupplierParty_Party_PartyLegalEntity_CompanyLegalForm</v>
      </c>
      <c r="I62" s="20" t="str">
        <f>SUBSTITUTE(SUBSTITUTE(SUBSTITUTE(T62,"/@","_"),"/cac:","_"),"/cbc:","_")</f>
        <v/>
      </c>
      <c r="J62" s="19"/>
      <c r="K62" s="19" t="s">
        <v>382</v>
      </c>
      <c r="L62" s="20"/>
      <c r="M62" s="25" t="s">
        <v>228</v>
      </c>
      <c r="N62" s="27" t="s">
        <v>64</v>
      </c>
      <c r="O62" s="27" t="s">
        <v>64</v>
      </c>
      <c r="P62" s="27" t="s">
        <v>3016</v>
      </c>
      <c r="Q62" s="26" t="str">
        <f>IF(S62="","",LEN(S62)-LEN(SUBSTITUTE(S62,"/",""))+IF(ISNUMBER(SEARCH("@",S62)),0,1))</f>
        <v>5</v>
      </c>
      <c r="R62" s="42" t="s">
        <v>383</v>
      </c>
      <c r="S62" s="26" t="s">
        <v>383</v>
      </c>
      <c r="T62" s="20"/>
      <c r="U62" s="20"/>
      <c r="V62" s="20"/>
      <c r="W62" s="20"/>
      <c r="X62" s="46"/>
      <c r="Y62" s="20"/>
      <c r="Z62" s="20"/>
      <c r="AA62" s="20" t="s">
        <v>68</v>
      </c>
      <c r="AB62" s="20" t="str">
        <f>IF(ISBLANK(S62),"是","否")</f>
        <v>否</v>
      </c>
      <c r="AC62" s="20"/>
      <c r="AD62" s="25"/>
      <c r="AE62" s="25"/>
      <c r="AH62" s="20" t="s">
        <v>76</v>
      </c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</row>
    <row r="63" ht="29.59398496240601" customHeight="1" spans="1:57" x14ac:dyDescent="0.25">
      <c r="A63" s="25" t="s">
        <v>67</v>
      </c>
      <c r="B63" s="19" t="s">
        <v>230</v>
      </c>
      <c r="C63" s="20" t="s">
        <v>57</v>
      </c>
      <c r="D63" s="21"/>
      <c r="E63" s="22"/>
      <c r="F63" s="21" t="s">
        <v>384</v>
      </c>
      <c r="G63" s="29" t="s">
        <v>385</v>
      </c>
      <c r="H63" s="20" t="str">
        <f>SUBSTITUTE(SUBSTITUTE(SUBSTITUTE(S63,"/@","_"),"/cac:","_"),"/cbc:","_")</f>
        <v>Invoice_AccountingSupplierParty_Party_Contact</v>
      </c>
      <c r="I63" s="20" t="str">
        <f>SUBSTITUTE(SUBSTITUTE(SUBSTITUTE(T63,"/@","_"),"/cac:","_"),"/cbc:","_")</f>
        <v/>
      </c>
      <c r="J63" s="19"/>
      <c r="K63" s="19" t="s">
        <v>387</v>
      </c>
      <c r="L63" s="20"/>
      <c r="M63" s="25" t="s">
        <v>220</v>
      </c>
      <c r="N63" s="27" t="s">
        <v>64</v>
      </c>
      <c r="O63" s="27" t="s">
        <v>64</v>
      </c>
      <c r="P63" s="27" t="s">
        <v>3015</v>
      </c>
      <c r="Q63" s="26" t="str">
        <f>IF(S63="","",LEN(S63)-LEN(SUBSTITUTE(S63,"/",""))+IF(ISNUMBER(SEARCH("@",S63)),0,1))</f>
        <v>4</v>
      </c>
      <c r="R63" s="42" t="s">
        <v>388</v>
      </c>
      <c r="S63" s="26" t="s">
        <v>388</v>
      </c>
      <c r="T63" s="20"/>
      <c r="U63" s="20"/>
      <c r="V63" s="20"/>
      <c r="W63" s="20"/>
      <c r="X63" s="46"/>
      <c r="Y63" s="20"/>
      <c r="Z63" s="20"/>
      <c r="AA63" s="20" t="s">
        <v>222</v>
      </c>
      <c r="AB63" s="20" t="str">
        <f>IF(ISBLANK(S63),"是","否")</f>
        <v>否</v>
      </c>
      <c r="AC63" s="20"/>
      <c r="AD63" s="25"/>
      <c r="AE63" s="25"/>
      <c r="AH63" s="20" t="s">
        <v>76</v>
      </c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</row>
    <row r="64" ht="39.879699248120296" customHeight="1" spans="1:57" x14ac:dyDescent="0.25">
      <c r="A64" s="25" t="s">
        <v>67</v>
      </c>
      <c r="B64" s="19" t="s">
        <v>175</v>
      </c>
      <c r="C64" s="20" t="s">
        <v>57</v>
      </c>
      <c r="D64" s="21"/>
      <c r="E64" s="22"/>
      <c r="F64" s="21" t="s">
        <v>273</v>
      </c>
      <c r="G64" s="29" t="s">
        <v>389</v>
      </c>
      <c r="H64" s="20" t="str">
        <f>SUBSTITUTE(SUBSTITUTE(SUBSTITUTE(S64,"/@","_"),"/cac:","_"),"/cbc:","_")</f>
        <v>Invoice_AccountingSupplierParty_Party_Contact_Name</v>
      </c>
      <c r="I64" s="20" t="str">
        <f>SUBSTITUTE(SUBSTITUTE(SUBSTITUTE(T64,"/@","_"),"/cac:","_"),"/cbc:","_")</f>
        <v/>
      </c>
      <c r="J64" s="19"/>
      <c r="K64" s="19" t="s">
        <v>178</v>
      </c>
      <c r="L64" s="20"/>
      <c r="M64" s="25" t="s">
        <v>228</v>
      </c>
      <c r="N64" s="27" t="s">
        <v>64</v>
      </c>
      <c r="O64" s="27" t="s">
        <v>64</v>
      </c>
      <c r="P64" s="27" t="s">
        <v>3016</v>
      </c>
      <c r="Q64" s="26" t="str">
        <f>IF(S64="","",LEN(S64)-LEN(SUBSTITUTE(S64,"/",""))+IF(ISNUMBER(SEARCH("@",S64)),0,1))</f>
        <v>5</v>
      </c>
      <c r="R64" s="42" t="s">
        <v>391</v>
      </c>
      <c r="S64" s="26" t="s">
        <v>391</v>
      </c>
      <c r="T64" s="20"/>
      <c r="U64" s="20"/>
      <c r="V64" s="20"/>
      <c r="W64" s="20" t="s">
        <v>181</v>
      </c>
      <c r="X64" s="46"/>
      <c r="Y64" s="20"/>
      <c r="Z64" s="20"/>
      <c r="AA64" s="20" t="s">
        <v>68</v>
      </c>
      <c r="AB64" s="20" t="str">
        <f>IF(ISBLANK(S64),"是","否")</f>
        <v>否</v>
      </c>
      <c r="AC64" s="20"/>
      <c r="AD64" s="25"/>
      <c r="AE64" s="25"/>
      <c r="AH64" s="20" t="s">
        <v>76</v>
      </c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</row>
    <row r="65" ht="29.59398496240601" customHeight="1" spans="1:57" x14ac:dyDescent="0.25">
      <c r="A65" s="25" t="s">
        <v>67</v>
      </c>
      <c r="B65" s="19" t="s">
        <v>175</v>
      </c>
      <c r="C65" s="20" t="s">
        <v>57</v>
      </c>
      <c r="D65" s="21"/>
      <c r="E65" s="22"/>
      <c r="F65" s="21" t="s">
        <v>392</v>
      </c>
      <c r="G65" s="29" t="s">
        <v>393</v>
      </c>
      <c r="H65" s="20" t="str">
        <f>SUBSTITUTE(SUBSTITUTE(SUBSTITUTE(S65,"/@","_"),"/cac:","_"),"/cbc:","_")</f>
        <v>Invoice_AccountingSupplierParty_Party_Contact_Telephone</v>
      </c>
      <c r="I65" s="20" t="str">
        <f>SUBSTITUTE(SUBSTITUTE(SUBSTITUTE(T65,"/@","_"),"/cac:","_"),"/cbc:","_")</f>
        <v/>
      </c>
      <c r="J65" s="19"/>
      <c r="K65" s="19" t="s">
        <v>395</v>
      </c>
      <c r="L65" s="20"/>
      <c r="M65" s="25" t="s">
        <v>228</v>
      </c>
      <c r="N65" s="27" t="s">
        <v>64</v>
      </c>
      <c r="O65" s="27" t="s">
        <v>64</v>
      </c>
      <c r="P65" s="27" t="s">
        <v>3016</v>
      </c>
      <c r="Q65" s="26" t="str">
        <f>IF(S65="","",LEN(S65)-LEN(SUBSTITUTE(S65,"/",""))+IF(ISNUMBER(SEARCH("@",S65)),0,1))</f>
        <v>5</v>
      </c>
      <c r="R65" s="42" t="s">
        <v>396</v>
      </c>
      <c r="S65" s="26" t="s">
        <v>396</v>
      </c>
      <c r="T65" s="20"/>
      <c r="U65" s="20"/>
      <c r="V65" s="20"/>
      <c r="W65" s="20"/>
      <c r="X65" s="46"/>
      <c r="Y65" s="20"/>
      <c r="Z65" s="20"/>
      <c r="AA65" s="20" t="s">
        <v>68</v>
      </c>
      <c r="AB65" s="20" t="str">
        <f>IF(ISBLANK(S65),"是","否")</f>
        <v>否</v>
      </c>
      <c r="AC65" s="20"/>
      <c r="AD65" s="25"/>
      <c r="AE65" s="25"/>
      <c r="AH65" s="20" t="s">
        <v>76</v>
      </c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</row>
    <row r="66" ht="29.59398496240601" customHeight="1" spans="1:57" x14ac:dyDescent="0.25">
      <c r="A66" s="25" t="s">
        <v>67</v>
      </c>
      <c r="B66" s="19" t="s">
        <v>175</v>
      </c>
      <c r="C66" s="20" t="s">
        <v>57</v>
      </c>
      <c r="D66" s="21"/>
      <c r="E66" s="22"/>
      <c r="F66" s="21" t="s">
        <v>397</v>
      </c>
      <c r="G66" s="29" t="s">
        <v>398</v>
      </c>
      <c r="H66" s="20" t="str">
        <f>SUBSTITUTE(SUBSTITUTE(SUBSTITUTE(S66,"/@","_"),"/cac:","_"),"/cbc:","_")</f>
        <v>Invoice_AccountingSupplierParty_Party_Contact_ElectronicMail</v>
      </c>
      <c r="I66" s="20" t="str">
        <f>SUBSTITUTE(SUBSTITUTE(SUBSTITUTE(T66,"/@","_"),"/cac:","_"),"/cbc:","_")</f>
        <v/>
      </c>
      <c r="J66" s="19"/>
      <c r="K66" s="19" t="s">
        <v>400</v>
      </c>
      <c r="L66" s="20"/>
      <c r="M66" s="25" t="s">
        <v>228</v>
      </c>
      <c r="N66" s="27" t="s">
        <v>64</v>
      </c>
      <c r="O66" s="27" t="s">
        <v>64</v>
      </c>
      <c r="P66" s="27" t="s">
        <v>3016</v>
      </c>
      <c r="Q66" s="26" t="str">
        <f>IF(S66="","",LEN(S66)-LEN(SUBSTITUTE(S66,"/",""))+IF(ISNUMBER(SEARCH("@",S66)),0,1))</f>
        <v>5</v>
      </c>
      <c r="R66" s="42" t="s">
        <v>401</v>
      </c>
      <c r="S66" s="26" t="s">
        <v>401</v>
      </c>
      <c r="T66" s="20"/>
      <c r="U66" s="20"/>
      <c r="V66" s="20"/>
      <c r="W66" s="20"/>
      <c r="X66" s="46"/>
      <c r="Y66" s="20"/>
      <c r="Z66" s="20"/>
      <c r="AA66" s="20" t="s">
        <v>68</v>
      </c>
      <c r="AB66" s="20" t="str">
        <f>IF(ISBLANK(S66),"是","否")</f>
        <v>否</v>
      </c>
      <c r="AC66" s="20"/>
      <c r="AD66" s="25"/>
      <c r="AE66" s="25"/>
      <c r="AH66" s="20" t="s">
        <v>76</v>
      </c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</row>
    <row r="67" ht="29.59398496240601" customHeight="1" spans="1:57" x14ac:dyDescent="0.25">
      <c r="A67" s="25" t="s">
        <v>67</v>
      </c>
      <c r="B67" s="19" t="s">
        <v>230</v>
      </c>
      <c r="C67" s="20" t="s">
        <v>57</v>
      </c>
      <c r="D67" s="21"/>
      <c r="E67" s="22"/>
      <c r="F67" s="21" t="s">
        <v>402</v>
      </c>
      <c r="G67" s="29" t="s">
        <v>403</v>
      </c>
      <c r="H67" s="20" t="str">
        <f>SUBSTITUTE(SUBSTITUTE(SUBSTITUTE(S67,"/@","_"),"/cac:","_"),"/cbc:","_")</f>
        <v>Invoice_AccountingSupplierParty_Party_Person</v>
      </c>
      <c r="I67" s="20" t="str">
        <f>SUBSTITUTE(SUBSTITUTE(SUBSTITUTE(T67,"/@","_"),"/cac:","_"),"/cbc:","_")</f>
        <v/>
      </c>
      <c r="J67" s="19"/>
      <c r="K67" s="19" t="s">
        <v>405</v>
      </c>
      <c r="L67" s="20"/>
      <c r="M67" s="25" t="s">
        <v>220</v>
      </c>
      <c r="N67" s="27" t="s">
        <v>49</v>
      </c>
      <c r="O67" s="27" t="s">
        <v>49</v>
      </c>
      <c r="P67" s="27" t="s">
        <v>3015</v>
      </c>
      <c r="Q67" s="26" t="str">
        <f>IF(S67="","",LEN(S67)-LEN(SUBSTITUTE(S67,"/",""))+IF(ISNUMBER(SEARCH("@",S67)),0,1))</f>
        <v>4</v>
      </c>
      <c r="R67" s="42" t="s">
        <v>406</v>
      </c>
      <c r="S67" s="26" t="s">
        <v>406</v>
      </c>
      <c r="T67" s="20"/>
      <c r="U67" s="20"/>
      <c r="V67" s="20"/>
      <c r="W67" s="20"/>
      <c r="X67" s="46"/>
      <c r="Y67" s="20"/>
      <c r="Z67" s="20"/>
      <c r="AA67" s="20" t="s">
        <v>222</v>
      </c>
      <c r="AB67" s="20" t="str">
        <f>IF(ISBLANK(S67),"是","否")</f>
        <v>否</v>
      </c>
      <c r="AC67" s="20"/>
      <c r="AD67" s="25"/>
      <c r="AE67" s="25"/>
      <c r="AH67" s="20" t="s">
        <v>76</v>
      </c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</row>
    <row r="68" ht="29.59398496240601" customHeight="1" spans="1:57" x14ac:dyDescent="0.25">
      <c r="A68" s="25" t="s">
        <v>67</v>
      </c>
      <c r="B68" s="19" t="s">
        <v>402</v>
      </c>
      <c r="C68" s="20" t="s">
        <v>57</v>
      </c>
      <c r="D68" s="21"/>
      <c r="E68" s="22"/>
      <c r="F68" s="21" t="s">
        <v>407</v>
      </c>
      <c r="G68" s="29" t="s">
        <v>408</v>
      </c>
      <c r="H68" s="20" t="str">
        <f>SUBSTITUTE(SUBSTITUTE(SUBSTITUTE(S68,"/@","_"),"/cac:","_"),"/cbc:","_")</f>
        <v>Invoice_AccountingSupplierParty_Party_Person_FirstName</v>
      </c>
      <c r="I68" s="20" t="str">
        <f>SUBSTITUTE(SUBSTITUTE(SUBSTITUTE(T68,"/@","_"),"/cac:","_"),"/cbc:","_")</f>
        <v/>
      </c>
      <c r="J68" s="19"/>
      <c r="K68" s="19" t="s">
        <v>410</v>
      </c>
      <c r="L68" s="20"/>
      <c r="M68" s="25" t="s">
        <v>228</v>
      </c>
      <c r="N68" s="27" t="s">
        <v>64</v>
      </c>
      <c r="O68" s="27" t="s">
        <v>64</v>
      </c>
      <c r="P68" s="27" t="s">
        <v>3016</v>
      </c>
      <c r="Q68" s="26" t="str">
        <f>IF(S68="","",LEN(S68)-LEN(SUBSTITUTE(S68,"/",""))+IF(ISNUMBER(SEARCH("@",S68)),0,1))</f>
        <v>5</v>
      </c>
      <c r="R68" s="42" t="s">
        <v>411</v>
      </c>
      <c r="S68" s="26" t="s">
        <v>411</v>
      </c>
      <c r="T68" s="20"/>
      <c r="U68" s="20"/>
      <c r="V68" s="20"/>
      <c r="W68" s="20"/>
      <c r="X68" s="46"/>
      <c r="Y68" s="20"/>
      <c r="Z68" s="20"/>
      <c r="AA68" s="20" t="s">
        <v>68</v>
      </c>
      <c r="AB68" s="20" t="str">
        <f>IF(ISBLANK(S68),"是","否")</f>
        <v>否</v>
      </c>
      <c r="AC68" s="20"/>
      <c r="AD68" s="25"/>
      <c r="AE68" s="25"/>
      <c r="AH68" s="20" t="s">
        <v>76</v>
      </c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</row>
    <row r="69" ht="29.59398496240601" customHeight="1" spans="1:57" x14ac:dyDescent="0.25">
      <c r="A69" s="25" t="s">
        <v>67</v>
      </c>
      <c r="B69" s="19" t="s">
        <v>402</v>
      </c>
      <c r="C69" s="20" t="s">
        <v>57</v>
      </c>
      <c r="D69" s="21"/>
      <c r="E69" s="22"/>
      <c r="F69" s="21" t="s">
        <v>412</v>
      </c>
      <c r="G69" s="29" t="s">
        <v>413</v>
      </c>
      <c r="H69" s="20" t="str">
        <f>SUBSTITUTE(SUBSTITUTE(SUBSTITUTE(S69,"/@","_"),"/cac:","_"),"/cbc:","_")</f>
        <v>Invoice_AccountingSupplierParty_Party_Person_FamilyName</v>
      </c>
      <c r="I69" s="20" t="str">
        <f>SUBSTITUTE(SUBSTITUTE(SUBSTITUTE(T69,"/@","_"),"/cac:","_"),"/cbc:","_")</f>
        <v/>
      </c>
      <c r="J69" s="19"/>
      <c r="K69" s="19" t="s">
        <v>415</v>
      </c>
      <c r="L69" s="20"/>
      <c r="M69" s="25" t="s">
        <v>228</v>
      </c>
      <c r="N69" s="27" t="s">
        <v>64</v>
      </c>
      <c r="O69" s="27" t="s">
        <v>64</v>
      </c>
      <c r="P69" s="27" t="s">
        <v>3016</v>
      </c>
      <c r="Q69" s="26" t="str">
        <f>IF(S69="","",LEN(S69)-LEN(SUBSTITUTE(S69,"/",""))+IF(ISNUMBER(SEARCH("@",S69)),0,1))</f>
        <v>5</v>
      </c>
      <c r="R69" s="42" t="s">
        <v>416</v>
      </c>
      <c r="S69" s="26" t="s">
        <v>416</v>
      </c>
      <c r="T69" s="20"/>
      <c r="U69" s="20"/>
      <c r="V69" s="20"/>
      <c r="W69" s="20"/>
      <c r="X69" s="46"/>
      <c r="Y69" s="20"/>
      <c r="Z69" s="20"/>
      <c r="AA69" s="20" t="s">
        <v>68</v>
      </c>
      <c r="AB69" s="20" t="str">
        <f>IF(ISBLANK(S69),"是","否")</f>
        <v>否</v>
      </c>
      <c r="AC69" s="20"/>
      <c r="AD69" s="25"/>
      <c r="AE69" s="25"/>
      <c r="AH69" s="20" t="s">
        <v>76</v>
      </c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</row>
    <row r="70" ht="29.59398496240601" customHeight="1" spans="1:57" x14ac:dyDescent="0.25">
      <c r="A70" s="25" t="s">
        <v>67</v>
      </c>
      <c r="B70" s="19" t="s">
        <v>223</v>
      </c>
      <c r="C70" s="20" t="s">
        <v>57</v>
      </c>
      <c r="D70" s="21"/>
      <c r="E70" s="22"/>
      <c r="F70" s="21" t="s">
        <v>417</v>
      </c>
      <c r="G70" s="29" t="s">
        <v>418</v>
      </c>
      <c r="H70" s="20" t="str">
        <f>SUBSTITUTE(SUBSTITUTE(SUBSTITUTE(S70,"/@","_"),"/cac:","_"),"/cbc:","_")</f>
        <v>Invoice_AccountingSupplierParty_AccountingContact</v>
      </c>
      <c r="I70" s="20" t="str">
        <f>SUBSTITUTE(SUBSTITUTE(SUBSTITUTE(T70,"/@","_"),"/cac:","_"),"/cbc:","_")</f>
        <v/>
      </c>
      <c r="J70" s="19"/>
      <c r="K70" s="19" t="s">
        <v>420</v>
      </c>
      <c r="L70" s="20"/>
      <c r="M70" s="25" t="s">
        <v>220</v>
      </c>
      <c r="N70" s="27" t="s">
        <v>64</v>
      </c>
      <c r="O70" s="27" t="s">
        <v>64</v>
      </c>
      <c r="P70" s="27" t="s">
        <v>3015</v>
      </c>
      <c r="Q70" s="26" t="str">
        <f>IF(S70="","",LEN(S70)-LEN(SUBSTITUTE(S70,"/",""))+IF(ISNUMBER(SEARCH("@",S70)),0,1))</f>
        <v>3</v>
      </c>
      <c r="R70" s="48" t="s">
        <v>421</v>
      </c>
      <c r="S70" s="26" t="s">
        <v>421</v>
      </c>
      <c r="T70" s="20"/>
      <c r="U70" s="20"/>
      <c r="V70" s="20"/>
      <c r="W70" s="20"/>
      <c r="X70" s="46"/>
      <c r="Y70" s="20"/>
      <c r="Z70" s="20"/>
      <c r="AA70" s="20" t="s">
        <v>222</v>
      </c>
      <c r="AB70" s="20" t="str">
        <f>IF(ISBLANK(S70),"是","否")</f>
        <v>否</v>
      </c>
      <c r="AC70" s="20"/>
      <c r="AD70" s="25"/>
      <c r="AE70" s="25"/>
      <c r="AH70" s="20" t="s">
        <v>76</v>
      </c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</row>
    <row r="71" ht="29.59398496240601" customHeight="1" spans="1:57" x14ac:dyDescent="0.25">
      <c r="A71" s="25" t="s">
        <v>67</v>
      </c>
      <c r="B71" s="19" t="s">
        <v>175</v>
      </c>
      <c r="C71" s="20" t="s">
        <v>57</v>
      </c>
      <c r="D71" s="21"/>
      <c r="E71" s="22"/>
      <c r="F71" s="21" t="s">
        <v>273</v>
      </c>
      <c r="G71" s="29" t="s">
        <v>422</v>
      </c>
      <c r="H71" s="20" t="str">
        <f>SUBSTITUTE(SUBSTITUTE(SUBSTITUTE(S71,"/@","_"),"/cac:","_"),"/cbc:","_")</f>
        <v>Invoice_AccountingSupplierParty_AccountingContact_Name</v>
      </c>
      <c r="I71" s="20" t="str">
        <f>SUBSTITUTE(SUBSTITUTE(SUBSTITUTE(T71,"/@","_"),"/cac:","_"),"/cbc:","_")</f>
        <v/>
      </c>
      <c r="J71" s="19"/>
      <c r="K71" s="19" t="s">
        <v>424</v>
      </c>
      <c r="L71" s="20"/>
      <c r="M71" s="25" t="s">
        <v>228</v>
      </c>
      <c r="N71" s="27" t="s">
        <v>64</v>
      </c>
      <c r="O71" s="27" t="s">
        <v>64</v>
      </c>
      <c r="P71" s="27" t="s">
        <v>3016</v>
      </c>
      <c r="Q71" s="26" t="str">
        <f>IF(S71="","",LEN(S71)-LEN(SUBSTITUTE(S71,"/",""))+IF(ISNUMBER(SEARCH("@",S71)),0,1))</f>
        <v>4</v>
      </c>
      <c r="R71" s="48" t="s">
        <v>425</v>
      </c>
      <c r="S71" s="26" t="s">
        <v>425</v>
      </c>
      <c r="T71" s="20"/>
      <c r="U71" s="20"/>
      <c r="V71" s="20"/>
      <c r="W71" s="20" t="s">
        <v>181</v>
      </c>
      <c r="X71" s="46"/>
      <c r="Y71" s="20"/>
      <c r="Z71" s="20"/>
      <c r="AA71" s="20" t="s">
        <v>68</v>
      </c>
      <c r="AB71" s="20" t="str">
        <f>IF(ISBLANK(S71),"是","否")</f>
        <v>否</v>
      </c>
      <c r="AC71" s="20"/>
      <c r="AD71" s="25"/>
      <c r="AE71" s="25"/>
      <c r="AH71" s="20" t="s">
        <v>76</v>
      </c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</row>
    <row r="72" ht="29.59398496240601" customHeight="1" spans="1:57" x14ac:dyDescent="0.25">
      <c r="A72" s="25" t="s">
        <v>67</v>
      </c>
      <c r="B72" s="19" t="s">
        <v>175</v>
      </c>
      <c r="C72" s="20" t="s">
        <v>57</v>
      </c>
      <c r="D72" s="21"/>
      <c r="E72" s="22"/>
      <c r="F72" s="21" t="s">
        <v>392</v>
      </c>
      <c r="G72" s="29" t="s">
        <v>426</v>
      </c>
      <c r="H72" s="20" t="str">
        <f>SUBSTITUTE(SUBSTITUTE(SUBSTITUTE(S72,"/@","_"),"/cac:","_"),"/cbc:","_")</f>
        <v>Invoice_AccountingSupplierParty_AccountingContact_Telephone</v>
      </c>
      <c r="I72" s="20" t="str">
        <f>SUBSTITUTE(SUBSTITUTE(SUBSTITUTE(T72,"/@","_"),"/cac:","_"),"/cbc:","_")</f>
        <v/>
      </c>
      <c r="J72" s="19"/>
      <c r="K72" s="19" t="s">
        <v>395</v>
      </c>
      <c r="L72" s="20"/>
      <c r="M72" s="25" t="s">
        <v>228</v>
      </c>
      <c r="N72" s="27" t="s">
        <v>64</v>
      </c>
      <c r="O72" s="27" t="s">
        <v>64</v>
      </c>
      <c r="P72" s="27" t="s">
        <v>3016</v>
      </c>
      <c r="Q72" s="26" t="str">
        <f>IF(S72="","",LEN(S72)-LEN(SUBSTITUTE(S72,"/",""))+IF(ISNUMBER(SEARCH("@",S72)),0,1))</f>
        <v>4</v>
      </c>
      <c r="R72" s="48" t="s">
        <v>428</v>
      </c>
      <c r="S72" s="26" t="s">
        <v>428</v>
      </c>
      <c r="T72" s="20"/>
      <c r="U72" s="20"/>
      <c r="V72" s="20"/>
      <c r="W72" s="20"/>
      <c r="X72" s="46"/>
      <c r="Y72" s="20"/>
      <c r="Z72" s="20"/>
      <c r="AA72" s="20" t="s">
        <v>68</v>
      </c>
      <c r="AB72" s="20" t="str">
        <f>IF(ISBLANK(S72),"是","否")</f>
        <v>否</v>
      </c>
      <c r="AC72" s="20"/>
      <c r="AD72" s="25"/>
      <c r="AE72" s="25"/>
      <c r="AH72" s="20" t="s">
        <v>76</v>
      </c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</row>
    <row r="73" ht="29.59398496240601" customHeight="1" spans="1:57" x14ac:dyDescent="0.25">
      <c r="A73" s="25" t="s">
        <v>67</v>
      </c>
      <c r="B73" s="19" t="s">
        <v>175</v>
      </c>
      <c r="C73" s="20" t="s">
        <v>57</v>
      </c>
      <c r="D73" s="21"/>
      <c r="E73" s="22"/>
      <c r="F73" s="21" t="s">
        <v>429</v>
      </c>
      <c r="G73" s="29" t="s">
        <v>430</v>
      </c>
      <c r="H73" s="20" t="str">
        <f>SUBSTITUTE(SUBSTITUTE(SUBSTITUTE(S73,"/@","_"),"/cac:","_"),"/cbc:","_")</f>
        <v>Invoice_AccountingSupplierParty_AccountingContact_Telefax</v>
      </c>
      <c r="I73" s="20" t="str">
        <f>SUBSTITUTE(SUBSTITUTE(SUBSTITUTE(T73,"/@","_"),"/cac:","_"),"/cbc:","_")</f>
        <v/>
      </c>
      <c r="J73" s="19"/>
      <c r="K73" s="19" t="s">
        <v>432</v>
      </c>
      <c r="L73" s="20"/>
      <c r="M73" s="25" t="s">
        <v>228</v>
      </c>
      <c r="N73" s="27" t="s">
        <v>64</v>
      </c>
      <c r="O73" s="27" t="s">
        <v>64</v>
      </c>
      <c r="P73" s="27" t="s">
        <v>3016</v>
      </c>
      <c r="Q73" s="26" t="str">
        <f>IF(S73="","",LEN(S73)-LEN(SUBSTITUTE(S73,"/",""))+IF(ISNUMBER(SEARCH("@",S73)),0,1))</f>
        <v>4</v>
      </c>
      <c r="R73" s="48" t="s">
        <v>433</v>
      </c>
      <c r="S73" s="26" t="s">
        <v>433</v>
      </c>
      <c r="T73" s="20"/>
      <c r="U73" s="20"/>
      <c r="V73" s="20"/>
      <c r="W73" s="20"/>
      <c r="X73" s="46"/>
      <c r="Y73" s="20"/>
      <c r="Z73" s="20"/>
      <c r="AA73" s="20" t="s">
        <v>68</v>
      </c>
      <c r="AB73" s="20" t="str">
        <f>IF(ISBLANK(S73),"是","否")</f>
        <v>否</v>
      </c>
      <c r="AC73" s="20"/>
      <c r="AD73" s="25"/>
      <c r="AE73" s="25"/>
      <c r="AH73" s="20" t="s">
        <v>76</v>
      </c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</row>
    <row r="74" ht="29.59398496240601" customHeight="1" spans="1:57" x14ac:dyDescent="0.25">
      <c r="A74" s="25" t="s">
        <v>67</v>
      </c>
      <c r="B74" s="19" t="s">
        <v>175</v>
      </c>
      <c r="C74" s="20" t="s">
        <v>57</v>
      </c>
      <c r="D74" s="21"/>
      <c r="E74" s="22"/>
      <c r="F74" s="21" t="s">
        <v>397</v>
      </c>
      <c r="G74" s="29" t="s">
        <v>434</v>
      </c>
      <c r="H74" s="20" t="str">
        <f>SUBSTITUTE(SUBSTITUTE(SUBSTITUTE(S74,"/@","_"),"/cac:","_"),"/cbc:","_")</f>
        <v>Invoice_AccountingSupplierParty_AccountingContact_ElectronicMail</v>
      </c>
      <c r="I74" s="20" t="str">
        <f>SUBSTITUTE(SUBSTITUTE(SUBSTITUTE(T74,"/@","_"),"/cac:","_"),"/cbc:","_")</f>
        <v/>
      </c>
      <c r="J74" s="19"/>
      <c r="K74" s="19" t="s">
        <v>400</v>
      </c>
      <c r="L74" s="20"/>
      <c r="M74" s="25" t="s">
        <v>228</v>
      </c>
      <c r="N74" s="27" t="s">
        <v>64</v>
      </c>
      <c r="O74" s="27" t="s">
        <v>64</v>
      </c>
      <c r="P74" s="27" t="s">
        <v>3016</v>
      </c>
      <c r="Q74" s="26" t="str">
        <f>IF(S74="","",LEN(S74)-LEN(SUBSTITUTE(S74,"/",""))+IF(ISNUMBER(SEARCH("@",S74)),0,1))</f>
        <v>4</v>
      </c>
      <c r="R74" s="48" t="s">
        <v>436</v>
      </c>
      <c r="S74" s="26" t="s">
        <v>436</v>
      </c>
      <c r="T74" s="20"/>
      <c r="U74" s="20"/>
      <c r="V74" s="20"/>
      <c r="W74" s="20"/>
      <c r="X74" s="46"/>
      <c r="Y74" s="20"/>
      <c r="Z74" s="20"/>
      <c r="AA74" s="20" t="s">
        <v>68</v>
      </c>
      <c r="AB74" s="20" t="str">
        <f>IF(ISBLANK(S74),"是","否")</f>
        <v>否</v>
      </c>
      <c r="AC74" s="20"/>
      <c r="AD74" s="25"/>
      <c r="AE74" s="25"/>
      <c r="AH74" s="20" t="s">
        <v>76</v>
      </c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</row>
    <row r="75" ht="29.59398496240601" customHeight="1" spans="1:57" x14ac:dyDescent="0.25">
      <c r="A75" s="25" t="s">
        <v>67</v>
      </c>
      <c r="B75" s="19" t="s">
        <v>41</v>
      </c>
      <c r="C75" s="20" t="s">
        <v>57</v>
      </c>
      <c r="D75" s="21"/>
      <c r="E75" s="22"/>
      <c r="F75" s="21" t="s">
        <v>437</v>
      </c>
      <c r="G75" s="29" t="s">
        <v>438</v>
      </c>
      <c r="H75" s="20" t="str">
        <f>SUBSTITUTE(SUBSTITUTE(SUBSTITUTE(S75,"/@","_"),"/cac:","_"),"/cbc:","_")</f>
        <v>Invoice_AccountingCustomerParty</v>
      </c>
      <c r="I75" s="20" t="str">
        <f>SUBSTITUTE(SUBSTITUTE(SUBSTITUTE(T75,"/@","_"),"/cac:","_"),"/cbc:","_")</f>
        <v/>
      </c>
      <c r="J75" s="19"/>
      <c r="K75" s="19" t="s">
        <v>440</v>
      </c>
      <c r="L75" s="20"/>
      <c r="M75" s="25" t="s">
        <v>220</v>
      </c>
      <c r="N75" s="27" t="s">
        <v>165</v>
      </c>
      <c r="O75" s="27" t="s">
        <v>165</v>
      </c>
      <c r="P75" s="27" t="s">
        <v>3014</v>
      </c>
      <c r="Q75" s="26" t="str">
        <f>IF(S75="","",LEN(S75)-LEN(SUBSTITUTE(S75,"/",""))+IF(ISNUMBER(SEARCH("@",S75)),0,1))</f>
        <v>2</v>
      </c>
      <c r="R75" s="42" t="s">
        <v>441</v>
      </c>
      <c r="S75" s="26" t="s">
        <v>441</v>
      </c>
      <c r="T75" s="20"/>
      <c r="U75" s="20"/>
      <c r="V75" s="20"/>
      <c r="W75" s="20"/>
      <c r="X75" s="46"/>
      <c r="Y75" s="20"/>
      <c r="Z75" s="20"/>
      <c r="AA75" s="20" t="s">
        <v>222</v>
      </c>
      <c r="AB75" s="20" t="str">
        <f>IF(ISBLANK(S75),"是","否")</f>
        <v>否</v>
      </c>
      <c r="AC75" s="20"/>
      <c r="AD75" s="25"/>
      <c r="AE75" s="25"/>
      <c r="AH75" s="20" t="s">
        <v>76</v>
      </c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</row>
    <row r="76" ht="29.59398496240601" customHeight="1" spans="1:57" x14ac:dyDescent="0.25">
      <c r="A76" s="25" t="s">
        <v>67</v>
      </c>
      <c r="B76" s="19" t="s">
        <v>442</v>
      </c>
      <c r="C76" s="20" t="s">
        <v>57</v>
      </c>
      <c r="D76" s="21"/>
      <c r="E76" s="22"/>
      <c r="F76" s="21" t="s">
        <v>443</v>
      </c>
      <c r="G76" s="29" t="s">
        <v>444</v>
      </c>
      <c r="H76" s="20" t="str">
        <f>SUBSTITUTE(SUBSTITUTE(SUBSTITUTE(S76,"/@","_"),"/cac:","_"),"/cbc:","_")</f>
        <v>Invoice_AccountingCustomerParty_SupplierAssignedAccountID</v>
      </c>
      <c r="I76" s="20" t="str">
        <f>SUBSTITUTE(SUBSTITUTE(SUBSTITUTE(T76,"/@","_"),"/cac:","_"),"/cbc:","_")</f>
        <v/>
      </c>
      <c r="J76" s="19"/>
      <c r="K76" s="19" t="s">
        <v>446</v>
      </c>
      <c r="L76" s="20"/>
      <c r="M76" s="25" t="s">
        <v>228</v>
      </c>
      <c r="N76" s="27" t="s">
        <v>64</v>
      </c>
      <c r="O76" s="27" t="s">
        <v>64</v>
      </c>
      <c r="P76" s="27" t="s">
        <v>50</v>
      </c>
      <c r="Q76" s="26" t="str">
        <f>IF(S76="","",LEN(S76)-LEN(SUBSTITUTE(S76,"/",""))+IF(ISNUMBER(SEARCH("@",S76)),0,1))</f>
        <v>3</v>
      </c>
      <c r="R76" s="42" t="s">
        <v>447</v>
      </c>
      <c r="S76" s="26" t="s">
        <v>447</v>
      </c>
      <c r="T76" s="20"/>
      <c r="U76" s="20"/>
      <c r="V76" s="20"/>
      <c r="W76" s="20"/>
      <c r="X76" s="46"/>
      <c r="Y76" s="20"/>
      <c r="Z76" s="20"/>
      <c r="AA76" s="20" t="s">
        <v>68</v>
      </c>
      <c r="AB76" s="20" t="str">
        <f>IF(ISBLANK(S76),"是","否")</f>
        <v>否</v>
      </c>
      <c r="AC76" s="20"/>
      <c r="AD76" s="25"/>
      <c r="AE76" s="25"/>
      <c r="AH76" s="20" t="s">
        <v>76</v>
      </c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</row>
    <row r="77" ht="29.59398496240601" customHeight="1" spans="1:57" x14ac:dyDescent="0.25">
      <c r="A77" s="25" t="s">
        <v>67</v>
      </c>
      <c r="B77" s="19" t="s">
        <v>442</v>
      </c>
      <c r="C77" s="20" t="s">
        <v>57</v>
      </c>
      <c r="D77" s="21"/>
      <c r="E77" s="22"/>
      <c r="F77" s="21" t="s">
        <v>230</v>
      </c>
      <c r="G77" s="29" t="s">
        <v>448</v>
      </c>
      <c r="H77" s="20" t="str">
        <f>SUBSTITUTE(SUBSTITUTE(SUBSTITUTE(S77,"/@","_"),"/cac:","_"),"/cbc:","_")</f>
        <v>Invoice_AccountingCustomerParty_Party</v>
      </c>
      <c r="I77" s="20" t="str">
        <f>SUBSTITUTE(SUBSTITUTE(SUBSTITUTE(T77,"/@","_"),"/cac:","_"),"/cbc:","_")</f>
        <v/>
      </c>
      <c r="J77" s="19"/>
      <c r="K77" s="19" t="s">
        <v>450</v>
      </c>
      <c r="L77" s="20"/>
      <c r="M77" s="25" t="s">
        <v>220</v>
      </c>
      <c r="N77" s="27" t="s">
        <v>64</v>
      </c>
      <c r="O77" s="27" t="s">
        <v>64</v>
      </c>
      <c r="P77" s="27" t="s">
        <v>50</v>
      </c>
      <c r="Q77" s="26" t="str">
        <f>IF(S77="","",LEN(S77)-LEN(SUBSTITUTE(S77,"/",""))+IF(ISNUMBER(SEARCH("@",S77)),0,1))</f>
        <v>3</v>
      </c>
      <c r="R77" s="42" t="s">
        <v>451</v>
      </c>
      <c r="S77" s="26" t="s">
        <v>451</v>
      </c>
      <c r="T77" s="20"/>
      <c r="U77" s="20"/>
      <c r="V77" s="20"/>
      <c r="W77" s="20"/>
      <c r="X77" s="46"/>
      <c r="Y77" s="20"/>
      <c r="Z77" s="20"/>
      <c r="AA77" s="20" t="s">
        <v>222</v>
      </c>
      <c r="AB77" s="20" t="str">
        <f>IF(ISBLANK(S77),"是","否")</f>
        <v>否</v>
      </c>
      <c r="AC77" s="20"/>
      <c r="AD77" s="25"/>
      <c r="AE77" s="25"/>
      <c r="AH77" s="20" t="s">
        <v>76</v>
      </c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</row>
    <row r="78" ht="29.59398496240601" customHeight="1" spans="1:57" x14ac:dyDescent="0.25">
      <c r="A78" s="25" t="s">
        <v>67</v>
      </c>
      <c r="B78" s="19" t="s">
        <v>230</v>
      </c>
      <c r="C78" s="20" t="s">
        <v>57</v>
      </c>
      <c r="D78" s="21"/>
      <c r="E78" s="22"/>
      <c r="F78" s="21" t="s">
        <v>235</v>
      </c>
      <c r="G78" s="29" t="s">
        <v>452</v>
      </c>
      <c r="H78" s="20" t="str">
        <f>SUBSTITUTE(SUBSTITUTE(SUBSTITUTE(S78,"/@","_"),"/cac:","_"),"/cbc:","_")</f>
        <v>Invoice_AccountingCustomerParty_Party_EndpointID</v>
      </c>
      <c r="I78" s="20" t="str">
        <f>SUBSTITUTE(SUBSTITUTE(SUBSTITUTE(T78,"/@","_"),"/cac:","_"),"/cbc:","_")</f>
        <v/>
      </c>
      <c r="J78" s="19" t="s">
        <v>454</v>
      </c>
      <c r="K78" s="19" t="s">
        <v>238</v>
      </c>
      <c r="L78" s="20"/>
      <c r="M78" s="25" t="s">
        <v>228</v>
      </c>
      <c r="N78" s="27" t="s">
        <v>64</v>
      </c>
      <c r="O78" s="27" t="s">
        <v>64</v>
      </c>
      <c r="P78" s="27" t="s">
        <v>3015</v>
      </c>
      <c r="Q78" s="26" t="str">
        <f>IF(S78="","",LEN(S78)-LEN(SUBSTITUTE(S78,"/",""))+IF(ISNUMBER(SEARCH("@",S78)),0,1))</f>
        <v>4</v>
      </c>
      <c r="R78" s="42" t="s">
        <v>455</v>
      </c>
      <c r="S78" s="26" t="s">
        <v>455</v>
      </c>
      <c r="T78" s="20"/>
      <c r="U78" s="20"/>
      <c r="V78" s="20"/>
      <c r="W78" s="20" t="s">
        <v>456</v>
      </c>
      <c r="X78" s="46"/>
      <c r="Y78" s="20"/>
      <c r="Z78" s="20"/>
      <c r="AA78" s="20" t="s">
        <v>68</v>
      </c>
      <c r="AB78" s="20" t="str">
        <f>IF(ISBLANK(S78),"是","否")</f>
        <v>否</v>
      </c>
      <c r="AC78" s="20"/>
      <c r="AD78" s="25"/>
      <c r="AE78" s="25"/>
      <c r="AH78" s="20" t="s">
        <v>76</v>
      </c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</row>
    <row r="79" ht="29.59398496240601" customHeight="1" spans="1:57" x14ac:dyDescent="0.25">
      <c r="A79" s="25" t="s">
        <v>67</v>
      </c>
      <c r="B79" s="19" t="s">
        <v>230</v>
      </c>
      <c r="C79" s="20" t="s">
        <v>57</v>
      </c>
      <c r="D79" s="21"/>
      <c r="E79" s="22"/>
      <c r="F79" s="21" t="s">
        <v>241</v>
      </c>
      <c r="G79" s="29" t="s">
        <v>457</v>
      </c>
      <c r="H79" s="20" t="str">
        <f>SUBSTITUTE(SUBSTITUTE(SUBSTITUTE(S79,"/@","_"),"/cac:","_"),"/cbc:","_")</f>
        <v>Invoice_AccountingCustomerParty_Party_EndpointID_schemeID</v>
      </c>
      <c r="I79" s="20" t="str">
        <f>SUBSTITUTE(SUBSTITUTE(SUBSTITUTE(T79,"/@","_"),"/cac:","_"),"/cbc:","_")</f>
        <v/>
      </c>
      <c r="J79" s="19" t="s">
        <v>454</v>
      </c>
      <c r="K79" s="19" t="s">
        <v>238</v>
      </c>
      <c r="L79" s="20"/>
      <c r="M79" s="25" t="s">
        <v>243</v>
      </c>
      <c r="N79" s="27" t="s">
        <v>64</v>
      </c>
      <c r="O79" s="27" t="s">
        <v>64</v>
      </c>
      <c r="P79" s="27" t="s">
        <v>3015</v>
      </c>
      <c r="Q79" s="26" t="str">
        <f>IF(S79="","",LEN(S79)-LEN(SUBSTITUTE(S79,"/",""))+IF(ISNUMBER(SEARCH("@",S79)),0,1))</f>
        <v>4</v>
      </c>
      <c r="R79" s="42" t="s">
        <v>458</v>
      </c>
      <c r="S79" s="26" t="s">
        <v>458</v>
      </c>
      <c r="T79" s="20"/>
      <c r="U79" s="20"/>
      <c r="V79" s="20"/>
      <c r="W79" s="20" t="s">
        <v>456</v>
      </c>
      <c r="X79" s="46"/>
      <c r="Y79" s="20"/>
      <c r="Z79" s="20"/>
      <c r="AA79" s="20" t="s">
        <v>68</v>
      </c>
      <c r="AB79" s="20" t="str">
        <f>IF(ISBLANK(S79),"是","否")</f>
        <v>否</v>
      </c>
      <c r="AC79" s="20"/>
      <c r="AD79" s="25"/>
      <c r="AE79" s="25"/>
      <c r="AH79" s="20" t="s">
        <v>76</v>
      </c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</row>
    <row r="80" ht="29.59398496240601" customHeight="1" spans="1:57" x14ac:dyDescent="0.25">
      <c r="A80" s="25" t="s">
        <v>67</v>
      </c>
      <c r="B80" s="19" t="s">
        <v>230</v>
      </c>
      <c r="C80" s="20" t="s">
        <v>57</v>
      </c>
      <c r="D80" s="21"/>
      <c r="E80" s="22"/>
      <c r="F80" s="21" t="s">
        <v>255</v>
      </c>
      <c r="G80" s="29" t="s">
        <v>459</v>
      </c>
      <c r="H80" s="20" t="str">
        <f>SUBSTITUTE(SUBSTITUTE(SUBSTITUTE(S80,"/@","_"),"/cac:","_"),"/cbc:","_")</f>
        <v>Invoice_AccountingCustomerParty_Party_PartyIdentification</v>
      </c>
      <c r="I80" s="20" t="str">
        <f>SUBSTITUTE(SUBSTITUTE(SUBSTITUTE(T80,"/@","_"),"/cac:","_"),"/cbc:","_")</f>
        <v/>
      </c>
      <c r="J80" s="19"/>
      <c r="K80" s="19" t="s">
        <v>263</v>
      </c>
      <c r="L80" s="20"/>
      <c r="M80" s="25" t="s">
        <v>220</v>
      </c>
      <c r="N80" s="27" t="s">
        <v>64</v>
      </c>
      <c r="O80" s="27" t="s">
        <v>49</v>
      </c>
      <c r="P80" s="27"/>
      <c r="Q80" s="26" t="str">
        <f>IF(S80="","",LEN(S80)-LEN(SUBSTITUTE(S80,"/",""))+IF(ISNUMBER(SEARCH("@",S80)),0,1))</f>
        <v>4</v>
      </c>
      <c r="R80" s="42" t="s">
        <v>461</v>
      </c>
      <c r="S80" s="26" t="s">
        <v>461</v>
      </c>
      <c r="T80" s="20"/>
      <c r="U80" s="20"/>
      <c r="V80" s="20"/>
      <c r="W80" s="20"/>
      <c r="X80" s="46"/>
      <c r="Y80" s="20"/>
      <c r="Z80" s="20"/>
      <c r="AA80" s="20" t="s">
        <v>222</v>
      </c>
      <c r="AB80" s="20" t="str">
        <f>IF(ISBLANK(S80),"是","否")</f>
        <v>否</v>
      </c>
      <c r="AC80" s="20"/>
      <c r="AD80" s="25"/>
      <c r="AE80" s="25"/>
      <c r="AH80" s="20" t="s">
        <v>76</v>
      </c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</row>
    <row r="81" ht="29.59398496240601" customHeight="1" spans="1:57" x14ac:dyDescent="0.25">
      <c r="A81" s="25" t="s">
        <v>67</v>
      </c>
      <c r="B81" s="19" t="s">
        <v>255</v>
      </c>
      <c r="C81" s="20" t="s">
        <v>57</v>
      </c>
      <c r="D81" s="21"/>
      <c r="E81" s="22"/>
      <c r="F81" s="21" t="s">
        <v>260</v>
      </c>
      <c r="G81" s="29" t="s">
        <v>462</v>
      </c>
      <c r="H81" s="20" t="str">
        <f>SUBSTITUTE(SUBSTITUTE(SUBSTITUTE(S81,"/@","_"),"/cac:","_"),"/cbc:","_")</f>
        <v>Invoice_AccountingCustomerParty_Party_PartyIdentification_ID</v>
      </c>
      <c r="I81" s="20" t="str">
        <f>SUBSTITUTE(SUBSTITUTE(SUBSTITUTE(T81,"/@","_"),"/cac:","_"),"/cbc:","_")</f>
        <v/>
      </c>
      <c r="J81" s="19"/>
      <c r="K81" s="19" t="s">
        <v>263</v>
      </c>
      <c r="L81" s="20"/>
      <c r="M81" s="25" t="s">
        <v>228</v>
      </c>
      <c r="N81" s="27" t="s">
        <v>64</v>
      </c>
      <c r="O81" s="27" t="s">
        <v>165</v>
      </c>
      <c r="P81" s="27" t="s">
        <v>3015</v>
      </c>
      <c r="Q81" s="26" t="str">
        <f>IF(S81="","",LEN(S81)-LEN(SUBSTITUTE(S81,"/",""))+IF(ISNUMBER(SEARCH("@",S81)),0,1))</f>
        <v>5</v>
      </c>
      <c r="R81" s="42" t="s">
        <v>463</v>
      </c>
      <c r="S81" s="26" t="s">
        <v>463</v>
      </c>
      <c r="T81" s="20"/>
      <c r="U81" s="20"/>
      <c r="V81" s="20"/>
      <c r="W81" s="20"/>
      <c r="X81" s="46"/>
      <c r="Y81" s="20"/>
      <c r="Z81" s="20"/>
      <c r="AA81" s="20" t="s">
        <v>68</v>
      </c>
      <c r="AB81" s="20" t="str">
        <f>IF(ISBLANK(S81),"是","否")</f>
        <v>否</v>
      </c>
      <c r="AC81" s="20"/>
      <c r="AD81" s="25"/>
      <c r="AE81" s="25"/>
      <c r="AH81" s="20" t="s">
        <v>76</v>
      </c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</row>
    <row r="82" ht="39.879699248120296" customHeight="1" spans="1:57" x14ac:dyDescent="0.25">
      <c r="A82" s="25" t="s">
        <v>67</v>
      </c>
      <c r="B82" s="19" t="s">
        <v>255</v>
      </c>
      <c r="C82" s="20" t="s">
        <v>57</v>
      </c>
      <c r="D82" s="21"/>
      <c r="E82" s="22"/>
      <c r="F82" s="21" t="s">
        <v>265</v>
      </c>
      <c r="G82" s="29" t="s">
        <v>464</v>
      </c>
      <c r="H82" s="20" t="str">
        <f>SUBSTITUTE(SUBSTITUTE(SUBSTITUTE(S82,"/@","_"),"/cac:","_"),"/cbc:","_")</f>
        <v>Invoice_AccountingCustomerParty_Party_PartyIdentification_ID_schemeID</v>
      </c>
      <c r="I82" s="20" t="str">
        <f>SUBSTITUTE(SUBSTITUTE(SUBSTITUTE(T82,"/@","_"),"/cac:","_"),"/cbc:","_")</f>
        <v/>
      </c>
      <c r="J82" s="19"/>
      <c r="K82" s="19" t="s">
        <v>263</v>
      </c>
      <c r="L82" s="20"/>
      <c r="M82" s="25" t="s">
        <v>243</v>
      </c>
      <c r="N82" s="27" t="s">
        <v>64</v>
      </c>
      <c r="O82" s="27" t="s">
        <v>165</v>
      </c>
      <c r="P82" s="27" t="s">
        <v>3015</v>
      </c>
      <c r="Q82" s="26" t="str">
        <f>IF(S82="","",LEN(S82)-LEN(SUBSTITUTE(S82,"/",""))+IF(ISNUMBER(SEARCH("@",S82)),0,1))</f>
        <v>5</v>
      </c>
      <c r="R82" s="42" t="s">
        <v>465</v>
      </c>
      <c r="S82" s="26" t="s">
        <v>465</v>
      </c>
      <c r="T82" s="20"/>
      <c r="U82" s="20"/>
      <c r="V82" s="20"/>
      <c r="W82" s="20"/>
      <c r="X82" s="46"/>
      <c r="Y82" s="20"/>
      <c r="Z82" s="20"/>
      <c r="AA82" s="20" t="s">
        <v>68</v>
      </c>
      <c r="AB82" s="20" t="str">
        <f>IF(ISBLANK(S82),"是","否")</f>
        <v>否</v>
      </c>
      <c r="AC82" s="20"/>
      <c r="AD82" s="25"/>
      <c r="AE82" s="25"/>
      <c r="AH82" s="20" t="s">
        <v>76</v>
      </c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</row>
    <row r="83" ht="29.59398496240601" customHeight="1" spans="1:57" x14ac:dyDescent="0.25">
      <c r="A83" s="25" t="s">
        <v>67</v>
      </c>
      <c r="B83" s="19" t="s">
        <v>230</v>
      </c>
      <c r="C83" s="20" t="s">
        <v>57</v>
      </c>
      <c r="D83" s="21"/>
      <c r="E83" s="22"/>
      <c r="F83" s="21" t="s">
        <v>466</v>
      </c>
      <c r="G83" s="29" t="s">
        <v>467</v>
      </c>
      <c r="H83" s="20" t="str">
        <f>SUBSTITUTE(SUBSTITUTE(SUBSTITUTE(S83,"/@","_"),"/cac:","_"),"/cbc:","_")</f>
        <v>Invoice_AccountingCustomerParty_Party_PostalAddress</v>
      </c>
      <c r="I83" s="20" t="str">
        <f>SUBSTITUTE(SUBSTITUTE(SUBSTITUTE(T83,"/@","_"),"/cac:","_"),"/cbc:","_")</f>
        <v/>
      </c>
      <c r="J83" s="19"/>
      <c r="K83" s="19" t="s">
        <v>280</v>
      </c>
      <c r="L83" s="20"/>
      <c r="M83" s="25" t="s">
        <v>220</v>
      </c>
      <c r="N83" s="27" t="s">
        <v>64</v>
      </c>
      <c r="O83" s="27" t="s">
        <v>64</v>
      </c>
      <c r="P83" s="27" t="s">
        <v>3015</v>
      </c>
      <c r="Q83" s="26" t="str">
        <f>IF(S83="","",LEN(S83)-LEN(SUBSTITUTE(S83,"/",""))+IF(ISNUMBER(SEARCH("@",S83)),0,1))</f>
        <v>4</v>
      </c>
      <c r="R83" s="42" t="s">
        <v>468</v>
      </c>
      <c r="S83" s="26" t="s">
        <v>468</v>
      </c>
      <c r="T83" s="20"/>
      <c r="U83" s="20"/>
      <c r="V83" s="20"/>
      <c r="W83" s="20"/>
      <c r="X83" s="46"/>
      <c r="Y83" s="20"/>
      <c r="Z83" s="20"/>
      <c r="AA83" s="20" t="s">
        <v>222</v>
      </c>
      <c r="AB83" s="20" t="str">
        <f>IF(ISBLANK(S83),"是","否")</f>
        <v>否</v>
      </c>
      <c r="AC83" s="20"/>
      <c r="AD83" s="25"/>
      <c r="AE83" s="25"/>
      <c r="AH83" s="20" t="s">
        <v>76</v>
      </c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</row>
    <row r="84" ht="29.59398496240601" customHeight="1" spans="1:57" x14ac:dyDescent="0.25">
      <c r="A84" s="25" t="s">
        <v>67</v>
      </c>
      <c r="B84" s="19" t="s">
        <v>282</v>
      </c>
      <c r="C84" s="20" t="s">
        <v>57</v>
      </c>
      <c r="D84" s="21"/>
      <c r="E84" s="22"/>
      <c r="F84" s="21" t="s">
        <v>469</v>
      </c>
      <c r="G84" s="29" t="s">
        <v>470</v>
      </c>
      <c r="H84" s="20" t="str">
        <f>SUBSTITUTE(SUBSTITUTE(SUBSTITUTE(S84,"/@","_"),"/cac:","_"),"/cbc:","_")</f>
        <v>Invoice_AccountingCustomerParty_Party_PostalAddress_Postbox</v>
      </c>
      <c r="I84" s="20" t="str">
        <f>SUBSTITUTE(SUBSTITUTE(SUBSTITUTE(T84,"/@","_"),"/cac:","_"),"/cbc:","_")</f>
        <v/>
      </c>
      <c r="J84" s="19" t="s">
        <v>472</v>
      </c>
      <c r="K84" s="19" t="s">
        <v>473</v>
      </c>
      <c r="L84" s="20"/>
      <c r="M84" s="25" t="s">
        <v>228</v>
      </c>
      <c r="N84" s="27" t="s">
        <v>64</v>
      </c>
      <c r="O84" s="27" t="s">
        <v>64</v>
      </c>
      <c r="P84" s="27" t="s">
        <v>3016</v>
      </c>
      <c r="Q84" s="26" t="str">
        <f>IF(S84="","",LEN(S84)-LEN(SUBSTITUTE(S84,"/",""))+IF(ISNUMBER(SEARCH("@",S84)),0,1))</f>
        <v>5</v>
      </c>
      <c r="R84" s="42" t="s">
        <v>474</v>
      </c>
      <c r="S84" s="26" t="s">
        <v>474</v>
      </c>
      <c r="T84" s="20"/>
      <c r="U84" s="20"/>
      <c r="V84" s="20"/>
      <c r="W84" s="20" t="s">
        <v>475</v>
      </c>
      <c r="X84" s="46"/>
      <c r="Y84" s="20"/>
      <c r="Z84" s="20"/>
      <c r="AA84" s="20" t="s">
        <v>68</v>
      </c>
      <c r="AB84" s="20" t="str">
        <f>IF(ISBLANK(S84),"是","否")</f>
        <v>否</v>
      </c>
      <c r="AC84" s="20"/>
      <c r="AD84" s="25"/>
      <c r="AE84" s="25"/>
      <c r="AH84" s="20" t="s">
        <v>76</v>
      </c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</row>
    <row r="85" ht="29.59398496240601" customHeight="1" spans="1:57" x14ac:dyDescent="0.25">
      <c r="A85" s="25" t="s">
        <v>67</v>
      </c>
      <c r="B85" s="19" t="s">
        <v>282</v>
      </c>
      <c r="C85" s="20" t="s">
        <v>57</v>
      </c>
      <c r="D85" s="21"/>
      <c r="E85" s="22"/>
      <c r="F85" s="21" t="s">
        <v>283</v>
      </c>
      <c r="G85" s="29" t="s">
        <v>476</v>
      </c>
      <c r="H85" s="20" t="str">
        <f>SUBSTITUTE(SUBSTITUTE(SUBSTITUTE(S85,"/@","_"),"/cac:","_"),"/cbc:","_")</f>
        <v>Invoice_AccountingCustomerParty_Party_PostalAddress_StreetName</v>
      </c>
      <c r="I85" s="20" t="str">
        <f>SUBSTITUTE(SUBSTITUTE(SUBSTITUTE(T85,"/@","_"),"/cac:","_"),"/cbc:","_")</f>
        <v/>
      </c>
      <c r="J85" s="19" t="s">
        <v>286</v>
      </c>
      <c r="K85" s="19" t="s">
        <v>287</v>
      </c>
      <c r="L85" s="20"/>
      <c r="M85" s="25" t="s">
        <v>228</v>
      </c>
      <c r="N85" s="27" t="s">
        <v>64</v>
      </c>
      <c r="O85" s="27" t="s">
        <v>64</v>
      </c>
      <c r="P85" s="27" t="s">
        <v>3016</v>
      </c>
      <c r="Q85" s="26" t="str">
        <f>IF(S85="","",LEN(S85)-LEN(SUBSTITUTE(S85,"/",""))+IF(ISNUMBER(SEARCH("@",S85)),0,1))</f>
        <v>5</v>
      </c>
      <c r="R85" s="42" t="s">
        <v>477</v>
      </c>
      <c r="S85" s="26" t="s">
        <v>477</v>
      </c>
      <c r="T85" s="20"/>
      <c r="U85" s="20"/>
      <c r="V85" s="20"/>
      <c r="W85" s="20" t="s">
        <v>289</v>
      </c>
      <c r="X85" s="46"/>
      <c r="Y85" s="20"/>
      <c r="Z85" s="20"/>
      <c r="AA85" s="20" t="s">
        <v>68</v>
      </c>
      <c r="AB85" s="20" t="str">
        <f>IF(ISBLANK(S85),"是","否")</f>
        <v>否</v>
      </c>
      <c r="AC85" s="20"/>
      <c r="AD85" s="25"/>
      <c r="AE85" s="25"/>
      <c r="AH85" s="20" t="s">
        <v>76</v>
      </c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</row>
    <row r="86" ht="39.879699248120296" customHeight="1" spans="1:57" x14ac:dyDescent="0.25">
      <c r="A86" s="25" t="s">
        <v>67</v>
      </c>
      <c r="B86" s="19" t="s">
        <v>282</v>
      </c>
      <c r="C86" s="20" t="s">
        <v>57</v>
      </c>
      <c r="D86" s="21"/>
      <c r="E86" s="22"/>
      <c r="F86" s="21" t="s">
        <v>478</v>
      </c>
      <c r="G86" s="29" t="s">
        <v>479</v>
      </c>
      <c r="H86" s="20" t="str">
        <f>SUBSTITUTE(SUBSTITUTE(SUBSTITUTE(S86,"/@","_"),"/cac:","_"),"/cbc:","_")</f>
        <v>Invoice_AccountingCustomerParty_Party_PostalAddress_AdditionalStreetName</v>
      </c>
      <c r="I86" s="20" t="str">
        <f>SUBSTITUTE(SUBSTITUTE(SUBSTITUTE(T86,"/@","_"),"/cac:","_"),"/cbc:","_")</f>
        <v/>
      </c>
      <c r="J86" s="19" t="s">
        <v>286</v>
      </c>
      <c r="K86" s="19" t="s">
        <v>481</v>
      </c>
      <c r="L86" s="20"/>
      <c r="M86" s="25" t="s">
        <v>228</v>
      </c>
      <c r="N86" s="27" t="s">
        <v>64</v>
      </c>
      <c r="O86" s="27" t="s">
        <v>64</v>
      </c>
      <c r="P86" s="27" t="s">
        <v>3016</v>
      </c>
      <c r="Q86" s="26" t="str">
        <f>IF(S86="","",LEN(S86)-LEN(SUBSTITUTE(S86,"/",""))+IF(ISNUMBER(SEARCH("@",S86)),0,1))</f>
        <v>5</v>
      </c>
      <c r="R86" s="42" t="s">
        <v>482</v>
      </c>
      <c r="S86" s="26" t="s">
        <v>482</v>
      </c>
      <c r="T86" s="20"/>
      <c r="U86" s="20"/>
      <c r="V86" s="20"/>
      <c r="W86" s="20" t="s">
        <v>483</v>
      </c>
      <c r="X86" s="46"/>
      <c r="Y86" s="20"/>
      <c r="Z86" s="20"/>
      <c r="AA86" s="20" t="s">
        <v>68</v>
      </c>
      <c r="AB86" s="20" t="str">
        <f>IF(ISBLANK(S86),"是","否")</f>
        <v>否</v>
      </c>
      <c r="AC86" s="20"/>
      <c r="AD86" s="25"/>
      <c r="AE86" s="25"/>
      <c r="AH86" s="20" t="s">
        <v>76</v>
      </c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</row>
    <row r="87" ht="39.879699248120296" customHeight="1" spans="1:57" x14ac:dyDescent="0.25">
      <c r="A87" s="25" t="s">
        <v>67</v>
      </c>
      <c r="B87" s="19" t="s">
        <v>282</v>
      </c>
      <c r="C87" s="20" t="s">
        <v>57</v>
      </c>
      <c r="D87" s="21"/>
      <c r="E87" s="22"/>
      <c r="F87" s="21" t="s">
        <v>484</v>
      </c>
      <c r="G87" s="29" t="s">
        <v>485</v>
      </c>
      <c r="H87" s="20" t="str">
        <f>SUBSTITUTE(SUBSTITUTE(SUBSTITUTE(S87,"/@","_"),"/cac:","_"),"/cbc:","_")</f>
        <v>Invoice_AccountingCustomerParty_Party_PostalAddress_BuildingNumber</v>
      </c>
      <c r="I87" s="20" t="str">
        <f>SUBSTITUTE(SUBSTITUTE(SUBSTITUTE(T87,"/@","_"),"/cac:","_"),"/cbc:","_")</f>
        <v/>
      </c>
      <c r="J87" s="19" t="s">
        <v>487</v>
      </c>
      <c r="K87" s="19" t="s">
        <v>488</v>
      </c>
      <c r="L87" s="20"/>
      <c r="M87" s="25" t="s">
        <v>228</v>
      </c>
      <c r="N87" s="27" t="s">
        <v>64</v>
      </c>
      <c r="O87" s="27" t="s">
        <v>64</v>
      </c>
      <c r="P87" s="27" t="s">
        <v>3016</v>
      </c>
      <c r="Q87" s="26" t="str">
        <f>IF(S87="","",LEN(S87)-LEN(SUBSTITUTE(S87,"/",""))+IF(ISNUMBER(SEARCH("@",S87)),0,1))</f>
        <v>5</v>
      </c>
      <c r="R87" s="42" t="s">
        <v>489</v>
      </c>
      <c r="S87" s="26" t="s">
        <v>489</v>
      </c>
      <c r="T87" s="20"/>
      <c r="U87" s="20"/>
      <c r="V87" s="20"/>
      <c r="W87" s="20" t="s">
        <v>490</v>
      </c>
      <c r="X87" s="46"/>
      <c r="Y87" s="20"/>
      <c r="Z87" s="20"/>
      <c r="AA87" s="20" t="s">
        <v>68</v>
      </c>
      <c r="AB87" s="20" t="str">
        <f>IF(ISBLANK(S87),"是","否")</f>
        <v>否</v>
      </c>
      <c r="AC87" s="20"/>
      <c r="AD87" s="25"/>
      <c r="AE87" s="25"/>
      <c r="AH87" s="20" t="s">
        <v>76</v>
      </c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</row>
    <row r="88" ht="29.59398496240601" customHeight="1" spans="1:57" x14ac:dyDescent="0.25">
      <c r="A88" s="25" t="s">
        <v>67</v>
      </c>
      <c r="B88" s="19" t="s">
        <v>282</v>
      </c>
      <c r="C88" s="20" t="s">
        <v>57</v>
      </c>
      <c r="D88" s="21"/>
      <c r="E88" s="22"/>
      <c r="F88" s="21" t="s">
        <v>491</v>
      </c>
      <c r="G88" s="29" t="s">
        <v>492</v>
      </c>
      <c r="H88" s="20" t="str">
        <f>SUBSTITUTE(SUBSTITUTE(SUBSTITUTE(S88,"/@","_"),"/cac:","_"),"/cbc:","_")</f>
        <v>Invoice_AccountingCustomerParty_Party_PostalAddress_Department</v>
      </c>
      <c r="I88" s="20" t="str">
        <f>SUBSTITUTE(SUBSTITUTE(SUBSTITUTE(T88,"/@","_"),"/cac:","_"),"/cbc:","_")</f>
        <v/>
      </c>
      <c r="J88" s="19" t="s">
        <v>491</v>
      </c>
      <c r="K88" s="19" t="s">
        <v>494</v>
      </c>
      <c r="L88" s="20"/>
      <c r="M88" s="25" t="s">
        <v>228</v>
      </c>
      <c r="N88" s="27" t="s">
        <v>64</v>
      </c>
      <c r="O88" s="27" t="s">
        <v>64</v>
      </c>
      <c r="P88" s="27" t="s">
        <v>3016</v>
      </c>
      <c r="Q88" s="26" t="str">
        <f>IF(S88="","",LEN(S88)-LEN(SUBSTITUTE(S88,"/",""))+IF(ISNUMBER(SEARCH("@",S88)),0,1))</f>
        <v>5</v>
      </c>
      <c r="R88" s="42" t="s">
        <v>495</v>
      </c>
      <c r="S88" s="26" t="s">
        <v>495</v>
      </c>
      <c r="T88" s="20"/>
      <c r="U88" s="20"/>
      <c r="V88" s="20"/>
      <c r="W88" s="20" t="s">
        <v>496</v>
      </c>
      <c r="X88" s="46"/>
      <c r="Y88" s="20"/>
      <c r="Z88" s="20"/>
      <c r="AA88" s="20" t="s">
        <v>68</v>
      </c>
      <c r="AB88" s="20" t="str">
        <f>IF(ISBLANK(S88),"是","否")</f>
        <v>否</v>
      </c>
      <c r="AC88" s="20"/>
      <c r="AD88" s="25"/>
      <c r="AE88" s="25"/>
      <c r="AH88" s="20" t="s">
        <v>76</v>
      </c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</row>
    <row r="89" ht="39.879699248120296" customHeight="1" spans="1:57" x14ac:dyDescent="0.25">
      <c r="A89" s="25" t="s">
        <v>67</v>
      </c>
      <c r="B89" s="19" t="s">
        <v>282</v>
      </c>
      <c r="C89" s="20" t="s">
        <v>57</v>
      </c>
      <c r="D89" s="21"/>
      <c r="E89" s="22"/>
      <c r="F89" s="21" t="s">
        <v>497</v>
      </c>
      <c r="G89" s="29" t="s">
        <v>498</v>
      </c>
      <c r="H89" s="20" t="str">
        <f>SUBSTITUTE(SUBSTITUTE(SUBSTITUTE(S89,"/@","_"),"/cac:","_"),"/cbc:","_")</f>
        <v>Invoice_AccountingCustomerParty_Party_PostalAddress_PlotIdentification</v>
      </c>
      <c r="I89" s="20" t="str">
        <f>SUBSTITUTE(SUBSTITUTE(SUBSTITUTE(T89,"/@","_"),"/cac:","_"),"/cbc:","_")</f>
        <v/>
      </c>
      <c r="J89" s="19"/>
      <c r="K89" s="19" t="s">
        <v>500</v>
      </c>
      <c r="L89" s="20"/>
      <c r="M89" s="25" t="s">
        <v>228</v>
      </c>
      <c r="N89" s="27" t="s">
        <v>64</v>
      </c>
      <c r="O89" s="27" t="s">
        <v>64</v>
      </c>
      <c r="P89" s="27" t="s">
        <v>3016</v>
      </c>
      <c r="Q89" s="26" t="str">
        <f>IF(S89="","",LEN(S89)-LEN(SUBSTITUTE(S89,"/",""))+IF(ISNUMBER(SEARCH("@",S89)),0,1))</f>
        <v>5</v>
      </c>
      <c r="R89" s="42" t="s">
        <v>501</v>
      </c>
      <c r="S89" s="26" t="s">
        <v>501</v>
      </c>
      <c r="T89" s="20"/>
      <c r="U89" s="20"/>
      <c r="V89" s="20"/>
      <c r="W89" s="20"/>
      <c r="X89" s="46"/>
      <c r="Y89" s="20"/>
      <c r="Z89" s="20"/>
      <c r="AA89" s="20" t="s">
        <v>68</v>
      </c>
      <c r="AB89" s="20" t="str">
        <f>IF(ISBLANK(S89),"是","否")</f>
        <v>否</v>
      </c>
      <c r="AC89" s="20"/>
      <c r="AD89" s="25"/>
      <c r="AE89" s="25"/>
      <c r="AH89" s="20" t="s">
        <v>76</v>
      </c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</row>
    <row r="90" ht="39.879699248120296" customHeight="1" spans="1:57" x14ac:dyDescent="0.25">
      <c r="A90" s="25" t="s">
        <v>67</v>
      </c>
      <c r="B90" s="19" t="s">
        <v>282</v>
      </c>
      <c r="C90" s="20" t="s">
        <v>57</v>
      </c>
      <c r="D90" s="21"/>
      <c r="E90" s="22"/>
      <c r="F90" s="21" t="s">
        <v>502</v>
      </c>
      <c r="G90" s="29" t="s">
        <v>503</v>
      </c>
      <c r="H90" s="20" t="str">
        <f>SUBSTITUTE(SUBSTITUTE(SUBSTITUTE(S90,"/@","_"),"/cac:","_"),"/cbc:","_")</f>
        <v>Invoice_AccountingCustomerParty_Party_PostalAddress_CitySubdivisionName</v>
      </c>
      <c r="I90" s="20" t="str">
        <f>SUBSTITUTE(SUBSTITUTE(SUBSTITUTE(T90,"/@","_"),"/cac:","_"),"/cbc:","_")</f>
        <v/>
      </c>
      <c r="J90" s="19"/>
      <c r="K90" s="19" t="s">
        <v>505</v>
      </c>
      <c r="L90" s="20"/>
      <c r="M90" s="25" t="s">
        <v>228</v>
      </c>
      <c r="N90" s="27" t="s">
        <v>64</v>
      </c>
      <c r="O90" s="27" t="s">
        <v>64</v>
      </c>
      <c r="P90" s="27" t="s">
        <v>3016</v>
      </c>
      <c r="Q90" s="26" t="str">
        <f>IF(S90="","",LEN(S90)-LEN(SUBSTITUTE(S90,"/",""))+IF(ISNUMBER(SEARCH("@",S90)),0,1))</f>
        <v>5</v>
      </c>
      <c r="R90" s="42" t="s">
        <v>506</v>
      </c>
      <c r="S90" s="26" t="s">
        <v>506</v>
      </c>
      <c r="T90" s="20"/>
      <c r="U90" s="20"/>
      <c r="V90" s="20"/>
      <c r="W90" s="20"/>
      <c r="X90" s="46"/>
      <c r="Y90" s="20"/>
      <c r="Z90" s="20"/>
      <c r="AA90" s="20" t="s">
        <v>68</v>
      </c>
      <c r="AB90" s="20" t="str">
        <f>IF(ISBLANK(S90),"是","否")</f>
        <v>否</v>
      </c>
      <c r="AC90" s="20"/>
      <c r="AD90" s="25"/>
      <c r="AE90" s="25"/>
      <c r="AH90" s="20" t="s">
        <v>76</v>
      </c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</row>
    <row r="91" ht="29.59398496240601" customHeight="1" spans="1:57" x14ac:dyDescent="0.25">
      <c r="A91" s="25" t="s">
        <v>67</v>
      </c>
      <c r="B91" s="19" t="s">
        <v>282</v>
      </c>
      <c r="C91" s="20" t="s">
        <v>57</v>
      </c>
      <c r="D91" s="21"/>
      <c r="E91" s="22"/>
      <c r="F91" s="21" t="s">
        <v>290</v>
      </c>
      <c r="G91" s="29" t="s">
        <v>507</v>
      </c>
      <c r="H91" s="20" t="str">
        <f>SUBSTITUTE(SUBSTITUTE(SUBSTITUTE(S91,"/@","_"),"/cac:","_"),"/cbc:","_")</f>
        <v>Invoice_AccountingCustomerParty_Party_PostalAddress_CityName</v>
      </c>
      <c r="I91" s="20" t="str">
        <f>SUBSTITUTE(SUBSTITUTE(SUBSTITUTE(T91,"/@","_"),"/cac:","_"),"/cbc:","_")</f>
        <v/>
      </c>
      <c r="J91" s="19" t="s">
        <v>293</v>
      </c>
      <c r="K91" s="19" t="s">
        <v>294</v>
      </c>
      <c r="L91" s="20"/>
      <c r="M91" s="25" t="s">
        <v>228</v>
      </c>
      <c r="N91" s="27" t="s">
        <v>64</v>
      </c>
      <c r="O91" s="27" t="s">
        <v>64</v>
      </c>
      <c r="P91" s="27" t="s">
        <v>3016</v>
      </c>
      <c r="Q91" s="26" t="str">
        <f>IF(S91="","",LEN(S91)-LEN(SUBSTITUTE(S91,"/",""))+IF(ISNUMBER(SEARCH("@",S91)),0,1))</f>
        <v>5</v>
      </c>
      <c r="R91" s="42" t="s">
        <v>508</v>
      </c>
      <c r="S91" s="26" t="s">
        <v>508</v>
      </c>
      <c r="T91" s="20"/>
      <c r="U91" s="20"/>
      <c r="V91" s="20"/>
      <c r="W91" s="20" t="s">
        <v>296</v>
      </c>
      <c r="X91" s="46"/>
      <c r="Y91" s="20"/>
      <c r="Z91" s="20"/>
      <c r="AA91" s="20" t="s">
        <v>68</v>
      </c>
      <c r="AB91" s="20" t="str">
        <f>IF(ISBLANK(S91),"是","否")</f>
        <v>否</v>
      </c>
      <c r="AC91" s="20"/>
      <c r="AD91" s="25"/>
      <c r="AE91" s="25"/>
      <c r="AH91" s="20" t="s">
        <v>76</v>
      </c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</row>
    <row r="92" ht="39.879699248120296" customHeight="1" spans="1:57" x14ac:dyDescent="0.25">
      <c r="A92" s="25" t="s">
        <v>67</v>
      </c>
      <c r="B92" s="19" t="s">
        <v>282</v>
      </c>
      <c r="C92" s="20" t="s">
        <v>57</v>
      </c>
      <c r="D92" s="21"/>
      <c r="E92" s="22"/>
      <c r="F92" s="21" t="s">
        <v>309</v>
      </c>
      <c r="G92" s="29" t="s">
        <v>509</v>
      </c>
      <c r="H92" s="20" t="str">
        <f>SUBSTITUTE(SUBSTITUTE(SUBSTITUTE(S92,"/@","_"),"/cac:","_"),"/cbc:","_")</f>
        <v>Invoice_AccountingCustomerParty_Party_PostalAddress_PostalZone</v>
      </c>
      <c r="I92" s="20" t="str">
        <f>SUBSTITUTE(SUBSTITUTE(SUBSTITUTE(T92,"/@","_"),"/cac:","_"),"/cbc:","_")</f>
        <v/>
      </c>
      <c r="J92" s="19" t="s">
        <v>312</v>
      </c>
      <c r="K92" s="19" t="s">
        <v>313</v>
      </c>
      <c r="L92" s="20"/>
      <c r="M92" s="25" t="s">
        <v>228</v>
      </c>
      <c r="N92" s="27" t="s">
        <v>64</v>
      </c>
      <c r="O92" s="27" t="s">
        <v>64</v>
      </c>
      <c r="P92" s="27" t="s">
        <v>3016</v>
      </c>
      <c r="Q92" s="26" t="str">
        <f>IF(S92="","",LEN(S92)-LEN(SUBSTITUTE(S92,"/",""))+IF(ISNUMBER(SEARCH("@",S92)),0,1))</f>
        <v>5</v>
      </c>
      <c r="R92" s="42" t="s">
        <v>510</v>
      </c>
      <c r="S92" s="26" t="s">
        <v>510</v>
      </c>
      <c r="T92" s="20"/>
      <c r="U92" s="20"/>
      <c r="V92" s="20"/>
      <c r="W92" s="20" t="s">
        <v>315</v>
      </c>
      <c r="X92" s="46"/>
      <c r="Y92" s="20"/>
      <c r="Z92" s="20"/>
      <c r="AA92" s="20" t="s">
        <v>68</v>
      </c>
      <c r="AB92" s="20" t="str">
        <f>IF(ISBLANK(S92),"是","否")</f>
        <v>否</v>
      </c>
      <c r="AC92" s="20"/>
      <c r="AD92" s="25"/>
      <c r="AE92" s="25"/>
      <c r="AH92" s="20" t="s">
        <v>76</v>
      </c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</row>
    <row r="93" ht="39.879699248120296" customHeight="1" spans="1:57" x14ac:dyDescent="0.25">
      <c r="A93" s="25" t="s">
        <v>67</v>
      </c>
      <c r="B93" s="19" t="s">
        <v>282</v>
      </c>
      <c r="C93" s="20" t="s">
        <v>57</v>
      </c>
      <c r="D93" s="21"/>
      <c r="E93" s="22"/>
      <c r="F93" s="21" t="s">
        <v>297</v>
      </c>
      <c r="G93" s="29" t="s">
        <v>511</v>
      </c>
      <c r="H93" s="20" t="str">
        <f>SUBSTITUTE(SUBSTITUTE(SUBSTITUTE(S93,"/@","_"),"/cac:","_"),"/cbc:","_")</f>
        <v>Invoice_AccountingCustomerParty_Party_PostalAddress_CountrySubentity</v>
      </c>
      <c r="I93" s="20" t="str">
        <f>SUBSTITUTE(SUBSTITUTE(SUBSTITUTE(T93,"/@","_"),"/cac:","_"),"/cbc:","_")</f>
        <v/>
      </c>
      <c r="J93" s="19" t="s">
        <v>300</v>
      </c>
      <c r="K93" s="19" t="s">
        <v>301</v>
      </c>
      <c r="L93" s="20"/>
      <c r="M93" s="25" t="s">
        <v>243</v>
      </c>
      <c r="N93" s="27" t="s">
        <v>64</v>
      </c>
      <c r="O93" s="27" t="s">
        <v>64</v>
      </c>
      <c r="P93" s="27" t="s">
        <v>3016</v>
      </c>
      <c r="Q93" s="26" t="str">
        <f>IF(S93="","",LEN(S93)-LEN(SUBSTITUTE(S93,"/",""))+IF(ISNUMBER(SEARCH("@",S93)),0,1))</f>
        <v>5</v>
      </c>
      <c r="R93" s="42" t="s">
        <v>512</v>
      </c>
      <c r="S93" s="26" t="s">
        <v>512</v>
      </c>
      <c r="T93" s="20"/>
      <c r="U93" s="20"/>
      <c r="V93" s="20"/>
      <c r="W93" s="20" t="s">
        <v>303</v>
      </c>
      <c r="X93" s="46"/>
      <c r="Y93" s="20"/>
      <c r="Z93" s="20"/>
      <c r="AA93" s="20" t="s">
        <v>68</v>
      </c>
      <c r="AB93" s="20" t="str">
        <f>IF(ISBLANK(S93),"是","否")</f>
        <v>否</v>
      </c>
      <c r="AC93" s="20"/>
      <c r="AD93" s="25"/>
      <c r="AE93" s="25"/>
      <c r="AH93" s="20" t="s">
        <v>76</v>
      </c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</row>
    <row r="94" ht="39.879699248120296" customHeight="1" spans="1:57" x14ac:dyDescent="0.25">
      <c r="A94" s="25" t="s">
        <v>67</v>
      </c>
      <c r="B94" s="19" t="s">
        <v>282</v>
      </c>
      <c r="C94" s="20" t="s">
        <v>57</v>
      </c>
      <c r="D94" s="21"/>
      <c r="E94" s="22"/>
      <c r="F94" s="21" t="s">
        <v>513</v>
      </c>
      <c r="G94" s="29" t="s">
        <v>514</v>
      </c>
      <c r="H94" s="20" t="str">
        <f>SUBSTITUTE(SUBSTITUTE(SUBSTITUTE(S94,"/@","_"),"/cac:","_"),"/cbc:","_")</f>
        <v>Invoice_AccountingSupplierParty_Party_PostalAddress_CountrySubentityCode</v>
      </c>
      <c r="I94" s="20" t="str">
        <f>SUBSTITUTE(SUBSTITUTE(SUBSTITUTE(T94,"/@","_"),"/cac:","_"),"/cbc:","_")</f>
        <v/>
      </c>
      <c r="J94" s="19" t="s">
        <v>306</v>
      </c>
      <c r="K94" s="19" t="s">
        <v>307</v>
      </c>
      <c r="L94" s="20"/>
      <c r="M94" s="25" t="s">
        <v>243</v>
      </c>
      <c r="N94" s="27"/>
      <c r="O94" s="27" t="s">
        <v>64</v>
      </c>
      <c r="P94" s="27"/>
      <c r="Q94" s="26" t="str">
        <f>IF(S94="","",LEN(S94)-LEN(SUBSTITUTE(S94,"/",""))+IF(ISNUMBER(SEARCH("@",S94)),0,1))</f>
        <v>5</v>
      </c>
      <c r="R94" s="42" t="s">
        <v>308</v>
      </c>
      <c r="S94" s="26" t="s">
        <v>308</v>
      </c>
      <c r="T94" s="20"/>
      <c r="U94" s="20"/>
      <c r="V94" s="20"/>
      <c r="W94" s="20"/>
      <c r="X94" s="46"/>
      <c r="Y94" s="20"/>
      <c r="Z94" s="20"/>
      <c r="AA94" s="20" t="s">
        <v>68</v>
      </c>
      <c r="AB94" s="20" t="str">
        <f>IF(ISBLANK(S94),"是","否")</f>
        <v>否</v>
      </c>
      <c r="AC94" s="20"/>
      <c r="AD94" s="25"/>
      <c r="AE94" s="25"/>
      <c r="AH94" s="20" t="s">
        <v>76</v>
      </c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</row>
    <row r="95" ht="29.59398496240601" customHeight="1" spans="1:57" x14ac:dyDescent="0.25">
      <c r="A95" s="25" t="s">
        <v>67</v>
      </c>
      <c r="B95" s="19" t="s">
        <v>282</v>
      </c>
      <c r="C95" s="20" t="s">
        <v>57</v>
      </c>
      <c r="D95" s="21"/>
      <c r="E95" s="22"/>
      <c r="F95" s="21" t="s">
        <v>316</v>
      </c>
      <c r="G95" s="29" t="s">
        <v>515</v>
      </c>
      <c r="H95" s="20" t="str">
        <f>SUBSTITUTE(SUBSTITUTE(SUBSTITUTE(S95,"/@","_"),"/cac:","_"),"/cbc:","_")</f>
        <v>Invoice_AccountingCustomerParty_Party_PostalAddress_AddressLine</v>
      </c>
      <c r="I95" s="20" t="str">
        <f>SUBSTITUTE(SUBSTITUTE(SUBSTITUTE(T95,"/@","_"),"/cac:","_"),"/cbc:","_")</f>
        <v/>
      </c>
      <c r="J95" s="19"/>
      <c r="K95" s="19" t="s">
        <v>319</v>
      </c>
      <c r="L95" s="20"/>
      <c r="M95" s="25" t="s">
        <v>220</v>
      </c>
      <c r="N95" s="27" t="s">
        <v>64</v>
      </c>
      <c r="O95" s="27" t="s">
        <v>49</v>
      </c>
      <c r="P95" s="27" t="s">
        <v>3016</v>
      </c>
      <c r="Q95" s="26" t="str">
        <f>IF(S95="","",LEN(S95)-LEN(SUBSTITUTE(S95,"/",""))+IF(ISNUMBER(SEARCH("@",S95)),0,1))</f>
        <v>5</v>
      </c>
      <c r="R95" s="42" t="s">
        <v>516</v>
      </c>
      <c r="S95" s="26" t="s">
        <v>516</v>
      </c>
      <c r="T95" s="20"/>
      <c r="U95" s="20"/>
      <c r="V95" s="20"/>
      <c r="W95" s="20"/>
      <c r="X95" s="46"/>
      <c r="Y95" s="20"/>
      <c r="Z95" s="20"/>
      <c r="AA95" s="20" t="s">
        <v>222</v>
      </c>
      <c r="AB95" s="20" t="str">
        <f>IF(ISBLANK(S95),"是","否")</f>
        <v>否</v>
      </c>
      <c r="AC95" s="20"/>
      <c r="AD95" s="25"/>
      <c r="AE95" s="25"/>
      <c r="AH95" s="20" t="s">
        <v>76</v>
      </c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</row>
    <row r="96" ht="39.879699248120296" customHeight="1" spans="1:57" x14ac:dyDescent="0.25">
      <c r="A96" s="25" t="s">
        <v>67</v>
      </c>
      <c r="B96" s="19" t="s">
        <v>316</v>
      </c>
      <c r="C96" s="20" t="s">
        <v>57</v>
      </c>
      <c r="D96" s="21"/>
      <c r="E96" s="22"/>
      <c r="F96" s="21" t="s">
        <v>321</v>
      </c>
      <c r="G96" s="29" t="s">
        <v>517</v>
      </c>
      <c r="H96" s="20" t="str">
        <f>SUBSTITUTE(SUBSTITUTE(SUBSTITUTE(S96,"/@","_"),"/cac:","_"),"/cbc:","_")</f>
        <v>Invoice_AccountingCustomerParty_Party_PostalAddress_AddressLine_Line</v>
      </c>
      <c r="I96" s="20" t="str">
        <f>SUBSTITUTE(SUBSTITUTE(SUBSTITUTE(T96,"/@","_"),"/cac:","_"),"/cbc:","_")</f>
        <v/>
      </c>
      <c r="J96" s="19"/>
      <c r="K96" s="19" t="s">
        <v>324</v>
      </c>
      <c r="L96" s="20"/>
      <c r="M96" s="25" t="s">
        <v>325</v>
      </c>
      <c r="N96" s="27" t="s">
        <v>49</v>
      </c>
      <c r="O96" s="27" t="s">
        <v>165</v>
      </c>
      <c r="P96" s="27" t="s">
        <v>3017</v>
      </c>
      <c r="Q96" s="26" t="str">
        <f>IF(S96="","",LEN(S96)-LEN(SUBSTITUTE(S96,"/",""))+IF(ISNUMBER(SEARCH("@",S96)),0,1))</f>
        <v>6</v>
      </c>
      <c r="R96" s="42" t="s">
        <v>518</v>
      </c>
      <c r="S96" s="26" t="s">
        <v>518</v>
      </c>
      <c r="T96" s="20"/>
      <c r="U96" s="20"/>
      <c r="V96" s="20"/>
      <c r="W96" s="20" t="s">
        <v>327</v>
      </c>
      <c r="X96" s="46"/>
      <c r="Y96" s="20"/>
      <c r="Z96" s="20"/>
      <c r="AA96" s="20" t="s">
        <v>68</v>
      </c>
      <c r="AB96" s="20" t="str">
        <f>IF(ISBLANK(S96),"是","否")</f>
        <v>否</v>
      </c>
      <c r="AC96" s="20"/>
      <c r="AD96" s="25"/>
      <c r="AE96" s="25"/>
      <c r="AH96" s="20" t="s">
        <v>76</v>
      </c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</row>
    <row r="97" ht="39.879699248120296" customHeight="1" spans="1:57" x14ac:dyDescent="0.25">
      <c r="A97" s="25" t="s">
        <v>67</v>
      </c>
      <c r="B97" s="19" t="s">
        <v>328</v>
      </c>
      <c r="C97" s="20" t="s">
        <v>57</v>
      </c>
      <c r="D97" s="21"/>
      <c r="E97" s="22"/>
      <c r="F97" s="21" t="s">
        <v>519</v>
      </c>
      <c r="G97" s="29" t="s">
        <v>520</v>
      </c>
      <c r="H97" s="20" t="str">
        <f>SUBSTITUTE(SUBSTITUTE(SUBSTITUTE(S97,"/@","_"),"/cac:","_"),"/cbc:","_")</f>
        <v>Invoice_AccountingCustomerParty_Party_PostalAddress_Country_IdentificationCode</v>
      </c>
      <c r="I97" s="20" t="str">
        <f>SUBSTITUTE(SUBSTITUTE(SUBSTITUTE(T97,"/@","_"),"/cac:","_"),"/cbc:","_")</f>
        <v/>
      </c>
      <c r="J97" s="19"/>
      <c r="K97" s="19" t="s">
        <v>336</v>
      </c>
      <c r="L97" s="20"/>
      <c r="M97" s="25" t="s">
        <v>243</v>
      </c>
      <c r="N97" s="27" t="s">
        <v>165</v>
      </c>
      <c r="O97" s="27" t="s">
        <v>64</v>
      </c>
      <c r="P97" s="27" t="s">
        <v>3016</v>
      </c>
      <c r="Q97" s="26" t="str">
        <f>IF(S97="","",LEN(S97)-LEN(SUBSTITUTE(S97,"/",""))+IF(ISNUMBER(SEARCH("@",S97)),0,1))</f>
        <v>6</v>
      </c>
      <c r="R97" s="42" t="s">
        <v>521</v>
      </c>
      <c r="S97" s="26" t="s">
        <v>521</v>
      </c>
      <c r="T97" s="20"/>
      <c r="U97" s="20"/>
      <c r="V97" s="20"/>
      <c r="W97" s="20"/>
      <c r="X97" s="46"/>
      <c r="Y97" s="20"/>
      <c r="Z97" s="20"/>
      <c r="AA97" s="20" t="s">
        <v>68</v>
      </c>
      <c r="AB97" s="20" t="str">
        <f>IF(ISBLANK(S97),"是","否")</f>
        <v>否</v>
      </c>
      <c r="AC97" s="20"/>
      <c r="AD97" s="25"/>
      <c r="AE97" s="25"/>
      <c r="AH97" s="20" t="s">
        <v>76</v>
      </c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</row>
    <row r="98" ht="39.879699248120296" customHeight="1" spans="1:57" x14ac:dyDescent="0.25">
      <c r="A98" s="25" t="s">
        <v>67</v>
      </c>
      <c r="B98" s="19" t="s">
        <v>328</v>
      </c>
      <c r="C98" s="20" t="s">
        <v>57</v>
      </c>
      <c r="D98" s="21"/>
      <c r="E98" s="22"/>
      <c r="F98" s="21" t="s">
        <v>522</v>
      </c>
      <c r="G98" s="29" t="s">
        <v>523</v>
      </c>
      <c r="H98" s="20" t="str">
        <f>SUBSTITUTE(SUBSTITUTE(SUBSTITUTE(S98,"/@","_"),"/cac:","_"),"/cbc:","_")</f>
        <v>Invoice_AccountingCustomerParty_Party_PostalAddress_Country_Name</v>
      </c>
      <c r="I98" s="20" t="str">
        <f>SUBSTITUTE(SUBSTITUTE(SUBSTITUTE(T98,"/@","_"),"/cac:","_"),"/cbc:","_")</f>
        <v/>
      </c>
      <c r="J98" s="19"/>
      <c r="K98" s="19" t="s">
        <v>341</v>
      </c>
      <c r="L98" s="20"/>
      <c r="M98" s="25" t="s">
        <v>243</v>
      </c>
      <c r="N98" s="27" t="s">
        <v>64</v>
      </c>
      <c r="O98" s="27" t="s">
        <v>64</v>
      </c>
      <c r="P98" s="27" t="s">
        <v>3016</v>
      </c>
      <c r="Q98" s="26" t="str">
        <f>IF(S98="","",LEN(S98)-LEN(SUBSTITUTE(S98,"/",""))+IF(ISNUMBER(SEARCH("@",S98)),0,1))</f>
        <v>6</v>
      </c>
      <c r="R98" s="42" t="s">
        <v>524</v>
      </c>
      <c r="S98" s="26" t="s">
        <v>524</v>
      </c>
      <c r="T98" s="20"/>
      <c r="U98" s="20"/>
      <c r="V98" s="20"/>
      <c r="W98" s="20" t="s">
        <v>343</v>
      </c>
      <c r="X98" s="46"/>
      <c r="Y98" s="20"/>
      <c r="Z98" s="20"/>
      <c r="AA98" s="20" t="s">
        <v>68</v>
      </c>
      <c r="AB98" s="20" t="str">
        <f>IF(ISBLANK(S98),"是","否")</f>
        <v>否</v>
      </c>
      <c r="AC98" s="20"/>
      <c r="AD98" s="25"/>
      <c r="AE98" s="25"/>
      <c r="AH98" s="20" t="s">
        <v>76</v>
      </c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</row>
    <row r="99" ht="29.59398496240601" customHeight="1" spans="1:57" x14ac:dyDescent="0.25">
      <c r="A99" s="25" t="s">
        <v>67</v>
      </c>
      <c r="B99" s="19" t="s">
        <v>230</v>
      </c>
      <c r="C99" s="20" t="s">
        <v>57</v>
      </c>
      <c r="D99" s="21"/>
      <c r="E99" s="22"/>
      <c r="F99" s="21" t="s">
        <v>344</v>
      </c>
      <c r="G99" s="29" t="s">
        <v>525</v>
      </c>
      <c r="H99" s="20" t="str">
        <f>SUBSTITUTE(SUBSTITUTE(SUBSTITUTE(S99,"/@","_"),"/cac:","_"),"/cbc:","_")</f>
        <v>Invoice_AccountingCustomerParty_Party_PartyTaxScheme</v>
      </c>
      <c r="I99" s="20" t="str">
        <f>SUBSTITUTE(SUBSTITUTE(SUBSTITUTE(T99,"/@","_"),"/cac:","_"),"/cbc:","_")</f>
        <v/>
      </c>
      <c r="J99" s="19"/>
      <c r="K99" s="19" t="s">
        <v>347</v>
      </c>
      <c r="L99" s="20"/>
      <c r="M99" s="25" t="s">
        <v>220</v>
      </c>
      <c r="N99" s="27" t="s">
        <v>165</v>
      </c>
      <c r="O99" s="27" t="s">
        <v>49</v>
      </c>
      <c r="P99" s="27" t="s">
        <v>3015</v>
      </c>
      <c r="Q99" s="26" t="str">
        <f>IF(S99="","",LEN(S99)-LEN(SUBSTITUTE(S99,"/",""))+IF(ISNUMBER(SEARCH("@",S99)),0,1))</f>
        <v>4</v>
      </c>
      <c r="R99" s="42" t="s">
        <v>526</v>
      </c>
      <c r="S99" s="26" t="s">
        <v>526</v>
      </c>
      <c r="T99" s="20"/>
      <c r="U99" s="20"/>
      <c r="V99" s="20"/>
      <c r="W99" s="20"/>
      <c r="X99" s="46"/>
      <c r="Y99" s="20"/>
      <c r="Z99" s="20"/>
      <c r="AA99" s="20" t="s">
        <v>222</v>
      </c>
      <c r="AB99" s="20" t="str">
        <f>IF(ISBLANK(S99),"是","否")</f>
        <v>否</v>
      </c>
      <c r="AC99" s="20"/>
      <c r="AD99" s="25"/>
      <c r="AE99" s="25"/>
      <c r="AH99" s="20" t="s">
        <v>76</v>
      </c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</row>
    <row r="100" ht="60.45112781954887" customHeight="1" spans="1:57" x14ac:dyDescent="0.25">
      <c r="A100" s="25" t="s">
        <v>67</v>
      </c>
      <c r="B100" s="19" t="s">
        <v>349</v>
      </c>
      <c r="C100" s="20" t="s">
        <v>57</v>
      </c>
      <c r="D100" s="21"/>
      <c r="E100" s="22"/>
      <c r="F100" s="21" t="s">
        <v>527</v>
      </c>
      <c r="G100" s="29" t="s">
        <v>528</v>
      </c>
      <c r="H100" s="20" t="str">
        <f>SUBSTITUTE(SUBSTITUTE(SUBSTITUTE(S100,"/@","_"),"/cac:","_"),"/cbc:","_")</f>
        <v>Invoice_AccountingCustomerParty_Party_PartyTaxScheme_TaxScheme_ID</v>
      </c>
      <c r="I100" s="20" t="str">
        <f>SUBSTITUTE(SUBSTITUTE(SUBSTITUTE(T100,"/@","_"),"/cac:","_"),"/cbc:","_")</f>
        <v/>
      </c>
      <c r="J100" s="19"/>
      <c r="K100" s="19" t="s">
        <v>351</v>
      </c>
      <c r="L100" s="20"/>
      <c r="M100" s="25" t="s">
        <v>243</v>
      </c>
      <c r="N100" s="27" t="s">
        <v>165</v>
      </c>
      <c r="O100" s="27" t="s">
        <v>64</v>
      </c>
      <c r="P100" s="27" t="s">
        <v>3016</v>
      </c>
      <c r="Q100" s="26" t="str">
        <f>IF(S100="","",LEN(S100)-LEN(SUBSTITUTE(S100,"/",""))+IF(ISNUMBER(SEARCH("@",S100)),0,1))</f>
        <v>6</v>
      </c>
      <c r="R100" s="42" t="s">
        <v>530</v>
      </c>
      <c r="S100" s="26" t="s">
        <v>530</v>
      </c>
      <c r="T100" s="20"/>
      <c r="U100" s="20"/>
      <c r="V100" s="20"/>
      <c r="W100" s="20" t="s">
        <v>353</v>
      </c>
      <c r="X100" s="46"/>
      <c r="Y100" s="20"/>
      <c r="Z100" s="20"/>
      <c r="AA100" s="20" t="s">
        <v>68</v>
      </c>
      <c r="AB100" s="20" t="str">
        <f>IF(ISBLANK(S100),"是","否")</f>
        <v>否</v>
      </c>
      <c r="AC100" s="20"/>
      <c r="AD100" s="25"/>
      <c r="AE100" s="25"/>
      <c r="AH100" s="20" t="s">
        <v>76</v>
      </c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</row>
    <row r="101" ht="39.879699248120296" customHeight="1" spans="1:57" x14ac:dyDescent="0.25">
      <c r="A101" s="25" t="s">
        <v>67</v>
      </c>
      <c r="B101" s="19" t="s">
        <v>344</v>
      </c>
      <c r="C101" s="20" t="s">
        <v>57</v>
      </c>
      <c r="D101" s="21"/>
      <c r="E101" s="22"/>
      <c r="F101" s="21" t="s">
        <v>531</v>
      </c>
      <c r="G101" s="29" t="s">
        <v>532</v>
      </c>
      <c r="H101" s="20" t="str">
        <f>SUBSTITUTE(SUBSTITUTE(SUBSTITUTE(S101,"/@","_"),"/cac:","_"),"/cbc:","_")</f>
        <v>Invoice_AccountingCustomerParty_Party_PartyTaxScheme_CompanyID</v>
      </c>
      <c r="I101" s="20" t="str">
        <f>SUBSTITUTE(SUBSTITUTE(SUBSTITUTE(T101,"/@","_"),"/cac:","_"),"/cbc:","_")</f>
        <v/>
      </c>
      <c r="J101" s="19" t="s">
        <v>357</v>
      </c>
      <c r="K101" s="19" t="s">
        <v>358</v>
      </c>
      <c r="L101" s="20"/>
      <c r="M101" s="25" t="s">
        <v>228</v>
      </c>
      <c r="N101" s="27" t="s">
        <v>165</v>
      </c>
      <c r="O101" s="27" t="s">
        <v>64</v>
      </c>
      <c r="P101" s="27" t="s">
        <v>3016</v>
      </c>
      <c r="Q101" s="26" t="str">
        <f>IF(S101="","",LEN(S101)-LEN(SUBSTITUTE(S101,"/",""))+IF(ISNUMBER(SEARCH("@",S101)),0,1))</f>
        <v>5</v>
      </c>
      <c r="R101" s="42" t="s">
        <v>534</v>
      </c>
      <c r="S101" s="26" t="s">
        <v>534</v>
      </c>
      <c r="T101" s="20"/>
      <c r="U101" s="20"/>
      <c r="V101" s="20"/>
      <c r="W101" s="20" t="s">
        <v>360</v>
      </c>
      <c r="X101" s="46"/>
      <c r="Y101" s="20"/>
      <c r="Z101" s="20"/>
      <c r="AA101" s="20" t="s">
        <v>68</v>
      </c>
      <c r="AB101" s="20" t="str">
        <f>IF(ISBLANK(S101),"是","否")</f>
        <v>否</v>
      </c>
      <c r="AC101" s="20"/>
      <c r="AD101" s="25"/>
      <c r="AE101" s="25"/>
      <c r="AH101" s="20" t="s">
        <v>76</v>
      </c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</row>
    <row r="102" ht="29.59398496240601" customHeight="1" spans="1:57" x14ac:dyDescent="0.25">
      <c r="A102" s="25" t="s">
        <v>67</v>
      </c>
      <c r="B102" s="19" t="s">
        <v>230</v>
      </c>
      <c r="C102" s="20" t="s">
        <v>57</v>
      </c>
      <c r="D102" s="21"/>
      <c r="E102" s="22"/>
      <c r="F102" s="21" t="s">
        <v>361</v>
      </c>
      <c r="G102" s="29" t="s">
        <v>535</v>
      </c>
      <c r="H102" s="20" t="str">
        <f>SUBSTITUTE(SUBSTITUTE(SUBSTITUTE(S102,"/@","_"),"/cac:","_"),"/cbc:","_")</f>
        <v>Invoice_AccountingCustomerParty_Party_PartyLegalEntity</v>
      </c>
      <c r="I102" s="20" t="str">
        <f>SUBSTITUTE(SUBSTITUTE(SUBSTITUTE(T102,"/@","_"),"/cac:","_"),"/cbc:","_")</f>
        <v/>
      </c>
      <c r="J102" s="19"/>
      <c r="K102" s="19" t="s">
        <v>364</v>
      </c>
      <c r="L102" s="20"/>
      <c r="M102" s="25" t="s">
        <v>220</v>
      </c>
      <c r="N102" s="27" t="s">
        <v>165</v>
      </c>
      <c r="O102" s="27" t="s">
        <v>49</v>
      </c>
      <c r="P102" s="27" t="s">
        <v>3015</v>
      </c>
      <c r="Q102" s="26" t="str">
        <f>IF(S102="","",LEN(S102)-LEN(SUBSTITUTE(S102,"/",""))+IF(ISNUMBER(SEARCH("@",S102)),0,1))</f>
        <v>4</v>
      </c>
      <c r="R102" s="42" t="s">
        <v>537</v>
      </c>
      <c r="S102" s="26" t="s">
        <v>537</v>
      </c>
      <c r="T102" s="20"/>
      <c r="U102" s="20"/>
      <c r="V102" s="20"/>
      <c r="W102" s="20"/>
      <c r="X102" s="46"/>
      <c r="Y102" s="20"/>
      <c r="Z102" s="20"/>
      <c r="AA102" s="20" t="s">
        <v>222</v>
      </c>
      <c r="AB102" s="20" t="str">
        <f>IF(ISBLANK(S102),"是","否")</f>
        <v>否</v>
      </c>
      <c r="AC102" s="20"/>
      <c r="AD102" s="25"/>
      <c r="AE102" s="25"/>
      <c r="AH102" s="20" t="s">
        <v>76</v>
      </c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</row>
    <row r="103" ht="39.879699248120296" customHeight="1" spans="1:57" x14ac:dyDescent="0.25">
      <c r="A103" s="25" t="s">
        <v>67</v>
      </c>
      <c r="B103" s="19" t="s">
        <v>366</v>
      </c>
      <c r="C103" s="20" t="s">
        <v>57</v>
      </c>
      <c r="D103" s="21"/>
      <c r="E103" s="22"/>
      <c r="F103" s="21" t="s">
        <v>367</v>
      </c>
      <c r="G103" s="29" t="s">
        <v>538</v>
      </c>
      <c r="H103" s="20" t="str">
        <f>SUBSTITUTE(SUBSTITUTE(SUBSTITUTE(S103,"/@","_"),"/cac:","_"),"/cbc:","_")</f>
        <v>Invoice_AccountingCustomerParty_Party_PartyLegalEntity_RegistrationName</v>
      </c>
      <c r="I103" s="20" t="str">
        <f>SUBSTITUTE(SUBSTITUTE(SUBSTITUTE(T103,"/@","_"),"/cac:","_"),"/cbc:","_")</f>
        <v/>
      </c>
      <c r="J103" s="19"/>
      <c r="K103" s="19" t="s">
        <v>369</v>
      </c>
      <c r="L103" s="20"/>
      <c r="M103" s="25" t="s">
        <v>228</v>
      </c>
      <c r="N103" s="27" t="s">
        <v>165</v>
      </c>
      <c r="O103" s="27" t="s">
        <v>64</v>
      </c>
      <c r="P103" s="27" t="s">
        <v>3016</v>
      </c>
      <c r="Q103" s="26" t="str">
        <f>IF(S103="","",LEN(S103)-LEN(SUBSTITUTE(S103,"/",""))+IF(ISNUMBER(SEARCH("@",S103)),0,1))</f>
        <v>5</v>
      </c>
      <c r="R103" s="42" t="s">
        <v>539</v>
      </c>
      <c r="S103" s="26" t="s">
        <v>539</v>
      </c>
      <c r="T103" s="20"/>
      <c r="U103" s="20"/>
      <c r="V103" s="20"/>
      <c r="W103" s="20" t="s">
        <v>371</v>
      </c>
      <c r="X103" s="46"/>
      <c r="Y103" s="20"/>
      <c r="Z103" s="20"/>
      <c r="AA103" s="20" t="s">
        <v>68</v>
      </c>
      <c r="AB103" s="20" t="str">
        <f>IF(ISBLANK(S103),"是","否")</f>
        <v>否</v>
      </c>
      <c r="AC103" s="20"/>
      <c r="AD103" s="25"/>
      <c r="AE103" s="25"/>
      <c r="AH103" s="20" t="s">
        <v>76</v>
      </c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</row>
    <row r="104" ht="50.16541353383458" customHeight="1" spans="1:57" x14ac:dyDescent="0.25">
      <c r="A104" s="25" t="s">
        <v>67</v>
      </c>
      <c r="B104" s="19" t="s">
        <v>366</v>
      </c>
      <c r="C104" s="20" t="s">
        <v>57</v>
      </c>
      <c r="D104" s="21"/>
      <c r="E104" s="22"/>
      <c r="F104" s="21" t="s">
        <v>531</v>
      </c>
      <c r="G104" s="29" t="s">
        <v>540</v>
      </c>
      <c r="H104" s="20" t="str">
        <f>SUBSTITUTE(SUBSTITUTE(SUBSTITUTE(S104,"/@","_"),"/cac:","_"),"/cbc:","_")</f>
        <v>Invoice_AccountingCustomerParty_Party_PartyLegalEntity_CompanyID</v>
      </c>
      <c r="I104" s="20" t="str">
        <f>SUBSTITUTE(SUBSTITUTE(SUBSTITUTE(T104,"/@","_"),"/cac:","_"),"/cbc:","_")</f>
        <v/>
      </c>
      <c r="J104" s="19" t="s">
        <v>373</v>
      </c>
      <c r="K104" s="19" t="s">
        <v>374</v>
      </c>
      <c r="L104" s="20"/>
      <c r="M104" s="25" t="s">
        <v>228</v>
      </c>
      <c r="N104" s="27" t="s">
        <v>165</v>
      </c>
      <c r="O104" s="27" t="s">
        <v>64</v>
      </c>
      <c r="P104" s="27" t="s">
        <v>3016</v>
      </c>
      <c r="Q104" s="26" t="str">
        <f>IF(S104="","",LEN(S104)-LEN(SUBSTITUTE(S104,"/",""))+IF(ISNUMBER(SEARCH("@",S104)),0,1))</f>
        <v>5</v>
      </c>
      <c r="R104" s="42" t="s">
        <v>541</v>
      </c>
      <c r="S104" s="26" t="s">
        <v>541</v>
      </c>
      <c r="T104" s="20"/>
      <c r="U104" s="20"/>
      <c r="V104" s="20"/>
      <c r="W104" s="20" t="s">
        <v>360</v>
      </c>
      <c r="X104" s="46"/>
      <c r="Y104" s="20"/>
      <c r="Z104" s="20"/>
      <c r="AA104" s="20" t="s">
        <v>68</v>
      </c>
      <c r="AB104" s="20" t="str">
        <f>IF(ISBLANK(S104),"是","否")</f>
        <v>否</v>
      </c>
      <c r="AC104" s="20"/>
      <c r="AD104" s="25"/>
      <c r="AE104" s="25"/>
      <c r="AH104" s="20" t="s">
        <v>76</v>
      </c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</row>
    <row r="105" ht="50.16541353383458" customHeight="1" spans="1:57" x14ac:dyDescent="0.25">
      <c r="A105" s="25" t="s">
        <v>67</v>
      </c>
      <c r="B105" s="19" t="s">
        <v>366</v>
      </c>
      <c r="C105" s="20" t="s">
        <v>57</v>
      </c>
      <c r="D105" s="21"/>
      <c r="E105" s="22"/>
      <c r="F105" s="21" t="s">
        <v>542</v>
      </c>
      <c r="G105" s="29" t="s">
        <v>543</v>
      </c>
      <c r="H105" s="20" t="str">
        <f>SUBSTITUTE(SUBSTITUTE(SUBSTITUTE(S105,"/@","_"),"/cac:","_"),"/cbc:","_")</f>
        <v>Invoice_AccountingCustomerParty_Party_PartyLegalEntity_CompanyID_schemeID</v>
      </c>
      <c r="I105" s="20" t="str">
        <f>SUBSTITUTE(SUBSTITUTE(SUBSTITUTE(T105,"/@","_"),"/cac:","_"),"/cbc:","_")</f>
        <v/>
      </c>
      <c r="J105" s="19" t="s">
        <v>373</v>
      </c>
      <c r="K105" s="19" t="s">
        <v>374</v>
      </c>
      <c r="L105" s="20"/>
      <c r="M105" s="25" t="s">
        <v>243</v>
      </c>
      <c r="N105" s="27" t="s">
        <v>64</v>
      </c>
      <c r="O105" s="27" t="s">
        <v>64</v>
      </c>
      <c r="P105" s="27" t="s">
        <v>3016</v>
      </c>
      <c r="Q105" s="26" t="str">
        <f>IF(S105="","",LEN(S105)-LEN(SUBSTITUTE(S105,"/",""))+IF(ISNUMBER(SEARCH("@",S105)),0,1))</f>
        <v>5</v>
      </c>
      <c r="R105" s="42" t="s">
        <v>544</v>
      </c>
      <c r="S105" s="26" t="s">
        <v>544</v>
      </c>
      <c r="T105" s="20"/>
      <c r="U105" s="20"/>
      <c r="V105" s="20"/>
      <c r="W105" s="20" t="s">
        <v>360</v>
      </c>
      <c r="X105" s="46"/>
      <c r="Y105" s="20"/>
      <c r="Z105" s="20"/>
      <c r="AA105" s="20" t="s">
        <v>68</v>
      </c>
      <c r="AB105" s="20" t="str">
        <f>IF(ISBLANK(S105),"是","否")</f>
        <v>否</v>
      </c>
      <c r="AC105" s="20"/>
      <c r="AD105" s="25"/>
      <c r="AE105" s="25"/>
      <c r="AH105" s="20" t="s">
        <v>76</v>
      </c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</row>
    <row r="106" ht="29.59398496240601" customHeight="1" spans="1:57" x14ac:dyDescent="0.25">
      <c r="A106" s="25" t="s">
        <v>67</v>
      </c>
      <c r="B106" s="19" t="s">
        <v>230</v>
      </c>
      <c r="C106" s="20" t="s">
        <v>57</v>
      </c>
      <c r="D106" s="21"/>
      <c r="E106" s="22"/>
      <c r="F106" s="21" t="s">
        <v>384</v>
      </c>
      <c r="G106" s="29" t="s">
        <v>545</v>
      </c>
      <c r="H106" s="20" t="str">
        <f>SUBSTITUTE(SUBSTITUTE(SUBSTITUTE(S106,"/@","_"),"/cac:","_"),"/cbc:","_")</f>
        <v>Invoice_AccountingCustomerParty_Party_Contact</v>
      </c>
      <c r="I106" s="20" t="str">
        <f>SUBSTITUTE(SUBSTITUTE(SUBSTITUTE(T106,"/@","_"),"/cac:","_"),"/cbc:","_")</f>
        <v/>
      </c>
      <c r="J106" s="19"/>
      <c r="K106" s="19" t="s">
        <v>387</v>
      </c>
      <c r="L106" s="20"/>
      <c r="M106" s="25" t="s">
        <v>220</v>
      </c>
      <c r="N106" s="27" t="s">
        <v>64</v>
      </c>
      <c r="O106" s="27" t="s">
        <v>64</v>
      </c>
      <c r="P106" s="27" t="s">
        <v>3015</v>
      </c>
      <c r="Q106" s="26" t="str">
        <f>IF(S106="","",LEN(S106)-LEN(SUBSTITUTE(S106,"/",""))+IF(ISNUMBER(SEARCH("@",S106)),0,1))</f>
        <v>4</v>
      </c>
      <c r="R106" s="42" t="s">
        <v>546</v>
      </c>
      <c r="S106" s="26" t="s">
        <v>546</v>
      </c>
      <c r="T106" s="20"/>
      <c r="U106" s="20"/>
      <c r="V106" s="20"/>
      <c r="W106" s="20"/>
      <c r="X106" s="46"/>
      <c r="Y106" s="20"/>
      <c r="Z106" s="20"/>
      <c r="AA106" s="20" t="s">
        <v>222</v>
      </c>
      <c r="AB106" s="20" t="str">
        <f>IF(ISBLANK(S106),"是","否")</f>
        <v>否</v>
      </c>
      <c r="AC106" s="20"/>
      <c r="AD106" s="25"/>
      <c r="AE106" s="25"/>
      <c r="AH106" s="20" t="s">
        <v>76</v>
      </c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</row>
    <row r="107" ht="39.879699248120296" customHeight="1" spans="1:57" x14ac:dyDescent="0.25">
      <c r="A107" s="25" t="s">
        <v>67</v>
      </c>
      <c r="B107" s="19" t="s">
        <v>175</v>
      </c>
      <c r="C107" s="20" t="s">
        <v>57</v>
      </c>
      <c r="D107" s="21"/>
      <c r="E107" s="22"/>
      <c r="F107" s="21" t="s">
        <v>273</v>
      </c>
      <c r="G107" s="29" t="s">
        <v>547</v>
      </c>
      <c r="H107" s="20" t="str">
        <f>SUBSTITUTE(SUBSTITUTE(SUBSTITUTE(S107,"/@","_"),"/cac:","_"),"/cbc:","_")</f>
        <v>Invoice_AccountingCustomerParty_Party_Contact_Name</v>
      </c>
      <c r="I107" s="20" t="str">
        <f>SUBSTITUTE(SUBSTITUTE(SUBSTITUTE(T107,"/@","_"),"/cac:","_"),"/cbc:","_")</f>
        <v/>
      </c>
      <c r="J107" s="19"/>
      <c r="K107" s="19" t="s">
        <v>178</v>
      </c>
      <c r="L107" s="20"/>
      <c r="M107" s="25" t="s">
        <v>228</v>
      </c>
      <c r="N107" s="27" t="s">
        <v>64</v>
      </c>
      <c r="O107" s="27" t="s">
        <v>64</v>
      </c>
      <c r="P107" s="27" t="s">
        <v>3016</v>
      </c>
      <c r="Q107" s="26" t="str">
        <f>IF(S107="","",LEN(S107)-LEN(SUBSTITUTE(S107,"/",""))+IF(ISNUMBER(SEARCH("@",S107)),0,1))</f>
        <v>5</v>
      </c>
      <c r="R107" s="42" t="s">
        <v>548</v>
      </c>
      <c r="S107" s="26" t="s">
        <v>548</v>
      </c>
      <c r="T107" s="20"/>
      <c r="U107" s="20"/>
      <c r="V107" s="20"/>
      <c r="W107" s="20" t="s">
        <v>181</v>
      </c>
      <c r="X107" s="46"/>
      <c r="Y107" s="20"/>
      <c r="Z107" s="20"/>
      <c r="AA107" s="20" t="s">
        <v>68</v>
      </c>
      <c r="AB107" s="20" t="str">
        <f>IF(ISBLANK(S107),"是","否")</f>
        <v>否</v>
      </c>
      <c r="AC107" s="20"/>
      <c r="AD107" s="25"/>
      <c r="AE107" s="25"/>
      <c r="AH107" s="20" t="s">
        <v>76</v>
      </c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</row>
    <row r="108" ht="29.59398496240601" customHeight="1" spans="1:57" x14ac:dyDescent="0.25">
      <c r="A108" s="25" t="s">
        <v>67</v>
      </c>
      <c r="B108" s="19" t="s">
        <v>175</v>
      </c>
      <c r="C108" s="20" t="s">
        <v>57</v>
      </c>
      <c r="D108" s="21"/>
      <c r="E108" s="22"/>
      <c r="F108" s="21" t="s">
        <v>392</v>
      </c>
      <c r="G108" s="29" t="s">
        <v>549</v>
      </c>
      <c r="H108" s="20" t="str">
        <f>SUBSTITUTE(SUBSTITUTE(SUBSTITUTE(S108,"/@","_"),"/cac:","_"),"/cbc:","_")</f>
        <v>Invoice_AccountingCustomerParty_Party_Contact_Telephone</v>
      </c>
      <c r="I108" s="20" t="str">
        <f>SUBSTITUTE(SUBSTITUTE(SUBSTITUTE(T108,"/@","_"),"/cac:","_"),"/cbc:","_")</f>
        <v/>
      </c>
      <c r="J108" s="19"/>
      <c r="K108" s="19" t="s">
        <v>395</v>
      </c>
      <c r="L108" s="20"/>
      <c r="M108" s="25" t="s">
        <v>228</v>
      </c>
      <c r="N108" s="27" t="s">
        <v>64</v>
      </c>
      <c r="O108" s="27" t="s">
        <v>64</v>
      </c>
      <c r="P108" s="27" t="s">
        <v>3016</v>
      </c>
      <c r="Q108" s="26" t="str">
        <f>IF(S108="","",LEN(S108)-LEN(SUBSTITUTE(S108,"/",""))+IF(ISNUMBER(SEARCH("@",S108)),0,1))</f>
        <v>5</v>
      </c>
      <c r="R108" s="42" t="s">
        <v>550</v>
      </c>
      <c r="S108" s="26" t="s">
        <v>550</v>
      </c>
      <c r="T108" s="20"/>
      <c r="U108" s="20"/>
      <c r="V108" s="20"/>
      <c r="W108" s="20"/>
      <c r="X108" s="46"/>
      <c r="Y108" s="20"/>
      <c r="Z108" s="20"/>
      <c r="AA108" s="20" t="s">
        <v>68</v>
      </c>
      <c r="AB108" s="20" t="str">
        <f>IF(ISBLANK(S108),"是","否")</f>
        <v>否</v>
      </c>
      <c r="AC108" s="20"/>
      <c r="AD108" s="25"/>
      <c r="AE108" s="25"/>
      <c r="AH108" s="20" t="s">
        <v>76</v>
      </c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</row>
    <row r="109" ht="29.59398496240601" customHeight="1" spans="1:57" x14ac:dyDescent="0.25">
      <c r="A109" s="25" t="s">
        <v>67</v>
      </c>
      <c r="B109" s="19" t="s">
        <v>175</v>
      </c>
      <c r="C109" s="20" t="s">
        <v>57</v>
      </c>
      <c r="D109" s="21"/>
      <c r="E109" s="22"/>
      <c r="F109" s="21" t="s">
        <v>397</v>
      </c>
      <c r="G109" s="29" t="s">
        <v>551</v>
      </c>
      <c r="H109" s="20" t="str">
        <f>SUBSTITUTE(SUBSTITUTE(SUBSTITUTE(S109,"/@","_"),"/cac:","_"),"/cbc:","_")</f>
        <v>Invoice_AccountingCustomerParty_Party_Contact_ElectronicMail</v>
      </c>
      <c r="I109" s="20" t="str">
        <f>SUBSTITUTE(SUBSTITUTE(SUBSTITUTE(T109,"/@","_"),"/cac:","_"),"/cbc:","_")</f>
        <v/>
      </c>
      <c r="J109" s="19"/>
      <c r="K109" s="19" t="s">
        <v>400</v>
      </c>
      <c r="L109" s="20"/>
      <c r="M109" s="25" t="s">
        <v>228</v>
      </c>
      <c r="N109" s="27" t="s">
        <v>64</v>
      </c>
      <c r="O109" s="27" t="s">
        <v>64</v>
      </c>
      <c r="P109" s="27" t="s">
        <v>3016</v>
      </c>
      <c r="Q109" s="26" t="str">
        <f>IF(S109="","",LEN(S109)-LEN(SUBSTITUTE(S109,"/",""))+IF(ISNUMBER(SEARCH("@",S109)),0,1))</f>
        <v>5</v>
      </c>
      <c r="R109" s="42" t="s">
        <v>552</v>
      </c>
      <c r="S109" s="26" t="s">
        <v>552</v>
      </c>
      <c r="T109" s="20"/>
      <c r="U109" s="20"/>
      <c r="V109" s="20"/>
      <c r="W109" s="20"/>
      <c r="X109" s="46"/>
      <c r="Y109" s="20"/>
      <c r="Z109" s="20"/>
      <c r="AA109" s="20" t="s">
        <v>68</v>
      </c>
      <c r="AB109" s="20" t="str">
        <f>IF(ISBLANK(S109),"是","否")</f>
        <v>否</v>
      </c>
      <c r="AC109" s="20"/>
      <c r="AD109" s="25"/>
      <c r="AE109" s="25"/>
      <c r="AH109" s="20" t="s">
        <v>76</v>
      </c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</row>
    <row r="110" ht="29.59398496240601" customHeight="1" spans="1:57" x14ac:dyDescent="0.25">
      <c r="A110" s="25" t="s">
        <v>67</v>
      </c>
      <c r="B110" s="19" t="s">
        <v>230</v>
      </c>
      <c r="C110" s="20" t="s">
        <v>57</v>
      </c>
      <c r="D110" s="21"/>
      <c r="E110" s="22"/>
      <c r="F110" s="21" t="s">
        <v>553</v>
      </c>
      <c r="G110" s="29" t="s">
        <v>554</v>
      </c>
      <c r="H110" s="20" t="str">
        <f>SUBSTITUTE(SUBSTITUTE(SUBSTITUTE(S110,"/@","_"),"/cac:","_"),"/cbc:","_")</f>
        <v>Invoice_AccountingCustomerParty_Party_Person</v>
      </c>
      <c r="I110" s="20" t="str">
        <f>SUBSTITUTE(SUBSTITUTE(SUBSTITUTE(T110,"/@","_"),"/cac:","_"),"/cbc:","_")</f>
        <v/>
      </c>
      <c r="J110" s="19"/>
      <c r="K110" s="19" t="s">
        <v>405</v>
      </c>
      <c r="L110" s="20"/>
      <c r="M110" s="25" t="s">
        <v>220</v>
      </c>
      <c r="N110" s="27" t="s">
        <v>64</v>
      </c>
      <c r="O110" s="27" t="s">
        <v>49</v>
      </c>
      <c r="P110" s="27" t="s">
        <v>3015</v>
      </c>
      <c r="Q110" s="26" t="str">
        <f>IF(S110="","",LEN(S110)-LEN(SUBSTITUTE(S110,"/",""))+IF(ISNUMBER(SEARCH("@",S110)),0,1))</f>
        <v>4</v>
      </c>
      <c r="R110" s="42" t="s">
        <v>555</v>
      </c>
      <c r="S110" s="26" t="s">
        <v>555</v>
      </c>
      <c r="T110" s="20"/>
      <c r="U110" s="20"/>
      <c r="V110" s="20"/>
      <c r="W110" s="20"/>
      <c r="X110" s="46"/>
      <c r="Y110" s="20"/>
      <c r="Z110" s="20"/>
      <c r="AA110" s="20" t="s">
        <v>222</v>
      </c>
      <c r="AB110" s="20" t="str">
        <f>IF(ISBLANK(S110),"是","否")</f>
        <v>否</v>
      </c>
      <c r="AC110" s="20"/>
      <c r="AD110" s="25"/>
      <c r="AE110" s="25"/>
      <c r="AH110" s="20" t="s">
        <v>76</v>
      </c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</row>
    <row r="111" ht="29.59398496240601" customHeight="1" spans="1:57" x14ac:dyDescent="0.25">
      <c r="A111" s="25" t="s">
        <v>67</v>
      </c>
      <c r="B111" s="19" t="s">
        <v>402</v>
      </c>
      <c r="C111" s="20" t="s">
        <v>57</v>
      </c>
      <c r="D111" s="21"/>
      <c r="E111" s="22"/>
      <c r="F111" s="21" t="s">
        <v>407</v>
      </c>
      <c r="G111" s="29" t="s">
        <v>556</v>
      </c>
      <c r="H111" s="20" t="str">
        <f>SUBSTITUTE(SUBSTITUTE(SUBSTITUTE(S111,"/@","_"),"/cac:","_"),"/cbc:","_")</f>
        <v>Invoice_AccountingCustomerParty_Party_Person_FirstName</v>
      </c>
      <c r="I111" s="20" t="str">
        <f>SUBSTITUTE(SUBSTITUTE(SUBSTITUTE(T111,"/@","_"),"/cac:","_"),"/cbc:","_")</f>
        <v/>
      </c>
      <c r="J111" s="19"/>
      <c r="K111" s="19" t="s">
        <v>410</v>
      </c>
      <c r="L111" s="20"/>
      <c r="M111" s="25" t="s">
        <v>228</v>
      </c>
      <c r="N111" s="27" t="s">
        <v>64</v>
      </c>
      <c r="O111" s="27" t="s">
        <v>64</v>
      </c>
      <c r="P111" s="27" t="s">
        <v>3016</v>
      </c>
      <c r="Q111" s="26" t="str">
        <f>IF(S111="","",LEN(S111)-LEN(SUBSTITUTE(S111,"/",""))+IF(ISNUMBER(SEARCH("@",S111)),0,1))</f>
        <v>5</v>
      </c>
      <c r="R111" s="42" t="s">
        <v>557</v>
      </c>
      <c r="S111" s="26" t="s">
        <v>557</v>
      </c>
      <c r="T111" s="20"/>
      <c r="U111" s="20"/>
      <c r="V111" s="20"/>
      <c r="W111" s="20"/>
      <c r="X111" s="46"/>
      <c r="Y111" s="20"/>
      <c r="Z111" s="20"/>
      <c r="AA111" s="20" t="s">
        <v>68</v>
      </c>
      <c r="AB111" s="20" t="str">
        <f>IF(ISBLANK(S111),"是","否")</f>
        <v>否</v>
      </c>
      <c r="AC111" s="20"/>
      <c r="AD111" s="25"/>
      <c r="AE111" s="25"/>
      <c r="AH111" s="20" t="s">
        <v>76</v>
      </c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</row>
    <row r="112" ht="29.59398496240601" customHeight="1" spans="1:57" x14ac:dyDescent="0.25">
      <c r="A112" s="25" t="s">
        <v>67</v>
      </c>
      <c r="B112" s="19" t="s">
        <v>402</v>
      </c>
      <c r="C112" s="20" t="s">
        <v>57</v>
      </c>
      <c r="D112" s="21"/>
      <c r="E112" s="22"/>
      <c r="F112" s="21" t="s">
        <v>412</v>
      </c>
      <c r="G112" s="29" t="s">
        <v>558</v>
      </c>
      <c r="H112" s="20" t="str">
        <f>SUBSTITUTE(SUBSTITUTE(SUBSTITUTE(S112,"/@","_"),"/cac:","_"),"/cbc:","_")</f>
        <v>Invoice_AccountingCustomerParty_Party_Person_FamilyName</v>
      </c>
      <c r="I112" s="20" t="str">
        <f>SUBSTITUTE(SUBSTITUTE(SUBSTITUTE(T112,"/@","_"),"/cac:","_"),"/cbc:","_")</f>
        <v/>
      </c>
      <c r="J112" s="19"/>
      <c r="K112" s="19" t="s">
        <v>415</v>
      </c>
      <c r="L112" s="20"/>
      <c r="M112" s="25" t="s">
        <v>228</v>
      </c>
      <c r="N112" s="27" t="s">
        <v>64</v>
      </c>
      <c r="O112" s="27" t="s">
        <v>64</v>
      </c>
      <c r="P112" s="27" t="s">
        <v>3016</v>
      </c>
      <c r="Q112" s="26" t="str">
        <f>IF(S112="","",LEN(S112)-LEN(SUBSTITUTE(S112,"/",""))+IF(ISNUMBER(SEARCH("@",S112)),0,1))</f>
        <v>5</v>
      </c>
      <c r="R112" s="42" t="s">
        <v>559</v>
      </c>
      <c r="S112" s="26" t="s">
        <v>559</v>
      </c>
      <c r="T112" s="20"/>
      <c r="U112" s="20"/>
      <c r="V112" s="20"/>
      <c r="W112" s="20"/>
      <c r="X112" s="46"/>
      <c r="Y112" s="20"/>
      <c r="Z112" s="20"/>
      <c r="AA112" s="20" t="s">
        <v>68</v>
      </c>
      <c r="AB112" s="20" t="str">
        <f>IF(ISBLANK(S112),"是","否")</f>
        <v>否</v>
      </c>
      <c r="AC112" s="20"/>
      <c r="AD112" s="25"/>
      <c r="AE112" s="25"/>
      <c r="AH112" s="20" t="s">
        <v>76</v>
      </c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</row>
    <row r="113" ht="29.59398496240601" customHeight="1" spans="1:57" x14ac:dyDescent="0.25">
      <c r="A113" s="25" t="s">
        <v>67</v>
      </c>
      <c r="B113" s="19" t="s">
        <v>442</v>
      </c>
      <c r="C113" s="20" t="s">
        <v>57</v>
      </c>
      <c r="D113" s="21"/>
      <c r="E113" s="22"/>
      <c r="F113" s="21" t="s">
        <v>417</v>
      </c>
      <c r="G113" s="29" t="s">
        <v>560</v>
      </c>
      <c r="H113" s="20" t="str">
        <f>SUBSTITUTE(SUBSTITUTE(SUBSTITUTE(S113,"/@","_"),"/cac:","_"),"/cbc:","_")</f>
        <v>Invoice_AccountingCustomerParty_AccountingContact</v>
      </c>
      <c r="I113" s="20" t="str">
        <f>SUBSTITUTE(SUBSTITUTE(SUBSTITUTE(T113,"/@","_"),"/cac:","_"),"/cbc:","_")</f>
        <v/>
      </c>
      <c r="J113" s="19"/>
      <c r="K113" s="19" t="s">
        <v>561</v>
      </c>
      <c r="L113" s="20"/>
      <c r="M113" s="25" t="s">
        <v>220</v>
      </c>
      <c r="N113" s="27" t="s">
        <v>64</v>
      </c>
      <c r="O113" s="27" t="s">
        <v>64</v>
      </c>
      <c r="P113" s="27" t="s">
        <v>3015</v>
      </c>
      <c r="Q113" s="26" t="str">
        <f>IF(S113="","",LEN(S113)-LEN(SUBSTITUTE(S113,"/",""))+IF(ISNUMBER(SEARCH("@",S113)),0,1))</f>
        <v>3</v>
      </c>
      <c r="R113" s="42" t="s">
        <v>562</v>
      </c>
      <c r="S113" s="26" t="s">
        <v>562</v>
      </c>
      <c r="T113" s="20"/>
      <c r="U113" s="20"/>
      <c r="V113" s="20"/>
      <c r="W113" s="20"/>
      <c r="X113" s="46"/>
      <c r="Y113" s="20"/>
      <c r="Z113" s="20"/>
      <c r="AA113" s="20" t="s">
        <v>222</v>
      </c>
      <c r="AB113" s="20" t="str">
        <f>IF(ISBLANK(S113),"是","否")</f>
        <v>否</v>
      </c>
      <c r="AC113" s="20"/>
      <c r="AD113" s="25"/>
      <c r="AE113" s="25"/>
      <c r="AH113" s="20" t="s">
        <v>76</v>
      </c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</row>
    <row r="114" ht="39.879699248120296" customHeight="1" spans="1:57" x14ac:dyDescent="0.25">
      <c r="A114" s="25" t="s">
        <v>67</v>
      </c>
      <c r="B114" s="19" t="s">
        <v>175</v>
      </c>
      <c r="C114" s="20" t="s">
        <v>57</v>
      </c>
      <c r="D114" s="21"/>
      <c r="E114" s="22"/>
      <c r="F114" s="21" t="s">
        <v>273</v>
      </c>
      <c r="G114" s="29" t="s">
        <v>563</v>
      </c>
      <c r="H114" s="20" t="str">
        <f>SUBSTITUTE(SUBSTITUTE(SUBSTITUTE(S114,"/@","_"),"/cac:","_"),"/cbc:","_")</f>
        <v>Invoice_AccountingCustomerParty_AccountingContact_Name</v>
      </c>
      <c r="I114" s="20" t="str">
        <f>SUBSTITUTE(SUBSTITUTE(SUBSTITUTE(T114,"/@","_"),"/cac:","_"),"/cbc:","_")</f>
        <v/>
      </c>
      <c r="J114" s="19"/>
      <c r="K114" s="19" t="s">
        <v>178</v>
      </c>
      <c r="L114" s="20"/>
      <c r="M114" s="25" t="s">
        <v>228</v>
      </c>
      <c r="N114" s="27" t="s">
        <v>64</v>
      </c>
      <c r="O114" s="27" t="s">
        <v>64</v>
      </c>
      <c r="P114" s="27" t="s">
        <v>3016</v>
      </c>
      <c r="Q114" s="26" t="str">
        <f>IF(S114="","",LEN(S114)-LEN(SUBSTITUTE(S114,"/",""))+IF(ISNUMBER(SEARCH("@",S114)),0,1))</f>
        <v>4</v>
      </c>
      <c r="R114" s="42" t="s">
        <v>564</v>
      </c>
      <c r="S114" s="26" t="s">
        <v>564</v>
      </c>
      <c r="T114" s="20"/>
      <c r="U114" s="20"/>
      <c r="V114" s="20"/>
      <c r="W114" s="20" t="s">
        <v>181</v>
      </c>
      <c r="X114" s="46"/>
      <c r="Y114" s="20"/>
      <c r="Z114" s="20"/>
      <c r="AA114" s="20" t="s">
        <v>68</v>
      </c>
      <c r="AB114" s="20" t="str">
        <f>IF(ISBLANK(S114),"是","否")</f>
        <v>否</v>
      </c>
      <c r="AC114" s="20"/>
      <c r="AD114" s="25"/>
      <c r="AE114" s="25"/>
      <c r="AH114" s="20" t="s">
        <v>76</v>
      </c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</row>
    <row r="115" ht="29.59398496240601" customHeight="1" spans="1:57" x14ac:dyDescent="0.25">
      <c r="A115" s="25" t="s">
        <v>67</v>
      </c>
      <c r="B115" s="19" t="s">
        <v>175</v>
      </c>
      <c r="C115" s="20" t="s">
        <v>57</v>
      </c>
      <c r="D115" s="21"/>
      <c r="E115" s="22"/>
      <c r="F115" s="21" t="s">
        <v>392</v>
      </c>
      <c r="G115" s="29" t="s">
        <v>565</v>
      </c>
      <c r="H115" s="20" t="str">
        <f>SUBSTITUTE(SUBSTITUTE(SUBSTITUTE(S115,"/@","_"),"/cac:","_"),"/cbc:","_")</f>
        <v>Invoice_AccountingCustomerParty_AccountingContact_Telephone</v>
      </c>
      <c r="I115" s="20" t="str">
        <f>SUBSTITUTE(SUBSTITUTE(SUBSTITUTE(T115,"/@","_"),"/cac:","_"),"/cbc:","_")</f>
        <v/>
      </c>
      <c r="J115" s="19"/>
      <c r="K115" s="19" t="s">
        <v>395</v>
      </c>
      <c r="L115" s="20"/>
      <c r="M115" s="25" t="s">
        <v>228</v>
      </c>
      <c r="N115" s="27" t="s">
        <v>64</v>
      </c>
      <c r="O115" s="27" t="s">
        <v>64</v>
      </c>
      <c r="P115" s="27" t="s">
        <v>3016</v>
      </c>
      <c r="Q115" s="26" t="str">
        <f>IF(S115="","",LEN(S115)-LEN(SUBSTITUTE(S115,"/",""))+IF(ISNUMBER(SEARCH("@",S115)),0,1))</f>
        <v>4</v>
      </c>
      <c r="R115" s="42" t="s">
        <v>566</v>
      </c>
      <c r="S115" s="26" t="s">
        <v>566</v>
      </c>
      <c r="T115" s="20"/>
      <c r="U115" s="20"/>
      <c r="V115" s="20"/>
      <c r="W115" s="20"/>
      <c r="X115" s="46"/>
      <c r="Y115" s="20"/>
      <c r="Z115" s="20"/>
      <c r="AA115" s="20" t="s">
        <v>68</v>
      </c>
      <c r="AB115" s="20" t="str">
        <f>IF(ISBLANK(S115),"是","否")</f>
        <v>否</v>
      </c>
      <c r="AC115" s="20"/>
      <c r="AD115" s="25"/>
      <c r="AE115" s="25"/>
      <c r="AH115" s="20" t="s">
        <v>76</v>
      </c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</row>
    <row r="116" ht="29.59398496240601" customHeight="1" spans="1:57" x14ac:dyDescent="0.25">
      <c r="A116" s="25" t="s">
        <v>67</v>
      </c>
      <c r="B116" s="19" t="s">
        <v>175</v>
      </c>
      <c r="C116" s="20" t="s">
        <v>57</v>
      </c>
      <c r="D116" s="21"/>
      <c r="E116" s="22"/>
      <c r="F116" s="21" t="s">
        <v>429</v>
      </c>
      <c r="G116" s="29" t="s">
        <v>567</v>
      </c>
      <c r="H116" s="20" t="str">
        <f>SUBSTITUTE(SUBSTITUTE(SUBSTITUTE(S116,"/@","_"),"/cac:","_"),"/cbc:","_")</f>
        <v>Invoice_AccountingCustomerParty_AccountingContact_Telefax</v>
      </c>
      <c r="I116" s="20" t="str">
        <f>SUBSTITUTE(SUBSTITUTE(SUBSTITUTE(T116,"/@","_"),"/cac:","_"),"/cbc:","_")</f>
        <v/>
      </c>
      <c r="J116" s="19"/>
      <c r="K116" s="19" t="s">
        <v>432</v>
      </c>
      <c r="L116" s="20"/>
      <c r="M116" s="25" t="s">
        <v>228</v>
      </c>
      <c r="N116" s="27" t="s">
        <v>64</v>
      </c>
      <c r="O116" s="27" t="s">
        <v>64</v>
      </c>
      <c r="P116" s="27" t="s">
        <v>3016</v>
      </c>
      <c r="Q116" s="26" t="str">
        <f>IF(S116="","",LEN(S116)-LEN(SUBSTITUTE(S116,"/",""))+IF(ISNUMBER(SEARCH("@",S116)),0,1))</f>
        <v>4</v>
      </c>
      <c r="R116" s="42" t="s">
        <v>568</v>
      </c>
      <c r="S116" s="26" t="s">
        <v>568</v>
      </c>
      <c r="T116" s="20"/>
      <c r="U116" s="20"/>
      <c r="V116" s="20"/>
      <c r="W116" s="20"/>
      <c r="X116" s="46"/>
      <c r="Y116" s="20"/>
      <c r="Z116" s="20"/>
      <c r="AA116" s="20" t="s">
        <v>68</v>
      </c>
      <c r="AB116" s="20" t="str">
        <f>IF(ISBLANK(S116),"是","否")</f>
        <v>否</v>
      </c>
      <c r="AC116" s="20"/>
      <c r="AD116" s="25"/>
      <c r="AE116" s="25"/>
      <c r="AH116" s="20" t="s">
        <v>76</v>
      </c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</row>
    <row r="117" ht="29.59398496240601" customHeight="1" spans="1:57" x14ac:dyDescent="0.25">
      <c r="A117" s="25" t="s">
        <v>67</v>
      </c>
      <c r="B117" s="19" t="s">
        <v>175</v>
      </c>
      <c r="C117" s="20" t="s">
        <v>57</v>
      </c>
      <c r="D117" s="21"/>
      <c r="E117" s="22"/>
      <c r="F117" s="21" t="s">
        <v>397</v>
      </c>
      <c r="G117" s="29" t="s">
        <v>569</v>
      </c>
      <c r="H117" s="20" t="str">
        <f>SUBSTITUTE(SUBSTITUTE(SUBSTITUTE(S117,"/@","_"),"/cac:","_"),"/cbc:","_")</f>
        <v>Invoice_AccountingCustomerParty_AccountingContact_ElectronicMail</v>
      </c>
      <c r="I117" s="20" t="str">
        <f>SUBSTITUTE(SUBSTITUTE(SUBSTITUTE(T117,"/@","_"),"/cac:","_"),"/cbc:","_")</f>
        <v/>
      </c>
      <c r="J117" s="19"/>
      <c r="K117" s="19" t="s">
        <v>400</v>
      </c>
      <c r="L117" s="20"/>
      <c r="M117" s="25" t="s">
        <v>228</v>
      </c>
      <c r="N117" s="27" t="s">
        <v>64</v>
      </c>
      <c r="O117" s="27" t="s">
        <v>64</v>
      </c>
      <c r="P117" s="27" t="s">
        <v>3016</v>
      </c>
      <c r="Q117" s="26" t="str">
        <f>IF(S117="","",LEN(S117)-LEN(SUBSTITUTE(S117,"/",""))+IF(ISNUMBER(SEARCH("@",S117)),0,1))</f>
        <v>4</v>
      </c>
      <c r="R117" s="42" t="s">
        <v>570</v>
      </c>
      <c r="S117" s="26" t="s">
        <v>570</v>
      </c>
      <c r="T117" s="20"/>
      <c r="U117" s="20"/>
      <c r="V117" s="20"/>
      <c r="W117" s="20"/>
      <c r="X117" s="46"/>
      <c r="Y117" s="20"/>
      <c r="Z117" s="20"/>
      <c r="AA117" s="20" t="s">
        <v>68</v>
      </c>
      <c r="AB117" s="20" t="str">
        <f>IF(ISBLANK(S117),"是","否")</f>
        <v>否</v>
      </c>
      <c r="AC117" s="20"/>
      <c r="AD117" s="25"/>
      <c r="AE117" s="25"/>
      <c r="AH117" s="20" t="s">
        <v>76</v>
      </c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</row>
    <row r="118" ht="19.308270676691727" customHeight="1" spans="1:57" x14ac:dyDescent="0.25">
      <c r="A118" s="25" t="s">
        <v>67</v>
      </c>
      <c r="B118" s="19" t="s">
        <v>41</v>
      </c>
      <c r="C118" s="20" t="s">
        <v>57</v>
      </c>
      <c r="D118" s="21"/>
      <c r="E118" s="22"/>
      <c r="F118" s="21" t="s">
        <v>571</v>
      </c>
      <c r="G118" s="29" t="s">
        <v>572</v>
      </c>
      <c r="H118" s="20" t="str">
        <f>SUBSTITUTE(SUBSTITUTE(SUBSTITUTE(S118,"/@","_"),"/cac:","_"),"/cbc:","_")</f>
        <v>Invoice_PayeeParty</v>
      </c>
      <c r="I118" s="20" t="str">
        <f>SUBSTITUTE(SUBSTITUTE(SUBSTITUTE(T118,"/@","_"),"/cac:","_"),"/cbc:","_")</f>
        <v/>
      </c>
      <c r="J118" s="19"/>
      <c r="K118" s="19" t="s">
        <v>573</v>
      </c>
      <c r="L118" s="25"/>
      <c r="M118" s="25" t="s">
        <v>220</v>
      </c>
      <c r="N118" s="27" t="s">
        <v>165</v>
      </c>
      <c r="O118" s="27" t="s">
        <v>64</v>
      </c>
      <c r="P118" s="27" t="s">
        <v>3014</v>
      </c>
      <c r="Q118" s="26" t="str">
        <f>IF(S118="","",LEN(S118)-LEN(SUBSTITUTE(S118,"/",""))+IF(ISNUMBER(SEARCH("@",S118)),0,1))</f>
        <v>2</v>
      </c>
      <c r="R118" s="42" t="s">
        <v>574</v>
      </c>
      <c r="S118" s="26" t="s">
        <v>574</v>
      </c>
      <c r="T118" s="20"/>
      <c r="U118" s="20"/>
      <c r="V118" s="25"/>
      <c r="W118" s="20"/>
      <c r="X118" s="46"/>
      <c r="Y118" s="20"/>
      <c r="Z118" s="20"/>
      <c r="AA118" s="20" t="s">
        <v>222</v>
      </c>
      <c r="AB118" s="20" t="str">
        <f>IF(ISBLANK(S118),"是","否")</f>
        <v>否</v>
      </c>
      <c r="AC118" s="20"/>
      <c r="AD118" s="25"/>
      <c r="AE118" s="25"/>
      <c r="AH118" s="20" t="s">
        <v>76</v>
      </c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</row>
    <row r="119" ht="29.59398496240601" customHeight="1" spans="1:57" x14ac:dyDescent="0.25">
      <c r="A119" s="25" t="s">
        <v>67</v>
      </c>
      <c r="B119" s="19" t="s">
        <v>230</v>
      </c>
      <c r="C119" s="20" t="s">
        <v>57</v>
      </c>
      <c r="D119" s="21"/>
      <c r="E119" s="22"/>
      <c r="F119" s="21" t="s">
        <v>235</v>
      </c>
      <c r="G119" s="29" t="s">
        <v>575</v>
      </c>
      <c r="H119" s="20" t="str">
        <f>SUBSTITUTE(SUBSTITUTE(SUBSTITUTE(S119,"/@","_"),"/cac:","_"),"/cbc:","_")</f>
        <v>Invoice_PayeeParty_EndpointID</v>
      </c>
      <c r="I119" s="20" t="str">
        <f>SUBSTITUTE(SUBSTITUTE(SUBSTITUTE(T119,"/@","_"),"/cac:","_"),"/cbc:","_")</f>
        <v/>
      </c>
      <c r="J119" s="19"/>
      <c r="K119" s="19" t="s">
        <v>238</v>
      </c>
      <c r="L119" s="25"/>
      <c r="M119" s="25" t="s">
        <v>228</v>
      </c>
      <c r="N119" s="27" t="s">
        <v>64</v>
      </c>
      <c r="O119" s="27" t="s">
        <v>64</v>
      </c>
      <c r="P119" s="27" t="s">
        <v>3015</v>
      </c>
      <c r="Q119" s="26" t="str">
        <f>IF(S119="","",LEN(S119)-LEN(SUBSTITUTE(S119,"/",""))+IF(ISNUMBER(SEARCH("@",S119)),0,1))</f>
        <v>3</v>
      </c>
      <c r="R119" s="42" t="s">
        <v>576</v>
      </c>
      <c r="S119" s="26" t="s">
        <v>576</v>
      </c>
      <c r="T119" s="20"/>
      <c r="U119" s="20"/>
      <c r="V119" s="25"/>
      <c r="W119" s="20" t="s">
        <v>240</v>
      </c>
      <c r="X119" s="46"/>
      <c r="Y119" s="20"/>
      <c r="Z119" s="20"/>
      <c r="AA119" s="20" t="s">
        <v>68</v>
      </c>
      <c r="AB119" s="20" t="str">
        <f>IF(ISBLANK(S119),"是","否")</f>
        <v>否</v>
      </c>
      <c r="AC119" s="20"/>
      <c r="AD119" s="25"/>
      <c r="AE119" s="25"/>
      <c r="AH119" s="20" t="s">
        <v>76</v>
      </c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</row>
    <row r="120" ht="29.59398496240601" customHeight="1" spans="1:57" x14ac:dyDescent="0.25">
      <c r="A120" s="25" t="s">
        <v>67</v>
      </c>
      <c r="B120" s="19" t="s">
        <v>230</v>
      </c>
      <c r="C120" s="20" t="s">
        <v>57</v>
      </c>
      <c r="D120" s="21"/>
      <c r="E120" s="22"/>
      <c r="F120" s="21" t="s">
        <v>241</v>
      </c>
      <c r="G120" s="29" t="s">
        <v>577</v>
      </c>
      <c r="H120" s="20" t="str">
        <f>SUBSTITUTE(SUBSTITUTE(SUBSTITUTE(S120,"/@","_"),"/cac:","_"),"/cbc:","_")</f>
        <v>Invoice_PayeeParty_EndpointID_schemeID</v>
      </c>
      <c r="I120" s="20" t="str">
        <f>SUBSTITUTE(SUBSTITUTE(SUBSTITUTE(T120,"/@","_"),"/cac:","_"),"/cbc:","_")</f>
        <v/>
      </c>
      <c r="J120" s="19"/>
      <c r="K120" s="19" t="s">
        <v>238</v>
      </c>
      <c r="L120" s="25"/>
      <c r="M120" s="25" t="s">
        <v>243</v>
      </c>
      <c r="N120" s="27" t="s">
        <v>64</v>
      </c>
      <c r="O120" s="27" t="s">
        <v>64</v>
      </c>
      <c r="P120" s="27" t="s">
        <v>3015</v>
      </c>
      <c r="Q120" s="26" t="str">
        <f>IF(S120="","",LEN(S120)-LEN(SUBSTITUTE(S120,"/",""))+IF(ISNUMBER(SEARCH("@",S120)),0,1))</f>
        <v>3</v>
      </c>
      <c r="R120" s="42" t="s">
        <v>578</v>
      </c>
      <c r="S120" s="26" t="s">
        <v>578</v>
      </c>
      <c r="T120" s="20"/>
      <c r="U120" s="20"/>
      <c r="V120" s="25"/>
      <c r="W120" s="20" t="s">
        <v>240</v>
      </c>
      <c r="X120" s="46"/>
      <c r="Y120" s="20"/>
      <c r="Z120" s="20"/>
      <c r="AA120" s="20" t="s">
        <v>68</v>
      </c>
      <c r="AB120" s="20" t="str">
        <f>IF(ISBLANK(S120),"是","否")</f>
        <v>否</v>
      </c>
      <c r="AC120" s="20"/>
      <c r="AD120" s="25"/>
      <c r="AE120" s="25"/>
      <c r="AH120" s="20" t="s">
        <v>76</v>
      </c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</row>
    <row r="121" ht="29.59398496240601" customHeight="1" spans="1:57" x14ac:dyDescent="0.25">
      <c r="A121" s="25" t="s">
        <v>67</v>
      </c>
      <c r="B121" s="19" t="s">
        <v>230</v>
      </c>
      <c r="C121" s="20" t="s">
        <v>57</v>
      </c>
      <c r="D121" s="21"/>
      <c r="E121" s="22"/>
      <c r="F121" s="21" t="s">
        <v>255</v>
      </c>
      <c r="G121" s="29" t="s">
        <v>579</v>
      </c>
      <c r="H121" s="20" t="str">
        <f>SUBSTITUTE(SUBSTITUTE(SUBSTITUTE(S121,"/@","_"),"/cac:","_"),"/cbc:","_")</f>
        <v>Invoice_PayeeParty_PartyIdentification</v>
      </c>
      <c r="I121" s="20" t="str">
        <f>SUBSTITUTE(SUBSTITUTE(SUBSTITUTE(T121,"/@","_"),"/cac:","_"),"/cbc:","_")</f>
        <v/>
      </c>
      <c r="J121" s="19"/>
      <c r="K121" s="19" t="s">
        <v>257</v>
      </c>
      <c r="L121" s="25"/>
      <c r="M121" s="25" t="s">
        <v>220</v>
      </c>
      <c r="N121" s="27" t="s">
        <v>64</v>
      </c>
      <c r="O121" s="27" t="s">
        <v>49</v>
      </c>
      <c r="P121" s="27"/>
      <c r="Q121" s="26" t="str">
        <f>IF(S121="","",LEN(S121)-LEN(SUBSTITUTE(S121,"/",""))+IF(ISNUMBER(SEARCH("@",S121)),0,1))</f>
        <v>3</v>
      </c>
      <c r="R121" s="42" t="s">
        <v>581</v>
      </c>
      <c r="S121" s="26" t="s">
        <v>581</v>
      </c>
      <c r="T121" s="20"/>
      <c r="U121" s="20"/>
      <c r="V121" s="25"/>
      <c r="W121" s="20"/>
      <c r="X121" s="46"/>
      <c r="Y121" s="20"/>
      <c r="Z121" s="20"/>
      <c r="AA121" s="20" t="s">
        <v>222</v>
      </c>
      <c r="AB121" s="20" t="str">
        <f>IF(ISBLANK(S121),"是","否")</f>
        <v>否</v>
      </c>
      <c r="AC121" s="20"/>
      <c r="AD121" s="25"/>
      <c r="AE121" s="25"/>
      <c r="AH121" s="20" t="s">
        <v>76</v>
      </c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</row>
    <row r="122" ht="29.59398496240601" customHeight="1" spans="1:57" x14ac:dyDescent="0.25">
      <c r="A122" s="25" t="s">
        <v>67</v>
      </c>
      <c r="B122" s="19" t="s">
        <v>255</v>
      </c>
      <c r="C122" s="20" t="s">
        <v>57</v>
      </c>
      <c r="D122" s="21"/>
      <c r="E122" s="22"/>
      <c r="F122" s="21" t="s">
        <v>260</v>
      </c>
      <c r="G122" s="29" t="s">
        <v>582</v>
      </c>
      <c r="H122" s="20" t="str">
        <f>SUBSTITUTE(SUBSTITUTE(SUBSTITUTE(S122,"/@","_"),"/cac:","_"),"/cbc:","_")</f>
        <v>Invoice_PayeeParty_PartyIdentification_ID</v>
      </c>
      <c r="I122" s="20" t="str">
        <f>SUBSTITUTE(SUBSTITUTE(SUBSTITUTE(T122,"/@","_"),"/cac:","_"),"/cbc:","_")</f>
        <v/>
      </c>
      <c r="J122" s="19"/>
      <c r="K122" s="19" t="s">
        <v>263</v>
      </c>
      <c r="L122" s="25"/>
      <c r="M122" s="25" t="s">
        <v>228</v>
      </c>
      <c r="N122" s="27" t="s">
        <v>64</v>
      </c>
      <c r="O122" s="27" t="s">
        <v>165</v>
      </c>
      <c r="P122" s="27" t="s">
        <v>3015</v>
      </c>
      <c r="Q122" s="26" t="str">
        <f>IF(S122="","",LEN(S122)-LEN(SUBSTITUTE(S122,"/",""))+IF(ISNUMBER(SEARCH("@",S122)),0,1))</f>
        <v>4</v>
      </c>
      <c r="R122" s="42" t="s">
        <v>583</v>
      </c>
      <c r="S122" s="26" t="s">
        <v>583</v>
      </c>
      <c r="T122" s="20"/>
      <c r="U122" s="20"/>
      <c r="V122" s="25"/>
      <c r="W122" s="20"/>
      <c r="X122" s="46"/>
      <c r="Y122" s="20"/>
      <c r="Z122" s="20"/>
      <c r="AA122" s="20" t="s">
        <v>68</v>
      </c>
      <c r="AB122" s="20" t="str">
        <f>IF(ISBLANK(S122),"是","否")</f>
        <v>否</v>
      </c>
      <c r="AC122" s="20"/>
      <c r="AD122" s="25"/>
      <c r="AE122" s="25"/>
      <c r="AH122" s="20" t="s">
        <v>76</v>
      </c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</row>
    <row r="123" ht="29.59398496240601" customHeight="1" spans="1:57" x14ac:dyDescent="0.25">
      <c r="A123" s="25" t="s">
        <v>67</v>
      </c>
      <c r="B123" s="19" t="s">
        <v>255</v>
      </c>
      <c r="C123" s="20" t="s">
        <v>57</v>
      </c>
      <c r="D123" s="21"/>
      <c r="E123" s="22"/>
      <c r="F123" s="21" t="s">
        <v>265</v>
      </c>
      <c r="G123" s="29" t="s">
        <v>584</v>
      </c>
      <c r="H123" s="20" t="str">
        <f>SUBSTITUTE(SUBSTITUTE(SUBSTITUTE(S123,"/@","_"),"/cac:","_"),"/cbc:","_")</f>
        <v>Invoice_PayeeParty_PartyIdentification_ID_schemeID</v>
      </c>
      <c r="I123" s="20" t="str">
        <f>SUBSTITUTE(SUBSTITUTE(SUBSTITUTE(T123,"/@","_"),"/cac:","_"),"/cbc:","_")</f>
        <v/>
      </c>
      <c r="J123" s="19"/>
      <c r="K123" s="19" t="s">
        <v>263</v>
      </c>
      <c r="L123" s="25"/>
      <c r="M123" s="25" t="s">
        <v>243</v>
      </c>
      <c r="N123" s="27" t="s">
        <v>64</v>
      </c>
      <c r="O123" s="27" t="s">
        <v>165</v>
      </c>
      <c r="P123" s="27" t="s">
        <v>3015</v>
      </c>
      <c r="Q123" s="26" t="str">
        <f>IF(S123="","",LEN(S123)-LEN(SUBSTITUTE(S123,"/",""))+IF(ISNUMBER(SEARCH("@",S123)),0,1))</f>
        <v>4</v>
      </c>
      <c r="R123" s="42" t="s">
        <v>585</v>
      </c>
      <c r="S123" s="26" t="s">
        <v>585</v>
      </c>
      <c r="T123" s="20"/>
      <c r="U123" s="20"/>
      <c r="V123" s="25"/>
      <c r="W123" s="20"/>
      <c r="X123" s="46"/>
      <c r="Y123" s="20"/>
      <c r="Z123" s="20"/>
      <c r="AA123" s="20" t="s">
        <v>68</v>
      </c>
      <c r="AB123" s="20" t="str">
        <f>IF(ISBLANK(S123),"是","否")</f>
        <v>否</v>
      </c>
      <c r="AC123" s="20"/>
      <c r="AD123" s="25"/>
      <c r="AE123" s="25"/>
      <c r="AH123" s="20" t="s">
        <v>76</v>
      </c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</row>
    <row r="124" ht="19.308270676691727" customHeight="1" spans="1:57" x14ac:dyDescent="0.25">
      <c r="A124" s="25" t="s">
        <v>67</v>
      </c>
      <c r="B124" s="19" t="s">
        <v>230</v>
      </c>
      <c r="C124" s="20" t="s">
        <v>57</v>
      </c>
      <c r="D124" s="21"/>
      <c r="E124" s="22"/>
      <c r="F124" s="21" t="s">
        <v>188</v>
      </c>
      <c r="G124" s="29" t="s">
        <v>586</v>
      </c>
      <c r="H124" s="20" t="str">
        <f>SUBSTITUTE(SUBSTITUTE(SUBSTITUTE(S124,"/@","_"),"/cac:","_"),"/cbc:","_")</f>
        <v>Invoice_PayeeParty_PartyName</v>
      </c>
      <c r="I124" s="20" t="str">
        <f>SUBSTITUTE(SUBSTITUTE(SUBSTITUTE(T124,"/@","_"),"/cac:","_"),"/cbc:","_")</f>
        <v/>
      </c>
      <c r="J124" s="19"/>
      <c r="K124" s="19" t="s">
        <v>271</v>
      </c>
      <c r="L124" s="25"/>
      <c r="M124" s="25" t="s">
        <v>220</v>
      </c>
      <c r="N124" s="27"/>
      <c r="O124" s="27" t="s">
        <v>49</v>
      </c>
      <c r="P124" s="27"/>
      <c r="Q124" s="26" t="str">
        <f>IF(S124="","",LEN(S124)-LEN(SUBSTITUTE(S124,"/",""))+IF(ISNUMBER(SEARCH("@",S124)),0,1))</f>
        <v>3</v>
      </c>
      <c r="R124" s="42" t="s">
        <v>587</v>
      </c>
      <c r="S124" s="26" t="s">
        <v>587</v>
      </c>
      <c r="T124" s="20"/>
      <c r="U124" s="20"/>
      <c r="V124" s="25"/>
      <c r="W124" s="20"/>
      <c r="X124" s="46"/>
      <c r="Y124" s="20"/>
      <c r="Z124" s="20"/>
      <c r="AA124" s="20" t="s">
        <v>222</v>
      </c>
      <c r="AB124" s="20" t="str">
        <f>IF(ISBLANK(S124),"是","否")</f>
        <v>否</v>
      </c>
      <c r="AC124" s="20"/>
      <c r="AD124" s="25"/>
      <c r="AE124" s="25"/>
      <c r="AH124" s="20" t="s">
        <v>76</v>
      </c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</row>
    <row r="125" ht="29.59398496240601" customHeight="1" spans="1:57" x14ac:dyDescent="0.25">
      <c r="A125" s="25" t="s">
        <v>67</v>
      </c>
      <c r="B125" s="19" t="s">
        <v>188</v>
      </c>
      <c r="C125" s="20" t="s">
        <v>57</v>
      </c>
      <c r="D125" s="21"/>
      <c r="E125" s="22"/>
      <c r="F125" s="21" t="s">
        <v>273</v>
      </c>
      <c r="G125" s="29" t="s">
        <v>588</v>
      </c>
      <c r="H125" s="20" t="str">
        <f>SUBSTITUTE(SUBSTITUTE(SUBSTITUTE(S125,"/@","_"),"/cac:","_"),"/cbc:","_")</f>
        <v>Invoice_PayeeParty_PartyName_Name</v>
      </c>
      <c r="I125" s="20" t="str">
        <f>SUBSTITUTE(SUBSTITUTE(SUBSTITUTE(T125,"/@","_"),"/cac:","_"),"/cbc:","_")</f>
        <v/>
      </c>
      <c r="J125" s="19"/>
      <c r="K125" s="19" t="s">
        <v>191</v>
      </c>
      <c r="L125" s="25"/>
      <c r="M125" s="25" t="s">
        <v>228</v>
      </c>
      <c r="N125" s="27"/>
      <c r="O125" s="27" t="s">
        <v>165</v>
      </c>
      <c r="P125" s="27"/>
      <c r="Q125" s="26" t="str">
        <f>IF(S125="","",LEN(S125)-LEN(SUBSTITUTE(S125,"/",""))+IF(ISNUMBER(SEARCH("@",S125)),0,1))</f>
        <v>4</v>
      </c>
      <c r="R125" s="42" t="s">
        <v>192</v>
      </c>
      <c r="S125" s="26" t="s">
        <v>192</v>
      </c>
      <c r="T125" s="20"/>
      <c r="U125" s="20"/>
      <c r="V125" s="25"/>
      <c r="W125" s="20" t="s">
        <v>194</v>
      </c>
      <c r="X125" s="46"/>
      <c r="Y125" s="20"/>
      <c r="Z125" s="20"/>
      <c r="AA125" s="20" t="s">
        <v>68</v>
      </c>
      <c r="AB125" s="20" t="str">
        <f>IF(ISBLANK(S125),"是","否")</f>
        <v>否</v>
      </c>
      <c r="AC125" s="20"/>
      <c r="AD125" s="25"/>
      <c r="AE125" s="25"/>
      <c r="AH125" s="20" t="s">
        <v>76</v>
      </c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</row>
    <row r="126" ht="29.59398496240601" customHeight="1" spans="1:57" x14ac:dyDescent="0.25">
      <c r="A126" s="25" t="s">
        <v>67</v>
      </c>
      <c r="B126" s="19" t="s">
        <v>230</v>
      </c>
      <c r="C126" s="20" t="s">
        <v>57</v>
      </c>
      <c r="D126" s="21"/>
      <c r="E126" s="22"/>
      <c r="F126" s="21" t="s">
        <v>466</v>
      </c>
      <c r="G126" s="29" t="s">
        <v>589</v>
      </c>
      <c r="H126" s="20" t="str">
        <f>SUBSTITUTE(SUBSTITUTE(SUBSTITUTE(S126,"/@","_"),"/cac:","_"),"/cbc:","_")</f>
        <v>Invoice_PayeeParty_PostalAddress</v>
      </c>
      <c r="I126" s="20" t="str">
        <f>SUBSTITUTE(SUBSTITUTE(SUBSTITUTE(T126,"/@","_"),"/cac:","_"),"/cbc:","_")</f>
        <v/>
      </c>
      <c r="J126" s="19"/>
      <c r="K126" s="19" t="s">
        <v>280</v>
      </c>
      <c r="L126" s="25"/>
      <c r="M126" s="25" t="s">
        <v>220</v>
      </c>
      <c r="N126" s="27" t="s">
        <v>64</v>
      </c>
      <c r="O126" s="27" t="s">
        <v>64</v>
      </c>
      <c r="P126" s="27" t="s">
        <v>3015</v>
      </c>
      <c r="Q126" s="26" t="str">
        <f>IF(S126="","",LEN(S126)-LEN(SUBSTITUTE(S126,"/",""))+IF(ISNUMBER(SEARCH("@",S126)),0,1))</f>
        <v>3</v>
      </c>
      <c r="R126" s="42" t="s">
        <v>590</v>
      </c>
      <c r="S126" s="26" t="s">
        <v>590</v>
      </c>
      <c r="T126" s="20"/>
      <c r="U126" s="20"/>
      <c r="V126" s="25"/>
      <c r="W126" s="20"/>
      <c r="X126" s="46"/>
      <c r="Y126" s="20"/>
      <c r="Z126" s="20"/>
      <c r="AA126" s="20" t="s">
        <v>222</v>
      </c>
      <c r="AB126" s="20" t="str">
        <f>IF(ISBLANK(S126),"是","否")</f>
        <v>否</v>
      </c>
      <c r="AC126" s="20"/>
      <c r="AD126" s="25"/>
      <c r="AE126" s="25"/>
      <c r="AH126" s="20" t="s">
        <v>76</v>
      </c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</row>
    <row r="127" ht="29.59398496240601" customHeight="1" spans="1:57" x14ac:dyDescent="0.25">
      <c r="A127" s="25" t="s">
        <v>67</v>
      </c>
      <c r="B127" s="19" t="s">
        <v>282</v>
      </c>
      <c r="C127" s="20" t="s">
        <v>57</v>
      </c>
      <c r="D127" s="21"/>
      <c r="E127" s="22"/>
      <c r="F127" s="21" t="s">
        <v>469</v>
      </c>
      <c r="G127" s="29" t="s">
        <v>591</v>
      </c>
      <c r="H127" s="20" t="str">
        <f>SUBSTITUTE(SUBSTITUTE(SUBSTITUTE(S127,"/@","_"),"/cac:","_"),"/cbc:","_")</f>
        <v>Invoice_PayeeParty_PostalAddress_Postbox</v>
      </c>
      <c r="I127" s="20" t="str">
        <f>SUBSTITUTE(SUBSTITUTE(SUBSTITUTE(T127,"/@","_"),"/cac:","_"),"/cbc:","_")</f>
        <v/>
      </c>
      <c r="J127" s="19" t="s">
        <v>472</v>
      </c>
      <c r="K127" s="19" t="s">
        <v>473</v>
      </c>
      <c r="L127" s="25"/>
      <c r="M127" s="25" t="s">
        <v>228</v>
      </c>
      <c r="N127" s="27" t="s">
        <v>64</v>
      </c>
      <c r="O127" s="27" t="s">
        <v>64</v>
      </c>
      <c r="P127" s="27" t="s">
        <v>3016</v>
      </c>
      <c r="Q127" s="26" t="str">
        <f>IF(S127="","",LEN(S127)-LEN(SUBSTITUTE(S127,"/",""))+IF(ISNUMBER(SEARCH("@",S127)),0,1))</f>
        <v>4</v>
      </c>
      <c r="R127" s="42" t="s">
        <v>592</v>
      </c>
      <c r="S127" s="26" t="s">
        <v>592</v>
      </c>
      <c r="T127" s="20"/>
      <c r="U127" s="20"/>
      <c r="V127" s="25"/>
      <c r="W127" s="20" t="s">
        <v>475</v>
      </c>
      <c r="X127" s="46"/>
      <c r="Y127" s="20"/>
      <c r="Z127" s="20"/>
      <c r="AA127" s="20" t="s">
        <v>68</v>
      </c>
      <c r="AB127" s="20" t="str">
        <f>IF(ISBLANK(S127),"是","否")</f>
        <v>否</v>
      </c>
      <c r="AC127" s="20"/>
      <c r="AD127" s="25"/>
      <c r="AE127" s="25"/>
      <c r="AH127" s="20" t="s">
        <v>76</v>
      </c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</row>
    <row r="128" ht="29.59398496240601" customHeight="1" spans="1:57" x14ac:dyDescent="0.25">
      <c r="A128" s="25" t="s">
        <v>67</v>
      </c>
      <c r="B128" s="19" t="s">
        <v>282</v>
      </c>
      <c r="C128" s="20" t="s">
        <v>57</v>
      </c>
      <c r="D128" s="21"/>
      <c r="E128" s="22"/>
      <c r="F128" s="21" t="s">
        <v>283</v>
      </c>
      <c r="G128" s="29" t="s">
        <v>593</v>
      </c>
      <c r="H128" s="20" t="str">
        <f>SUBSTITUTE(SUBSTITUTE(SUBSTITUTE(S128,"/@","_"),"/cac:","_"),"/cbc:","_")</f>
        <v>Invoice_PayeeParty_PostalAddress_StreetName</v>
      </c>
      <c r="I128" s="20" t="str">
        <f>SUBSTITUTE(SUBSTITUTE(SUBSTITUTE(T128,"/@","_"),"/cac:","_"),"/cbc:","_")</f>
        <v/>
      </c>
      <c r="J128" s="19" t="s">
        <v>286</v>
      </c>
      <c r="K128" s="19" t="s">
        <v>287</v>
      </c>
      <c r="L128" s="25"/>
      <c r="M128" s="25" t="s">
        <v>228</v>
      </c>
      <c r="N128" s="27" t="s">
        <v>64</v>
      </c>
      <c r="O128" s="27" t="s">
        <v>64</v>
      </c>
      <c r="P128" s="27" t="s">
        <v>3016</v>
      </c>
      <c r="Q128" s="26" t="str">
        <f>IF(S128="","",LEN(S128)-LEN(SUBSTITUTE(S128,"/",""))+IF(ISNUMBER(SEARCH("@",S128)),0,1))</f>
        <v>4</v>
      </c>
      <c r="R128" s="42" t="s">
        <v>594</v>
      </c>
      <c r="S128" s="26" t="s">
        <v>594</v>
      </c>
      <c r="T128" s="20"/>
      <c r="U128" s="20"/>
      <c r="V128" s="25"/>
      <c r="W128" s="20" t="s">
        <v>289</v>
      </c>
      <c r="X128" s="46"/>
      <c r="Y128" s="20"/>
      <c r="Z128" s="20"/>
      <c r="AA128" s="20" t="s">
        <v>68</v>
      </c>
      <c r="AB128" s="20" t="str">
        <f>IF(ISBLANK(S128),"是","否")</f>
        <v>否</v>
      </c>
      <c r="AC128" s="20"/>
      <c r="AD128" s="25"/>
      <c r="AE128" s="25"/>
      <c r="AH128" s="20" t="s">
        <v>76</v>
      </c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</row>
    <row r="129" ht="29.59398496240601" customHeight="1" spans="1:57" x14ac:dyDescent="0.25">
      <c r="A129" s="25" t="s">
        <v>67</v>
      </c>
      <c r="B129" s="19" t="s">
        <v>282</v>
      </c>
      <c r="C129" s="20" t="s">
        <v>57</v>
      </c>
      <c r="D129" s="21"/>
      <c r="E129" s="22"/>
      <c r="F129" s="21" t="s">
        <v>478</v>
      </c>
      <c r="G129" s="29" t="s">
        <v>595</v>
      </c>
      <c r="H129" s="20" t="str">
        <f>SUBSTITUTE(SUBSTITUTE(SUBSTITUTE(S129,"/@","_"),"/cac:","_"),"/cbc:","_")</f>
        <v>Invoice_PayeeParty_PostalAddress_AdditionalStreetName</v>
      </c>
      <c r="I129" s="20" t="str">
        <f>SUBSTITUTE(SUBSTITUTE(SUBSTITUTE(T129,"/@","_"),"/cac:","_"),"/cbc:","_")</f>
        <v/>
      </c>
      <c r="J129" s="19" t="s">
        <v>286</v>
      </c>
      <c r="K129" s="19" t="s">
        <v>481</v>
      </c>
      <c r="L129" s="25"/>
      <c r="M129" s="25" t="s">
        <v>228</v>
      </c>
      <c r="N129" s="27" t="s">
        <v>64</v>
      </c>
      <c r="O129" s="27" t="s">
        <v>64</v>
      </c>
      <c r="P129" s="27" t="s">
        <v>3016</v>
      </c>
      <c r="Q129" s="26" t="str">
        <f>IF(S129="","",LEN(S129)-LEN(SUBSTITUTE(S129,"/",""))+IF(ISNUMBER(SEARCH("@",S129)),0,1))</f>
        <v>4</v>
      </c>
      <c r="R129" s="42" t="s">
        <v>596</v>
      </c>
      <c r="S129" s="26" t="s">
        <v>596</v>
      </c>
      <c r="T129" s="20"/>
      <c r="U129" s="20"/>
      <c r="V129" s="25"/>
      <c r="W129" s="20" t="s">
        <v>483</v>
      </c>
      <c r="X129" s="46"/>
      <c r="Y129" s="20"/>
      <c r="Z129" s="20"/>
      <c r="AA129" s="20" t="s">
        <v>68</v>
      </c>
      <c r="AB129" s="20" t="str">
        <f>IF(ISBLANK(S129),"是","否")</f>
        <v>否</v>
      </c>
      <c r="AC129" s="20"/>
      <c r="AD129" s="25"/>
      <c r="AE129" s="25"/>
      <c r="AH129" s="20" t="s">
        <v>76</v>
      </c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</row>
    <row r="130" ht="29.59398496240601" customHeight="1" spans="1:57" x14ac:dyDescent="0.25">
      <c r="A130" s="25" t="s">
        <v>67</v>
      </c>
      <c r="B130" s="19" t="s">
        <v>282</v>
      </c>
      <c r="C130" s="20" t="s">
        <v>57</v>
      </c>
      <c r="D130" s="21"/>
      <c r="E130" s="22"/>
      <c r="F130" s="21" t="s">
        <v>484</v>
      </c>
      <c r="G130" s="29" t="s">
        <v>597</v>
      </c>
      <c r="H130" s="20" t="str">
        <f>SUBSTITUTE(SUBSTITUTE(SUBSTITUTE(S130,"/@","_"),"/cac:","_"),"/cbc:","_")</f>
        <v>Invoice_PayeeParty_PostalAddress_BuildingNumber</v>
      </c>
      <c r="I130" s="20" t="str">
        <f>SUBSTITUTE(SUBSTITUTE(SUBSTITUTE(T130,"/@","_"),"/cac:","_"),"/cbc:","_")</f>
        <v/>
      </c>
      <c r="J130" s="19" t="s">
        <v>487</v>
      </c>
      <c r="K130" s="19" t="s">
        <v>488</v>
      </c>
      <c r="L130" s="25"/>
      <c r="M130" s="25" t="s">
        <v>228</v>
      </c>
      <c r="N130" s="27" t="s">
        <v>64</v>
      </c>
      <c r="O130" s="27" t="s">
        <v>64</v>
      </c>
      <c r="P130" s="27" t="s">
        <v>3016</v>
      </c>
      <c r="Q130" s="26" t="str">
        <f>IF(S130="","",LEN(S130)-LEN(SUBSTITUTE(S130,"/",""))+IF(ISNUMBER(SEARCH("@",S130)),0,1))</f>
        <v>4</v>
      </c>
      <c r="R130" s="42" t="s">
        <v>598</v>
      </c>
      <c r="S130" s="26" t="s">
        <v>598</v>
      </c>
      <c r="T130" s="20"/>
      <c r="U130" s="20"/>
      <c r="V130" s="25"/>
      <c r="W130" s="20" t="s">
        <v>490</v>
      </c>
      <c r="X130" s="46"/>
      <c r="Y130" s="20"/>
      <c r="Z130" s="20"/>
      <c r="AA130" s="20" t="s">
        <v>68</v>
      </c>
      <c r="AB130" s="20" t="str">
        <f>IF(ISBLANK(S130),"是","否")</f>
        <v>否</v>
      </c>
      <c r="AC130" s="20"/>
      <c r="AD130" s="25"/>
      <c r="AE130" s="25"/>
      <c r="AH130" s="20" t="s">
        <v>76</v>
      </c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</row>
    <row r="131" ht="29.59398496240601" customHeight="1" spans="1:57" x14ac:dyDescent="0.25">
      <c r="A131" s="25" t="s">
        <v>67</v>
      </c>
      <c r="B131" s="19" t="s">
        <v>282</v>
      </c>
      <c r="C131" s="20" t="s">
        <v>57</v>
      </c>
      <c r="D131" s="21"/>
      <c r="E131" s="22"/>
      <c r="F131" s="21" t="s">
        <v>491</v>
      </c>
      <c r="G131" s="29" t="s">
        <v>599</v>
      </c>
      <c r="H131" s="20" t="str">
        <f>SUBSTITUTE(SUBSTITUTE(SUBSTITUTE(S131,"/@","_"),"/cac:","_"),"/cbc:","_")</f>
        <v>Invoice_PayeeParty_PostalAddress_Department</v>
      </c>
      <c r="I131" s="20" t="str">
        <f>SUBSTITUTE(SUBSTITUTE(SUBSTITUTE(T131,"/@","_"),"/cac:","_"),"/cbc:","_")</f>
        <v/>
      </c>
      <c r="J131" s="19" t="s">
        <v>491</v>
      </c>
      <c r="K131" s="19" t="s">
        <v>494</v>
      </c>
      <c r="L131" s="25"/>
      <c r="M131" s="25" t="s">
        <v>228</v>
      </c>
      <c r="N131" s="27" t="s">
        <v>64</v>
      </c>
      <c r="O131" s="27" t="s">
        <v>64</v>
      </c>
      <c r="P131" s="27" t="s">
        <v>3016</v>
      </c>
      <c r="Q131" s="26" t="str">
        <f>IF(S131="","",LEN(S131)-LEN(SUBSTITUTE(S131,"/",""))+IF(ISNUMBER(SEARCH("@",S131)),0,1))</f>
        <v>4</v>
      </c>
      <c r="R131" s="42" t="s">
        <v>600</v>
      </c>
      <c r="S131" s="26" t="s">
        <v>600</v>
      </c>
      <c r="T131" s="20"/>
      <c r="U131" s="20"/>
      <c r="V131" s="25"/>
      <c r="W131" s="20" t="s">
        <v>496</v>
      </c>
      <c r="X131" s="46"/>
      <c r="Y131" s="20"/>
      <c r="Z131" s="20"/>
      <c r="AA131" s="20" t="s">
        <v>68</v>
      </c>
      <c r="AB131" s="20" t="str">
        <f>IF(ISBLANK(S131),"是","否")</f>
        <v>否</v>
      </c>
      <c r="AC131" s="20"/>
      <c r="AD131" s="25"/>
      <c r="AE131" s="25"/>
      <c r="AH131" s="20" t="s">
        <v>76</v>
      </c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</row>
    <row r="132" ht="39.879699248120296" customHeight="1" spans="1:57" x14ac:dyDescent="0.25">
      <c r="A132" s="25" t="s">
        <v>67</v>
      </c>
      <c r="B132" s="19" t="s">
        <v>282</v>
      </c>
      <c r="C132" s="20" t="s">
        <v>57</v>
      </c>
      <c r="D132" s="21"/>
      <c r="E132" s="22"/>
      <c r="F132" s="21" t="s">
        <v>497</v>
      </c>
      <c r="G132" s="29" t="s">
        <v>601</v>
      </c>
      <c r="H132" s="20" t="str">
        <f>SUBSTITUTE(SUBSTITUTE(SUBSTITUTE(S132,"/@","_"),"/cac:","_"),"/cbc:","_")</f>
        <v>Invoice_PayeeParty_PostalAddress_PlotIdentification</v>
      </c>
      <c r="I132" s="20" t="str">
        <f>SUBSTITUTE(SUBSTITUTE(SUBSTITUTE(T132,"/@","_"),"/cac:","_"),"/cbc:","_")</f>
        <v/>
      </c>
      <c r="J132" s="19"/>
      <c r="K132" s="19" t="s">
        <v>500</v>
      </c>
      <c r="L132" s="25"/>
      <c r="M132" s="25" t="s">
        <v>228</v>
      </c>
      <c r="N132" s="27" t="s">
        <v>64</v>
      </c>
      <c r="O132" s="27" t="s">
        <v>64</v>
      </c>
      <c r="P132" s="27" t="s">
        <v>3016</v>
      </c>
      <c r="Q132" s="26" t="str">
        <f>IF(S132="","",LEN(S132)-LEN(SUBSTITUTE(S132,"/",""))+IF(ISNUMBER(SEARCH("@",S132)),0,1))</f>
        <v>4</v>
      </c>
      <c r="R132" s="42" t="s">
        <v>602</v>
      </c>
      <c r="S132" s="26" t="s">
        <v>602</v>
      </c>
      <c r="T132" s="20"/>
      <c r="U132" s="20"/>
      <c r="V132" s="25"/>
      <c r="W132" s="20"/>
      <c r="X132" s="46"/>
      <c r="Y132" s="20"/>
      <c r="Z132" s="20"/>
      <c r="AA132" s="20" t="s">
        <v>68</v>
      </c>
      <c r="AB132" s="20" t="str">
        <f>IF(ISBLANK(S132),"是","否")</f>
        <v>否</v>
      </c>
      <c r="AC132" s="20"/>
      <c r="AD132" s="25"/>
      <c r="AE132" s="25"/>
      <c r="AH132" s="20" t="s">
        <v>76</v>
      </c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</row>
    <row r="133" ht="39.879699248120296" customHeight="1" spans="1:57" x14ac:dyDescent="0.25">
      <c r="A133" s="25" t="s">
        <v>67</v>
      </c>
      <c r="B133" s="19" t="s">
        <v>282</v>
      </c>
      <c r="C133" s="20" t="s">
        <v>57</v>
      </c>
      <c r="D133" s="21"/>
      <c r="E133" s="22"/>
      <c r="F133" s="21" t="s">
        <v>502</v>
      </c>
      <c r="G133" s="29" t="s">
        <v>603</v>
      </c>
      <c r="H133" s="20" t="str">
        <f>SUBSTITUTE(SUBSTITUTE(SUBSTITUTE(S133,"/@","_"),"/cac:","_"),"/cbc:","_")</f>
        <v>Invoice_PayeeParty_PostalAddress_CitySubdivisionName</v>
      </c>
      <c r="I133" s="20" t="str">
        <f>SUBSTITUTE(SUBSTITUTE(SUBSTITUTE(T133,"/@","_"),"/cac:","_"),"/cbc:","_")</f>
        <v/>
      </c>
      <c r="J133" s="19"/>
      <c r="K133" s="19" t="s">
        <v>505</v>
      </c>
      <c r="L133" s="25"/>
      <c r="M133" s="25" t="s">
        <v>228</v>
      </c>
      <c r="N133" s="27" t="s">
        <v>64</v>
      </c>
      <c r="O133" s="27" t="s">
        <v>64</v>
      </c>
      <c r="P133" s="27" t="s">
        <v>3016</v>
      </c>
      <c r="Q133" s="26" t="str">
        <f>IF(S133="","",LEN(S133)-LEN(SUBSTITUTE(S133,"/",""))+IF(ISNUMBER(SEARCH("@",S133)),0,1))</f>
        <v>4</v>
      </c>
      <c r="R133" s="42" t="s">
        <v>604</v>
      </c>
      <c r="S133" s="26" t="s">
        <v>604</v>
      </c>
      <c r="T133" s="20"/>
      <c r="U133" s="20"/>
      <c r="V133" s="25"/>
      <c r="W133" s="20"/>
      <c r="X133" s="46"/>
      <c r="Y133" s="20"/>
      <c r="Z133" s="20"/>
      <c r="AA133" s="20" t="s">
        <v>68</v>
      </c>
      <c r="AB133" s="20" t="str">
        <f>IF(ISBLANK(S133),"是","否")</f>
        <v>否</v>
      </c>
      <c r="AC133" s="20"/>
      <c r="AD133" s="25"/>
      <c r="AE133" s="25"/>
      <c r="AH133" s="20" t="s">
        <v>76</v>
      </c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</row>
    <row r="134" ht="29.59398496240601" customHeight="1" spans="1:57" x14ac:dyDescent="0.25">
      <c r="A134" s="25" t="s">
        <v>67</v>
      </c>
      <c r="B134" s="19" t="s">
        <v>282</v>
      </c>
      <c r="C134" s="20" t="s">
        <v>57</v>
      </c>
      <c r="D134" s="21"/>
      <c r="E134" s="22"/>
      <c r="F134" s="21" t="s">
        <v>290</v>
      </c>
      <c r="G134" s="29" t="s">
        <v>605</v>
      </c>
      <c r="H134" s="20" t="str">
        <f>SUBSTITUTE(SUBSTITUTE(SUBSTITUTE(S134,"/@","_"),"/cac:","_"),"/cbc:","_")</f>
        <v>Invoice_PayeeParty_PostalAddress_CityName</v>
      </c>
      <c r="I134" s="20" t="str">
        <f>SUBSTITUTE(SUBSTITUTE(SUBSTITUTE(T134,"/@","_"),"/cac:","_"),"/cbc:","_")</f>
        <v/>
      </c>
      <c r="J134" s="19" t="s">
        <v>293</v>
      </c>
      <c r="K134" s="19" t="s">
        <v>294</v>
      </c>
      <c r="L134" s="25"/>
      <c r="M134" s="25" t="s">
        <v>228</v>
      </c>
      <c r="N134" s="27" t="s">
        <v>64</v>
      </c>
      <c r="O134" s="27" t="s">
        <v>64</v>
      </c>
      <c r="P134" s="27" t="s">
        <v>3016</v>
      </c>
      <c r="Q134" s="26" t="str">
        <f>IF(S134="","",LEN(S134)-LEN(SUBSTITUTE(S134,"/",""))+IF(ISNUMBER(SEARCH("@",S134)),0,1))</f>
        <v>4</v>
      </c>
      <c r="R134" s="42" t="s">
        <v>606</v>
      </c>
      <c r="S134" s="26" t="s">
        <v>606</v>
      </c>
      <c r="T134" s="20"/>
      <c r="U134" s="20"/>
      <c r="V134" s="25"/>
      <c r="W134" s="20" t="s">
        <v>296</v>
      </c>
      <c r="X134" s="46"/>
      <c r="Y134" s="20"/>
      <c r="Z134" s="20"/>
      <c r="AA134" s="20" t="s">
        <v>68</v>
      </c>
      <c r="AB134" s="20" t="str">
        <f>IF(ISBLANK(S134),"是","否")</f>
        <v>否</v>
      </c>
      <c r="AC134" s="20"/>
      <c r="AD134" s="25"/>
      <c r="AE134" s="25"/>
      <c r="AH134" s="20" t="s">
        <v>76</v>
      </c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</row>
    <row r="135" ht="39.879699248120296" customHeight="1" spans="1:57" x14ac:dyDescent="0.25">
      <c r="A135" s="25" t="s">
        <v>67</v>
      </c>
      <c r="B135" s="19" t="s">
        <v>282</v>
      </c>
      <c r="C135" s="20" t="s">
        <v>57</v>
      </c>
      <c r="D135" s="21"/>
      <c r="E135" s="22"/>
      <c r="F135" s="21" t="s">
        <v>309</v>
      </c>
      <c r="G135" s="29" t="s">
        <v>607</v>
      </c>
      <c r="H135" s="20" t="str">
        <f>SUBSTITUTE(SUBSTITUTE(SUBSTITUTE(S135,"/@","_"),"/cac:","_"),"/cbc:","_")</f>
        <v>Invoice_PayeeParty_PostalAddress_PostalZone</v>
      </c>
      <c r="I135" s="20" t="str">
        <f>SUBSTITUTE(SUBSTITUTE(SUBSTITUTE(T135,"/@","_"),"/cac:","_"),"/cbc:","_")</f>
        <v/>
      </c>
      <c r="J135" s="19" t="s">
        <v>312</v>
      </c>
      <c r="K135" s="19" t="s">
        <v>313</v>
      </c>
      <c r="L135" s="25"/>
      <c r="M135" s="25" t="s">
        <v>228</v>
      </c>
      <c r="N135" s="27" t="s">
        <v>64</v>
      </c>
      <c r="O135" s="27" t="s">
        <v>64</v>
      </c>
      <c r="P135" s="27" t="s">
        <v>3016</v>
      </c>
      <c r="Q135" s="26" t="str">
        <f>IF(S135="","",LEN(S135)-LEN(SUBSTITUTE(S135,"/",""))+IF(ISNUMBER(SEARCH("@",S135)),0,1))</f>
        <v>4</v>
      </c>
      <c r="R135" s="42" t="s">
        <v>608</v>
      </c>
      <c r="S135" s="26" t="s">
        <v>608</v>
      </c>
      <c r="T135" s="20"/>
      <c r="U135" s="20"/>
      <c r="V135" s="25"/>
      <c r="W135" s="20" t="s">
        <v>315</v>
      </c>
      <c r="X135" s="46"/>
      <c r="Y135" s="20"/>
      <c r="Z135" s="20"/>
      <c r="AA135" s="20" t="s">
        <v>68</v>
      </c>
      <c r="AB135" s="20" t="str">
        <f>IF(ISBLANK(S135),"是","否")</f>
        <v>否</v>
      </c>
      <c r="AC135" s="20"/>
      <c r="AD135" s="25"/>
      <c r="AE135" s="25"/>
      <c r="AH135" s="20" t="s">
        <v>76</v>
      </c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</row>
    <row r="136" ht="39.879699248120296" customHeight="1" spans="1:57" x14ac:dyDescent="0.25">
      <c r="A136" s="25" t="s">
        <v>67</v>
      </c>
      <c r="B136" s="19" t="s">
        <v>282</v>
      </c>
      <c r="C136" s="20" t="s">
        <v>57</v>
      </c>
      <c r="D136" s="21"/>
      <c r="E136" s="22"/>
      <c r="F136" s="21" t="s">
        <v>297</v>
      </c>
      <c r="G136" s="29" t="s">
        <v>609</v>
      </c>
      <c r="H136" s="20" t="str">
        <f>SUBSTITUTE(SUBSTITUTE(SUBSTITUTE(S136,"/@","_"),"/cac:","_"),"/cbc:","_")</f>
        <v>Invoice_PayeeParty_PostalAddress_CountrySubentity</v>
      </c>
      <c r="I136" s="20" t="str">
        <f>SUBSTITUTE(SUBSTITUTE(SUBSTITUTE(T136,"/@","_"),"/cac:","_"),"/cbc:","_")</f>
        <v/>
      </c>
      <c r="J136" s="19" t="s">
        <v>300</v>
      </c>
      <c r="K136" s="19" t="s">
        <v>301</v>
      </c>
      <c r="L136" s="25"/>
      <c r="M136" s="25" t="s">
        <v>243</v>
      </c>
      <c r="N136" s="27" t="s">
        <v>64</v>
      </c>
      <c r="O136" s="27" t="s">
        <v>64</v>
      </c>
      <c r="P136" s="27" t="s">
        <v>3016</v>
      </c>
      <c r="Q136" s="26" t="str">
        <f>IF(S136="","",LEN(S136)-LEN(SUBSTITUTE(S136,"/",""))+IF(ISNUMBER(SEARCH("@",S136)),0,1))</f>
        <v>4</v>
      </c>
      <c r="R136" s="42" t="s">
        <v>610</v>
      </c>
      <c r="S136" s="26" t="s">
        <v>610</v>
      </c>
      <c r="T136" s="20"/>
      <c r="U136" s="20"/>
      <c r="V136" s="25"/>
      <c r="W136" s="20" t="s">
        <v>303</v>
      </c>
      <c r="X136" s="46"/>
      <c r="Y136" s="20"/>
      <c r="Z136" s="20"/>
      <c r="AA136" s="20" t="s">
        <v>68</v>
      </c>
      <c r="AB136" s="20" t="str">
        <f>IF(ISBLANK(S136),"是","否")</f>
        <v>否</v>
      </c>
      <c r="AC136" s="20"/>
      <c r="AD136" s="25"/>
      <c r="AE136" s="25"/>
      <c r="AH136" s="20" t="s">
        <v>76</v>
      </c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</row>
    <row r="137" ht="29.59398496240601" customHeight="1" spans="1:57" x14ac:dyDescent="0.25">
      <c r="A137" s="25" t="s">
        <v>67</v>
      </c>
      <c r="B137" s="19" t="s">
        <v>282</v>
      </c>
      <c r="C137" s="20" t="s">
        <v>57</v>
      </c>
      <c r="D137" s="21"/>
      <c r="E137" s="22"/>
      <c r="F137" s="21" t="s">
        <v>316</v>
      </c>
      <c r="G137" s="29" t="s">
        <v>611</v>
      </c>
      <c r="H137" s="20" t="str">
        <f>SUBSTITUTE(SUBSTITUTE(SUBSTITUTE(S137,"/@","_"),"/cac:","_"),"/cbc:","_")</f>
        <v>Invoice_PayeeParty_PostalAddress_AddressLine</v>
      </c>
      <c r="I137" s="20" t="str">
        <f>SUBSTITUTE(SUBSTITUTE(SUBSTITUTE(T137,"/@","_"),"/cac:","_"),"/cbc:","_")</f>
        <v/>
      </c>
      <c r="J137" s="19"/>
      <c r="K137" s="19" t="s">
        <v>319</v>
      </c>
      <c r="L137" s="25"/>
      <c r="M137" s="25" t="s">
        <v>220</v>
      </c>
      <c r="N137" s="27" t="s">
        <v>64</v>
      </c>
      <c r="O137" s="27" t="s">
        <v>49</v>
      </c>
      <c r="P137" s="27" t="s">
        <v>3016</v>
      </c>
      <c r="Q137" s="26" t="str">
        <f>IF(S137="","",LEN(S137)-LEN(SUBSTITUTE(S137,"/",""))+IF(ISNUMBER(SEARCH("@",S137)),0,1))</f>
        <v>4</v>
      </c>
      <c r="R137" s="42" t="s">
        <v>612</v>
      </c>
      <c r="S137" s="26" t="s">
        <v>612</v>
      </c>
      <c r="T137" s="20"/>
      <c r="U137" s="20"/>
      <c r="V137" s="25"/>
      <c r="W137" s="20"/>
      <c r="X137" s="46"/>
      <c r="Y137" s="20"/>
      <c r="Z137" s="20"/>
      <c r="AA137" s="20" t="s">
        <v>222</v>
      </c>
      <c r="AB137" s="20" t="str">
        <f>IF(ISBLANK(S137),"是","否")</f>
        <v>否</v>
      </c>
      <c r="AC137" s="20"/>
      <c r="AD137" s="25"/>
      <c r="AE137" s="25"/>
      <c r="AH137" s="20" t="s">
        <v>76</v>
      </c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</row>
    <row r="138" ht="29.59398496240601" customHeight="1" spans="1:57" x14ac:dyDescent="0.25">
      <c r="A138" s="25" t="s">
        <v>67</v>
      </c>
      <c r="B138" s="19" t="s">
        <v>316</v>
      </c>
      <c r="C138" s="20" t="s">
        <v>57</v>
      </c>
      <c r="D138" s="21"/>
      <c r="E138" s="22"/>
      <c r="F138" s="21" t="s">
        <v>321</v>
      </c>
      <c r="G138" s="29" t="s">
        <v>613</v>
      </c>
      <c r="H138" s="20" t="str">
        <f>SUBSTITUTE(SUBSTITUTE(SUBSTITUTE(S138,"/@","_"),"/cac:","_"),"/cbc:","_")</f>
        <v>Invoice_PayeeParty_PostalAddress_AddressLine_Line</v>
      </c>
      <c r="I138" s="20" t="str">
        <f>SUBSTITUTE(SUBSTITUTE(SUBSTITUTE(T138,"/@","_"),"/cac:","_"),"/cbc:","_")</f>
        <v/>
      </c>
      <c r="J138" s="19"/>
      <c r="K138" s="19" t="s">
        <v>324</v>
      </c>
      <c r="L138" s="25"/>
      <c r="M138" s="25" t="s">
        <v>325</v>
      </c>
      <c r="N138" s="27" t="s">
        <v>49</v>
      </c>
      <c r="O138" s="27" t="s">
        <v>165</v>
      </c>
      <c r="P138" s="27" t="s">
        <v>3017</v>
      </c>
      <c r="Q138" s="26" t="str">
        <f>IF(S138="","",LEN(S138)-LEN(SUBSTITUTE(S138,"/",""))+IF(ISNUMBER(SEARCH("@",S138)),0,1))</f>
        <v>5</v>
      </c>
      <c r="R138" s="42" t="s">
        <v>614</v>
      </c>
      <c r="S138" s="26" t="s">
        <v>614</v>
      </c>
      <c r="T138" s="20"/>
      <c r="U138" s="20"/>
      <c r="V138" s="25"/>
      <c r="W138" s="20" t="s">
        <v>327</v>
      </c>
      <c r="X138" s="46"/>
      <c r="Y138" s="20"/>
      <c r="Z138" s="20"/>
      <c r="AA138" s="20" t="s">
        <v>68</v>
      </c>
      <c r="AB138" s="20" t="str">
        <f>IF(ISBLANK(S138),"是","否")</f>
        <v>否</v>
      </c>
      <c r="AC138" s="20"/>
      <c r="AD138" s="25"/>
      <c r="AE138" s="25"/>
      <c r="AH138" s="20" t="s">
        <v>76</v>
      </c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</row>
    <row r="139" ht="29.59398496240601" customHeight="1" spans="1:57" x14ac:dyDescent="0.25">
      <c r="A139" s="25" t="s">
        <v>67</v>
      </c>
      <c r="B139" s="19" t="s">
        <v>328</v>
      </c>
      <c r="C139" s="20" t="s">
        <v>57</v>
      </c>
      <c r="D139" s="21"/>
      <c r="E139" s="22"/>
      <c r="F139" s="21" t="s">
        <v>519</v>
      </c>
      <c r="G139" s="29" t="s">
        <v>615</v>
      </c>
      <c r="H139" s="20" t="str">
        <f>SUBSTITUTE(SUBSTITUTE(SUBSTITUTE(S139,"/@","_"),"/cac:","_"),"/cbc:","_")</f>
        <v>Invoice_PayeeParty_PostalAddress_Country_IdentificationCode</v>
      </c>
      <c r="I139" s="20" t="str">
        <f>SUBSTITUTE(SUBSTITUTE(SUBSTITUTE(T139,"/@","_"),"/cac:","_"),"/cbc:","_")</f>
        <v/>
      </c>
      <c r="J139" s="19"/>
      <c r="K139" s="19" t="s">
        <v>336</v>
      </c>
      <c r="L139" s="25"/>
      <c r="M139" s="25" t="s">
        <v>243</v>
      </c>
      <c r="N139" s="27" t="s">
        <v>165</v>
      </c>
      <c r="O139" s="27" t="s">
        <v>64</v>
      </c>
      <c r="P139" s="27" t="s">
        <v>3016</v>
      </c>
      <c r="Q139" s="26" t="str">
        <f>IF(S139="","",LEN(S139)-LEN(SUBSTITUTE(S139,"/",""))+IF(ISNUMBER(SEARCH("@",S139)),0,1))</f>
        <v>5</v>
      </c>
      <c r="R139" s="42" t="s">
        <v>616</v>
      </c>
      <c r="S139" s="26" t="s">
        <v>616</v>
      </c>
      <c r="T139" s="20"/>
      <c r="U139" s="20"/>
      <c r="V139" s="25"/>
      <c r="W139" s="20"/>
      <c r="X139" s="46"/>
      <c r="Y139" s="20"/>
      <c r="Z139" s="20"/>
      <c r="AA139" s="20" t="s">
        <v>68</v>
      </c>
      <c r="AB139" s="20" t="str">
        <f>IF(ISBLANK(S139),"是","否")</f>
        <v>否</v>
      </c>
      <c r="AC139" s="20"/>
      <c r="AD139" s="25"/>
      <c r="AE139" s="25"/>
      <c r="AH139" s="20" t="s">
        <v>76</v>
      </c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</row>
    <row r="140" ht="29.59398496240601" customHeight="1" spans="1:57" x14ac:dyDescent="0.25">
      <c r="A140" s="25" t="s">
        <v>67</v>
      </c>
      <c r="B140" s="19" t="s">
        <v>328</v>
      </c>
      <c r="C140" s="20" t="s">
        <v>57</v>
      </c>
      <c r="D140" s="21"/>
      <c r="E140" s="22"/>
      <c r="F140" s="21" t="s">
        <v>522</v>
      </c>
      <c r="G140" s="29" t="s">
        <v>617</v>
      </c>
      <c r="H140" s="20" t="str">
        <f>SUBSTITUTE(SUBSTITUTE(SUBSTITUTE(S140,"/@","_"),"/cac:","_"),"/cbc:","_")</f>
        <v>Invoice_PayeeParty_PostalAddress_Country_Name</v>
      </c>
      <c r="I140" s="20" t="str">
        <f>SUBSTITUTE(SUBSTITUTE(SUBSTITUTE(T140,"/@","_"),"/cac:","_"),"/cbc:","_")</f>
        <v/>
      </c>
      <c r="J140" s="19"/>
      <c r="K140" s="19" t="s">
        <v>341</v>
      </c>
      <c r="L140" s="25"/>
      <c r="M140" s="25" t="s">
        <v>243</v>
      </c>
      <c r="N140" s="27" t="s">
        <v>64</v>
      </c>
      <c r="O140" s="27" t="s">
        <v>64</v>
      </c>
      <c r="P140" s="27" t="s">
        <v>3016</v>
      </c>
      <c r="Q140" s="26" t="str">
        <f>IF(S140="","",LEN(S140)-LEN(SUBSTITUTE(S140,"/",""))+IF(ISNUMBER(SEARCH("@",S140)),0,1))</f>
        <v>5</v>
      </c>
      <c r="R140" s="42" t="s">
        <v>618</v>
      </c>
      <c r="S140" s="26" t="s">
        <v>618</v>
      </c>
      <c r="T140" s="20"/>
      <c r="U140" s="20"/>
      <c r="V140" s="25"/>
      <c r="W140" s="20" t="s">
        <v>343</v>
      </c>
      <c r="X140" s="46"/>
      <c r="Y140" s="20"/>
      <c r="Z140" s="20"/>
      <c r="AA140" s="20" t="s">
        <v>68</v>
      </c>
      <c r="AB140" s="20" t="str">
        <f>IF(ISBLANK(S140),"是","否")</f>
        <v>否</v>
      </c>
      <c r="AC140" s="20"/>
      <c r="AD140" s="25"/>
      <c r="AE140" s="25"/>
      <c r="AH140" s="20" t="s">
        <v>76</v>
      </c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</row>
    <row r="141" ht="29.59398496240601" customHeight="1" spans="1:57" x14ac:dyDescent="0.25">
      <c r="A141" s="25" t="s">
        <v>67</v>
      </c>
      <c r="B141" s="19" t="s">
        <v>230</v>
      </c>
      <c r="C141" s="20" t="s">
        <v>57</v>
      </c>
      <c r="D141" s="21"/>
      <c r="E141" s="22"/>
      <c r="F141" s="21" t="s">
        <v>344</v>
      </c>
      <c r="G141" s="29" t="s">
        <v>619</v>
      </c>
      <c r="H141" s="20" t="str">
        <f>SUBSTITUTE(SUBSTITUTE(SUBSTITUTE(S141,"/@","_"),"/cac:","_"),"/cbc:","_")</f>
        <v>Invoice_PayeeParty_PartyTaxScheme</v>
      </c>
      <c r="I141" s="20" t="str">
        <f>SUBSTITUTE(SUBSTITUTE(SUBSTITUTE(T141,"/@","_"),"/cac:","_"),"/cbc:","_")</f>
        <v/>
      </c>
      <c r="J141" s="19"/>
      <c r="K141" s="19" t="s">
        <v>347</v>
      </c>
      <c r="L141" s="25"/>
      <c r="M141" s="25" t="s">
        <v>220</v>
      </c>
      <c r="N141" s="27" t="s">
        <v>165</v>
      </c>
      <c r="O141" s="27" t="s">
        <v>49</v>
      </c>
      <c r="P141" s="27" t="s">
        <v>3015</v>
      </c>
      <c r="Q141" s="26" t="str">
        <f>IF(S141="","",LEN(S141)-LEN(SUBSTITUTE(S141,"/",""))+IF(ISNUMBER(SEARCH("@",S141)),0,1))</f>
        <v>3</v>
      </c>
      <c r="R141" s="42" t="s">
        <v>620</v>
      </c>
      <c r="S141" s="26" t="s">
        <v>620</v>
      </c>
      <c r="T141" s="20"/>
      <c r="U141" s="20"/>
      <c r="V141" s="25"/>
      <c r="W141" s="20"/>
      <c r="X141" s="46"/>
      <c r="Y141" s="20"/>
      <c r="Z141" s="20"/>
      <c r="AA141" s="20" t="s">
        <v>222</v>
      </c>
      <c r="AB141" s="20" t="str">
        <f>IF(ISBLANK(S141),"是","否")</f>
        <v>否</v>
      </c>
      <c r="AC141" s="20"/>
      <c r="AD141" s="25"/>
      <c r="AE141" s="25"/>
      <c r="AH141" s="20" t="s">
        <v>76</v>
      </c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</row>
    <row r="142" ht="60.45112781954887" customHeight="1" spans="1:57" x14ac:dyDescent="0.25">
      <c r="A142" s="25" t="s">
        <v>67</v>
      </c>
      <c r="B142" s="19" t="s">
        <v>349</v>
      </c>
      <c r="C142" s="20" t="s">
        <v>57</v>
      </c>
      <c r="D142" s="21"/>
      <c r="E142" s="22"/>
      <c r="F142" s="21" t="s">
        <v>527</v>
      </c>
      <c r="G142" s="29" t="s">
        <v>621</v>
      </c>
      <c r="H142" s="20" t="str">
        <f>SUBSTITUTE(SUBSTITUTE(SUBSTITUTE(S142,"/@","_"),"/cac:","_"),"/cbc:","_")</f>
        <v>Invoice_PayeeParty_PartyTaxScheme_TaxScheme_ID</v>
      </c>
      <c r="I142" s="20" t="str">
        <f>SUBSTITUTE(SUBSTITUTE(SUBSTITUTE(T142,"/@","_"),"/cac:","_"),"/cbc:","_")</f>
        <v/>
      </c>
      <c r="J142" s="19"/>
      <c r="K142" s="19" t="s">
        <v>351</v>
      </c>
      <c r="L142" s="25"/>
      <c r="M142" s="25" t="s">
        <v>243</v>
      </c>
      <c r="N142" s="27" t="s">
        <v>165</v>
      </c>
      <c r="O142" s="27" t="s">
        <v>64</v>
      </c>
      <c r="P142" s="27" t="s">
        <v>3016</v>
      </c>
      <c r="Q142" s="26" t="str">
        <f>IF(S142="","",LEN(S142)-LEN(SUBSTITUTE(S142,"/",""))+IF(ISNUMBER(SEARCH("@",S142)),0,1))</f>
        <v>5</v>
      </c>
      <c r="R142" s="42" t="s">
        <v>622</v>
      </c>
      <c r="S142" s="26" t="s">
        <v>622</v>
      </c>
      <c r="T142" s="20"/>
      <c r="U142" s="20"/>
      <c r="V142" s="25"/>
      <c r="W142" s="20" t="s">
        <v>353</v>
      </c>
      <c r="X142" s="46"/>
      <c r="Y142" s="20"/>
      <c r="Z142" s="20"/>
      <c r="AA142" s="20" t="s">
        <v>68</v>
      </c>
      <c r="AB142" s="20" t="str">
        <f>IF(ISBLANK(S142),"是","否")</f>
        <v>否</v>
      </c>
      <c r="AC142" s="20"/>
      <c r="AD142" s="25"/>
      <c r="AE142" s="25"/>
      <c r="AH142" s="20" t="s">
        <v>76</v>
      </c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</row>
    <row r="143" ht="29.59398496240601" customHeight="1" spans="1:57" x14ac:dyDescent="0.25">
      <c r="A143" s="25" t="s">
        <v>67</v>
      </c>
      <c r="B143" s="19" t="s">
        <v>344</v>
      </c>
      <c r="C143" s="20" t="s">
        <v>57</v>
      </c>
      <c r="D143" s="21"/>
      <c r="E143" s="22"/>
      <c r="F143" s="21" t="s">
        <v>531</v>
      </c>
      <c r="G143" s="29" t="s">
        <v>623</v>
      </c>
      <c r="H143" s="20" t="str">
        <f>SUBSTITUTE(SUBSTITUTE(SUBSTITUTE(S143,"/@","_"),"/cac:","_"),"/cbc:","_")</f>
        <v>Invoice_PayeeParty_PartyTaxScheme_CompanyID</v>
      </c>
      <c r="I143" s="20" t="str">
        <f>SUBSTITUTE(SUBSTITUTE(SUBSTITUTE(T143,"/@","_"),"/cac:","_"),"/cbc:","_")</f>
        <v/>
      </c>
      <c r="J143" s="19" t="s">
        <v>357</v>
      </c>
      <c r="K143" s="19" t="s">
        <v>358</v>
      </c>
      <c r="L143" s="25"/>
      <c r="M143" s="25" t="s">
        <v>228</v>
      </c>
      <c r="N143" s="27" t="s">
        <v>165</v>
      </c>
      <c r="O143" s="27" t="s">
        <v>64</v>
      </c>
      <c r="P143" s="27" t="s">
        <v>3016</v>
      </c>
      <c r="Q143" s="26" t="str">
        <f>IF(S143="","",LEN(S143)-LEN(SUBSTITUTE(S143,"/",""))+IF(ISNUMBER(SEARCH("@",S143)),0,1))</f>
        <v>4</v>
      </c>
      <c r="R143" s="42" t="s">
        <v>625</v>
      </c>
      <c r="S143" s="26" t="s">
        <v>625</v>
      </c>
      <c r="T143" s="20"/>
      <c r="U143" s="20"/>
      <c r="V143" s="25"/>
      <c r="W143" s="20" t="s">
        <v>360</v>
      </c>
      <c r="X143" s="46"/>
      <c r="Y143" s="20"/>
      <c r="Z143" s="20"/>
      <c r="AA143" s="20" t="s">
        <v>68</v>
      </c>
      <c r="AB143" s="20" t="str">
        <f>IF(ISBLANK(S143),"是","否")</f>
        <v>否</v>
      </c>
      <c r="AC143" s="20"/>
      <c r="AD143" s="25"/>
      <c r="AE143" s="25"/>
      <c r="AH143" s="20" t="s">
        <v>76</v>
      </c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</row>
    <row r="144" ht="29.59398496240601" customHeight="1" spans="1:57" x14ac:dyDescent="0.25">
      <c r="A144" s="25" t="s">
        <v>67</v>
      </c>
      <c r="B144" s="19" t="s">
        <v>230</v>
      </c>
      <c r="C144" s="20" t="s">
        <v>57</v>
      </c>
      <c r="D144" s="21"/>
      <c r="E144" s="22"/>
      <c r="F144" s="21" t="s">
        <v>361</v>
      </c>
      <c r="G144" s="29" t="s">
        <v>626</v>
      </c>
      <c r="H144" s="20" t="str">
        <f>SUBSTITUTE(SUBSTITUTE(SUBSTITUTE(S144,"/@","_"),"/cac:","_"),"/cbc:","_")</f>
        <v>Invoice_PayeeParty_PartyLegalEntity</v>
      </c>
      <c r="I144" s="20" t="str">
        <f>SUBSTITUTE(SUBSTITUTE(SUBSTITUTE(T144,"/@","_"),"/cac:","_"),"/cbc:","_")</f>
        <v/>
      </c>
      <c r="J144" s="19"/>
      <c r="K144" s="19" t="s">
        <v>364</v>
      </c>
      <c r="L144" s="25"/>
      <c r="M144" s="25" t="s">
        <v>220</v>
      </c>
      <c r="N144" s="27" t="s">
        <v>165</v>
      </c>
      <c r="O144" s="27" t="s">
        <v>49</v>
      </c>
      <c r="P144" s="27" t="s">
        <v>3015</v>
      </c>
      <c r="Q144" s="26" t="str">
        <f>IF(S144="","",LEN(S144)-LEN(SUBSTITUTE(S144,"/",""))+IF(ISNUMBER(SEARCH("@",S144)),0,1))</f>
        <v>3</v>
      </c>
      <c r="R144" s="42" t="s">
        <v>627</v>
      </c>
      <c r="S144" s="26" t="s">
        <v>627</v>
      </c>
      <c r="T144" s="20"/>
      <c r="U144" s="20"/>
      <c r="V144" s="25"/>
      <c r="W144" s="20"/>
      <c r="X144" s="46"/>
      <c r="Y144" s="20"/>
      <c r="Z144" s="20"/>
      <c r="AA144" s="20" t="s">
        <v>222</v>
      </c>
      <c r="AB144" s="20" t="str">
        <f>IF(ISBLANK(S144),"是","否")</f>
        <v>否</v>
      </c>
      <c r="AC144" s="20"/>
      <c r="AD144" s="25"/>
      <c r="AE144" s="25"/>
      <c r="AH144" s="20" t="s">
        <v>76</v>
      </c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</row>
    <row r="145" ht="29.59398496240601" customHeight="1" spans="1:57" x14ac:dyDescent="0.25">
      <c r="A145" s="25" t="s">
        <v>67</v>
      </c>
      <c r="B145" s="19" t="s">
        <v>366</v>
      </c>
      <c r="C145" s="20" t="s">
        <v>57</v>
      </c>
      <c r="D145" s="21"/>
      <c r="E145" s="22"/>
      <c r="F145" s="21" t="s">
        <v>367</v>
      </c>
      <c r="G145" s="29" t="s">
        <v>628</v>
      </c>
      <c r="H145" s="20" t="str">
        <f>SUBSTITUTE(SUBSTITUTE(SUBSTITUTE(S145,"/@","_"),"/cac:","_"),"/cbc:","_")</f>
        <v>Invoice_PayeeParty_PartyLegalEntity_RegistrationName</v>
      </c>
      <c r="I145" s="20" t="str">
        <f>SUBSTITUTE(SUBSTITUTE(SUBSTITUTE(T145,"/@","_"),"/cac:","_"),"/cbc:","_")</f>
        <v/>
      </c>
      <c r="J145" s="19"/>
      <c r="K145" s="19" t="s">
        <v>369</v>
      </c>
      <c r="L145" s="25"/>
      <c r="M145" s="25" t="s">
        <v>228</v>
      </c>
      <c r="N145" s="27" t="s">
        <v>165</v>
      </c>
      <c r="O145" s="27" t="s">
        <v>64</v>
      </c>
      <c r="P145" s="27" t="s">
        <v>3016</v>
      </c>
      <c r="Q145" s="26" t="str">
        <f>IF(S145="","",LEN(S145)-LEN(SUBSTITUTE(S145,"/",""))+IF(ISNUMBER(SEARCH("@",S145)),0,1))</f>
        <v>4</v>
      </c>
      <c r="R145" s="42" t="s">
        <v>629</v>
      </c>
      <c r="S145" s="26" t="s">
        <v>629</v>
      </c>
      <c r="T145" s="20"/>
      <c r="U145" s="20"/>
      <c r="V145" s="25"/>
      <c r="W145" s="20" t="s">
        <v>371</v>
      </c>
      <c r="X145" s="46"/>
      <c r="Y145" s="20"/>
      <c r="Z145" s="20"/>
      <c r="AA145" s="20" t="s">
        <v>68</v>
      </c>
      <c r="AB145" s="20" t="str">
        <f>IF(ISBLANK(S145),"是","否")</f>
        <v>否</v>
      </c>
      <c r="AC145" s="20"/>
      <c r="AD145" s="25"/>
      <c r="AE145" s="25"/>
      <c r="AH145" s="20" t="s">
        <v>76</v>
      </c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</row>
    <row r="146" ht="50.16541353383458" customHeight="1" spans="1:57" x14ac:dyDescent="0.25">
      <c r="A146" s="25" t="s">
        <v>67</v>
      </c>
      <c r="B146" s="19" t="s">
        <v>366</v>
      </c>
      <c r="C146" s="20" t="s">
        <v>57</v>
      </c>
      <c r="D146" s="21"/>
      <c r="E146" s="22"/>
      <c r="F146" s="21" t="s">
        <v>531</v>
      </c>
      <c r="G146" s="29" t="s">
        <v>630</v>
      </c>
      <c r="H146" s="20" t="str">
        <f>SUBSTITUTE(SUBSTITUTE(SUBSTITUTE(S146,"/@","_"),"/cac:","_"),"/cbc:","_")</f>
        <v>Invoice_PayeeParty_PartyLegalEntity_CompanyID</v>
      </c>
      <c r="I146" s="20" t="str">
        <f>SUBSTITUTE(SUBSTITUTE(SUBSTITUTE(T146,"/@","_"),"/cac:","_"),"/cbc:","_")</f>
        <v/>
      </c>
      <c r="J146" s="19" t="s">
        <v>373</v>
      </c>
      <c r="K146" s="19" t="s">
        <v>374</v>
      </c>
      <c r="L146" s="25"/>
      <c r="M146" s="25" t="s">
        <v>228</v>
      </c>
      <c r="N146" s="27" t="s">
        <v>165</v>
      </c>
      <c r="O146" s="27" t="s">
        <v>64</v>
      </c>
      <c r="P146" s="27" t="s">
        <v>3016</v>
      </c>
      <c r="Q146" s="26" t="str">
        <f>IF(S146="","",LEN(S146)-LEN(SUBSTITUTE(S146,"/",""))+IF(ISNUMBER(SEARCH("@",S146)),0,1))</f>
        <v>4</v>
      </c>
      <c r="R146" s="42" t="s">
        <v>631</v>
      </c>
      <c r="S146" s="26" t="s">
        <v>631</v>
      </c>
      <c r="T146" s="20"/>
      <c r="U146" s="20"/>
      <c r="V146" s="25"/>
      <c r="W146" s="20" t="s">
        <v>360</v>
      </c>
      <c r="X146" s="46"/>
      <c r="Y146" s="20"/>
      <c r="Z146" s="20"/>
      <c r="AA146" s="20" t="s">
        <v>68</v>
      </c>
      <c r="AB146" s="20" t="str">
        <f>IF(ISBLANK(S146),"是","否")</f>
        <v>否</v>
      </c>
      <c r="AC146" s="20"/>
      <c r="AD146" s="25"/>
      <c r="AE146" s="25"/>
      <c r="AH146" s="20" t="s">
        <v>76</v>
      </c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</row>
    <row r="147" ht="50.16541353383458" customHeight="1" spans="1:57" x14ac:dyDescent="0.25">
      <c r="A147" s="25" t="s">
        <v>67</v>
      </c>
      <c r="B147" s="19" t="s">
        <v>366</v>
      </c>
      <c r="C147" s="20" t="s">
        <v>57</v>
      </c>
      <c r="D147" s="21"/>
      <c r="E147" s="22"/>
      <c r="F147" s="21" t="s">
        <v>542</v>
      </c>
      <c r="G147" s="29" t="s">
        <v>632</v>
      </c>
      <c r="H147" s="20" t="str">
        <f>SUBSTITUTE(SUBSTITUTE(SUBSTITUTE(S147,"/@","_"),"/cac:","_"),"/cbc:","_")</f>
        <v>Invoice_PayeeParty_PartyLegalEntity_CompanyID_schemeID</v>
      </c>
      <c r="I147" s="20" t="str">
        <f>SUBSTITUTE(SUBSTITUTE(SUBSTITUTE(T147,"/@","_"),"/cac:","_"),"/cbc:","_")</f>
        <v/>
      </c>
      <c r="J147" s="19" t="s">
        <v>373</v>
      </c>
      <c r="K147" s="19" t="s">
        <v>374</v>
      </c>
      <c r="L147" s="25"/>
      <c r="M147" s="25" t="s">
        <v>243</v>
      </c>
      <c r="N147" s="27" t="s">
        <v>64</v>
      </c>
      <c r="O147" s="27" t="s">
        <v>64</v>
      </c>
      <c r="P147" s="27" t="s">
        <v>3016</v>
      </c>
      <c r="Q147" s="26" t="str">
        <f>IF(S147="","",LEN(S147)-LEN(SUBSTITUTE(S147,"/",""))+IF(ISNUMBER(SEARCH("@",S147)),0,1))</f>
        <v>4</v>
      </c>
      <c r="R147" s="42" t="s">
        <v>633</v>
      </c>
      <c r="S147" s="26" t="s">
        <v>633</v>
      </c>
      <c r="T147" s="20"/>
      <c r="U147" s="20"/>
      <c r="V147" s="25"/>
      <c r="W147" s="20" t="s">
        <v>360</v>
      </c>
      <c r="X147" s="46"/>
      <c r="Y147" s="20"/>
      <c r="Z147" s="20"/>
      <c r="AA147" s="20" t="s">
        <v>68</v>
      </c>
      <c r="AB147" s="20" t="str">
        <f>IF(ISBLANK(S147),"是","否")</f>
        <v>否</v>
      </c>
      <c r="AC147" s="20"/>
      <c r="AD147" s="25"/>
      <c r="AE147" s="25"/>
      <c r="AH147" s="20" t="s">
        <v>76</v>
      </c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</row>
    <row r="148" ht="19.308270676691727" customHeight="1" spans="1:57" x14ac:dyDescent="0.25">
      <c r="A148" s="25" t="s">
        <v>67</v>
      </c>
      <c r="B148" s="19" t="s">
        <v>230</v>
      </c>
      <c r="C148" s="20" t="s">
        <v>57</v>
      </c>
      <c r="D148" s="21"/>
      <c r="E148" s="22"/>
      <c r="F148" s="21" t="s">
        <v>384</v>
      </c>
      <c r="G148" s="29" t="s">
        <v>634</v>
      </c>
      <c r="H148" s="20" t="str">
        <f>SUBSTITUTE(SUBSTITUTE(SUBSTITUTE(S148,"/@","_"),"/cac:","_"),"/cbc:","_")</f>
        <v>Invoice_PayeeParty_Contact</v>
      </c>
      <c r="I148" s="20" t="str">
        <f>SUBSTITUTE(SUBSTITUTE(SUBSTITUTE(T148,"/@","_"),"/cac:","_"),"/cbc:","_")</f>
        <v/>
      </c>
      <c r="J148" s="19"/>
      <c r="K148" s="19" t="s">
        <v>387</v>
      </c>
      <c r="L148" s="25"/>
      <c r="M148" s="25" t="s">
        <v>220</v>
      </c>
      <c r="N148" s="27" t="s">
        <v>64</v>
      </c>
      <c r="O148" s="27" t="s">
        <v>64</v>
      </c>
      <c r="P148" s="27" t="s">
        <v>3015</v>
      </c>
      <c r="Q148" s="26" t="str">
        <f>IF(S148="","",LEN(S148)-LEN(SUBSTITUTE(S148,"/",""))+IF(ISNUMBER(SEARCH("@",S148)),0,1))</f>
        <v>3</v>
      </c>
      <c r="R148" s="42" t="s">
        <v>635</v>
      </c>
      <c r="S148" s="26" t="s">
        <v>635</v>
      </c>
      <c r="T148" s="20"/>
      <c r="U148" s="20"/>
      <c r="V148" s="25"/>
      <c r="W148" s="20"/>
      <c r="X148" s="46"/>
      <c r="Y148" s="20"/>
      <c r="Z148" s="20"/>
      <c r="AA148" s="20" t="s">
        <v>222</v>
      </c>
      <c r="AB148" s="20" t="str">
        <f>IF(ISBLANK(S148),"是","否")</f>
        <v>否</v>
      </c>
      <c r="AC148" s="20"/>
      <c r="AD148" s="25"/>
      <c r="AE148" s="25"/>
      <c r="AH148" s="20" t="s">
        <v>76</v>
      </c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</row>
    <row r="149" ht="39.879699248120296" customHeight="1" spans="1:57" x14ac:dyDescent="0.25">
      <c r="A149" s="25" t="s">
        <v>67</v>
      </c>
      <c r="B149" s="19" t="s">
        <v>175</v>
      </c>
      <c r="C149" s="20" t="s">
        <v>57</v>
      </c>
      <c r="D149" s="21"/>
      <c r="E149" s="22"/>
      <c r="F149" s="21" t="s">
        <v>273</v>
      </c>
      <c r="G149" s="29" t="s">
        <v>636</v>
      </c>
      <c r="H149" s="20" t="str">
        <f>SUBSTITUTE(SUBSTITUTE(SUBSTITUTE(S149,"/@","_"),"/cac:","_"),"/cbc:","_")</f>
        <v>Invoice_PayeeParty_Contact_Name</v>
      </c>
      <c r="I149" s="20" t="str">
        <f>SUBSTITUTE(SUBSTITUTE(SUBSTITUTE(T149,"/@","_"),"/cac:","_"),"/cbc:","_")</f>
        <v/>
      </c>
      <c r="J149" s="19"/>
      <c r="K149" s="19" t="s">
        <v>178</v>
      </c>
      <c r="L149" s="25"/>
      <c r="M149" s="25" t="s">
        <v>228</v>
      </c>
      <c r="N149" s="27" t="s">
        <v>64</v>
      </c>
      <c r="O149" s="27" t="s">
        <v>64</v>
      </c>
      <c r="P149" s="27" t="s">
        <v>3016</v>
      </c>
      <c r="Q149" s="26" t="str">
        <f>IF(S149="","",LEN(S149)-LEN(SUBSTITUTE(S149,"/",""))+IF(ISNUMBER(SEARCH("@",S149)),0,1))</f>
        <v>4</v>
      </c>
      <c r="R149" s="42" t="s">
        <v>637</v>
      </c>
      <c r="S149" s="26" t="s">
        <v>637</v>
      </c>
      <c r="T149" s="20"/>
      <c r="U149" s="20"/>
      <c r="V149" s="25"/>
      <c r="W149" s="20" t="s">
        <v>181</v>
      </c>
      <c r="X149" s="46"/>
      <c r="Y149" s="20"/>
      <c r="Z149" s="20"/>
      <c r="AA149" s="20" t="s">
        <v>68</v>
      </c>
      <c r="AB149" s="20" t="str">
        <f>IF(ISBLANK(S149),"是","否")</f>
        <v>否</v>
      </c>
      <c r="AC149" s="20"/>
      <c r="AD149" s="25"/>
      <c r="AE149" s="25"/>
      <c r="AH149" s="20" t="s">
        <v>76</v>
      </c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</row>
    <row r="150" ht="29.59398496240601" customHeight="1" spans="1:57" x14ac:dyDescent="0.25">
      <c r="A150" s="25" t="s">
        <v>67</v>
      </c>
      <c r="B150" s="19" t="s">
        <v>175</v>
      </c>
      <c r="C150" s="20" t="s">
        <v>57</v>
      </c>
      <c r="D150" s="21"/>
      <c r="E150" s="22"/>
      <c r="F150" s="21" t="s">
        <v>392</v>
      </c>
      <c r="G150" s="29" t="s">
        <v>638</v>
      </c>
      <c r="H150" s="20" t="str">
        <f>SUBSTITUTE(SUBSTITUTE(SUBSTITUTE(S150,"/@","_"),"/cac:","_"),"/cbc:","_")</f>
        <v>Invoice_PayeeParty_Contact_Telephone</v>
      </c>
      <c r="I150" s="20" t="str">
        <f>SUBSTITUTE(SUBSTITUTE(SUBSTITUTE(T150,"/@","_"),"/cac:","_"),"/cbc:","_")</f>
        <v/>
      </c>
      <c r="J150" s="19"/>
      <c r="K150" s="19" t="s">
        <v>395</v>
      </c>
      <c r="L150" s="25"/>
      <c r="M150" s="25" t="s">
        <v>228</v>
      </c>
      <c r="N150" s="27" t="s">
        <v>64</v>
      </c>
      <c r="O150" s="27" t="s">
        <v>64</v>
      </c>
      <c r="P150" s="27" t="s">
        <v>3016</v>
      </c>
      <c r="Q150" s="26" t="str">
        <f>IF(S150="","",LEN(S150)-LEN(SUBSTITUTE(S150,"/",""))+IF(ISNUMBER(SEARCH("@",S150)),0,1))</f>
        <v>4</v>
      </c>
      <c r="R150" s="42" t="s">
        <v>639</v>
      </c>
      <c r="S150" s="26" t="s">
        <v>639</v>
      </c>
      <c r="T150" s="20"/>
      <c r="U150" s="20"/>
      <c r="V150" s="25"/>
      <c r="W150" s="20"/>
      <c r="X150" s="46"/>
      <c r="Y150" s="20"/>
      <c r="Z150" s="20"/>
      <c r="AA150" s="20" t="s">
        <v>68</v>
      </c>
      <c r="AB150" s="20" t="str">
        <f>IF(ISBLANK(S150),"是","否")</f>
        <v>否</v>
      </c>
      <c r="AC150" s="20"/>
      <c r="AD150" s="25"/>
      <c r="AE150" s="25"/>
      <c r="AH150" s="20" t="s">
        <v>76</v>
      </c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</row>
    <row r="151" ht="29.59398496240601" customHeight="1" spans="1:57" x14ac:dyDescent="0.25">
      <c r="A151" s="25" t="s">
        <v>67</v>
      </c>
      <c r="B151" s="19" t="s">
        <v>175</v>
      </c>
      <c r="C151" s="20" t="s">
        <v>57</v>
      </c>
      <c r="D151" s="21"/>
      <c r="E151" s="22"/>
      <c r="F151" s="21" t="s">
        <v>397</v>
      </c>
      <c r="G151" s="29" t="s">
        <v>640</v>
      </c>
      <c r="H151" s="20" t="str">
        <f>SUBSTITUTE(SUBSTITUTE(SUBSTITUTE(S151,"/@","_"),"/cac:","_"),"/cbc:","_")</f>
        <v>Invoice_PayeeParty_Contact_ElectronicMail</v>
      </c>
      <c r="I151" s="20" t="str">
        <f>SUBSTITUTE(SUBSTITUTE(SUBSTITUTE(T151,"/@","_"),"/cac:","_"),"/cbc:","_")</f>
        <v/>
      </c>
      <c r="J151" s="19"/>
      <c r="K151" s="19" t="s">
        <v>400</v>
      </c>
      <c r="L151" s="25"/>
      <c r="M151" s="25" t="s">
        <v>228</v>
      </c>
      <c r="N151" s="27" t="s">
        <v>64</v>
      </c>
      <c r="O151" s="27" t="s">
        <v>64</v>
      </c>
      <c r="P151" s="27" t="s">
        <v>3016</v>
      </c>
      <c r="Q151" s="26" t="str">
        <f>IF(S151="","",LEN(S151)-LEN(SUBSTITUTE(S151,"/",""))+IF(ISNUMBER(SEARCH("@",S151)),0,1))</f>
        <v>4</v>
      </c>
      <c r="R151" s="42" t="s">
        <v>642</v>
      </c>
      <c r="S151" s="26" t="s">
        <v>642</v>
      </c>
      <c r="T151" s="20"/>
      <c r="U151" s="20"/>
      <c r="V151" s="25"/>
      <c r="W151" s="20"/>
      <c r="X151" s="46"/>
      <c r="Y151" s="20"/>
      <c r="Z151" s="20"/>
      <c r="AA151" s="20" t="s">
        <v>68</v>
      </c>
      <c r="AB151" s="20" t="str">
        <f>IF(ISBLANK(S151),"是","否")</f>
        <v>否</v>
      </c>
      <c r="AC151" s="20"/>
      <c r="AD151" s="25"/>
      <c r="AE151" s="25"/>
      <c r="AH151" s="20" t="s">
        <v>76</v>
      </c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</row>
    <row r="152" ht="19.308270676691727" customHeight="1" spans="1:57" x14ac:dyDescent="0.25">
      <c r="A152" s="25" t="s">
        <v>67</v>
      </c>
      <c r="B152" s="19" t="s">
        <v>230</v>
      </c>
      <c r="C152" s="20" t="s">
        <v>57</v>
      </c>
      <c r="D152" s="21"/>
      <c r="E152" s="22"/>
      <c r="F152" s="21" t="s">
        <v>553</v>
      </c>
      <c r="G152" s="29" t="s">
        <v>643</v>
      </c>
      <c r="H152" s="20" t="str">
        <f>SUBSTITUTE(SUBSTITUTE(SUBSTITUTE(S152,"/@","_"),"/cac:","_"),"/cbc:","_")</f>
        <v>Invoice_PayeeParty_Person</v>
      </c>
      <c r="I152" s="20" t="str">
        <f>SUBSTITUTE(SUBSTITUTE(SUBSTITUTE(T152,"/@","_"),"/cac:","_"),"/cbc:","_")</f>
        <v/>
      </c>
      <c r="J152" s="19"/>
      <c r="K152" s="19" t="s">
        <v>405</v>
      </c>
      <c r="L152" s="25"/>
      <c r="M152" s="25" t="s">
        <v>220</v>
      </c>
      <c r="N152" s="27" t="s">
        <v>64</v>
      </c>
      <c r="O152" s="27" t="s">
        <v>49</v>
      </c>
      <c r="P152" s="27" t="s">
        <v>3015</v>
      </c>
      <c r="Q152" s="26" t="str">
        <f>IF(S152="","",LEN(S152)-LEN(SUBSTITUTE(S152,"/",""))+IF(ISNUMBER(SEARCH("@",S152)),0,1))</f>
        <v>3</v>
      </c>
      <c r="R152" s="42" t="s">
        <v>645</v>
      </c>
      <c r="S152" s="26" t="s">
        <v>645</v>
      </c>
      <c r="T152" s="20"/>
      <c r="U152" s="20"/>
      <c r="V152" s="25"/>
      <c r="W152" s="20"/>
      <c r="X152" s="46"/>
      <c r="Y152" s="20"/>
      <c r="Z152" s="20"/>
      <c r="AA152" s="20" t="s">
        <v>222</v>
      </c>
      <c r="AB152" s="20" t="str">
        <f>IF(ISBLANK(S152),"是","否")</f>
        <v>否</v>
      </c>
      <c r="AC152" s="20"/>
      <c r="AD152" s="25"/>
      <c r="AE152" s="25"/>
      <c r="AH152" s="20" t="s">
        <v>76</v>
      </c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</row>
    <row r="153" ht="29.59398496240601" customHeight="1" spans="1:57" x14ac:dyDescent="0.25">
      <c r="A153" s="25" t="s">
        <v>67</v>
      </c>
      <c r="B153" s="19" t="s">
        <v>402</v>
      </c>
      <c r="C153" s="20" t="s">
        <v>57</v>
      </c>
      <c r="D153" s="21"/>
      <c r="E153" s="22"/>
      <c r="F153" s="21" t="s">
        <v>407</v>
      </c>
      <c r="G153" s="29" t="s">
        <v>646</v>
      </c>
      <c r="H153" s="20" t="str">
        <f>SUBSTITUTE(SUBSTITUTE(SUBSTITUTE(S153,"/@","_"),"/cac:","_"),"/cbc:","_")</f>
        <v>Invoice_PayeeParty_Person_FirstName</v>
      </c>
      <c r="I153" s="20" t="str">
        <f>SUBSTITUTE(SUBSTITUTE(SUBSTITUTE(T153,"/@","_"),"/cac:","_"),"/cbc:","_")</f>
        <v/>
      </c>
      <c r="J153" s="19"/>
      <c r="K153" s="19" t="s">
        <v>410</v>
      </c>
      <c r="L153" s="25"/>
      <c r="M153" s="25" t="s">
        <v>228</v>
      </c>
      <c r="N153" s="27" t="s">
        <v>64</v>
      </c>
      <c r="O153" s="27" t="s">
        <v>64</v>
      </c>
      <c r="P153" s="27" t="s">
        <v>3016</v>
      </c>
      <c r="Q153" s="26" t="str">
        <f>IF(S153="","",LEN(S153)-LEN(SUBSTITUTE(S153,"/",""))+IF(ISNUMBER(SEARCH("@",S153)),0,1))</f>
        <v>4</v>
      </c>
      <c r="R153" s="42" t="s">
        <v>647</v>
      </c>
      <c r="S153" s="26" t="s">
        <v>647</v>
      </c>
      <c r="T153" s="20"/>
      <c r="U153" s="20"/>
      <c r="V153" s="25"/>
      <c r="W153" s="20"/>
      <c r="X153" s="46"/>
      <c r="Y153" s="20"/>
      <c r="Z153" s="20"/>
      <c r="AA153" s="20" t="s">
        <v>68</v>
      </c>
      <c r="AB153" s="20" t="str">
        <f>IF(ISBLANK(S153),"是","否")</f>
        <v>否</v>
      </c>
      <c r="AC153" s="20"/>
      <c r="AD153" s="25"/>
      <c r="AE153" s="25"/>
      <c r="AH153" s="20" t="s">
        <v>76</v>
      </c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</row>
    <row r="154" ht="29.59398496240601" customHeight="1" spans="1:57" x14ac:dyDescent="0.25">
      <c r="A154" s="25" t="s">
        <v>67</v>
      </c>
      <c r="B154" s="19" t="s">
        <v>402</v>
      </c>
      <c r="C154" s="20" t="s">
        <v>57</v>
      </c>
      <c r="D154" s="21"/>
      <c r="E154" s="22"/>
      <c r="F154" s="21" t="s">
        <v>412</v>
      </c>
      <c r="G154" s="29" t="s">
        <v>648</v>
      </c>
      <c r="H154" s="20" t="str">
        <f>SUBSTITUTE(SUBSTITUTE(SUBSTITUTE(S154,"/@","_"),"/cac:","_"),"/cbc:","_")</f>
        <v>Invoice_PayeeParty_Person_FamilyName</v>
      </c>
      <c r="I154" s="20" t="str">
        <f>SUBSTITUTE(SUBSTITUTE(SUBSTITUTE(T154,"/@","_"),"/cac:","_"),"/cbc:","_")</f>
        <v/>
      </c>
      <c r="J154" s="19"/>
      <c r="K154" s="19" t="s">
        <v>415</v>
      </c>
      <c r="L154" s="25"/>
      <c r="M154" s="25" t="s">
        <v>228</v>
      </c>
      <c r="N154" s="27" t="s">
        <v>64</v>
      </c>
      <c r="O154" s="27" t="s">
        <v>64</v>
      </c>
      <c r="P154" s="27" t="s">
        <v>3016</v>
      </c>
      <c r="Q154" s="26" t="str">
        <f>IF(S154="","",LEN(S154)-LEN(SUBSTITUTE(S154,"/",""))+IF(ISNUMBER(SEARCH("@",S154)),0,1))</f>
        <v>4</v>
      </c>
      <c r="R154" s="42" t="s">
        <v>649</v>
      </c>
      <c r="S154" s="26" t="s">
        <v>649</v>
      </c>
      <c r="T154" s="20"/>
      <c r="U154" s="20"/>
      <c r="V154" s="25"/>
      <c r="W154" s="20"/>
      <c r="X154" s="46"/>
      <c r="Y154" s="20"/>
      <c r="Z154" s="20"/>
      <c r="AA154" s="20" t="s">
        <v>68</v>
      </c>
      <c r="AB154" s="20" t="str">
        <f>IF(ISBLANK(S154),"是","否")</f>
        <v>否</v>
      </c>
      <c r="AC154" s="20"/>
      <c r="AD154" s="25"/>
      <c r="AE154" s="25"/>
      <c r="AH154" s="20" t="s">
        <v>76</v>
      </c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</row>
    <row r="155" ht="101.59398496240601" customHeight="1" spans="1:57" x14ac:dyDescent="0.25">
      <c r="A155" s="25" t="s">
        <v>67</v>
      </c>
      <c r="B155" s="19" t="s">
        <v>223</v>
      </c>
      <c r="C155" s="20" t="s">
        <v>57</v>
      </c>
      <c r="D155" s="21"/>
      <c r="E155" s="22"/>
      <c r="F155" s="31" t="s">
        <v>417</v>
      </c>
      <c r="G155" s="32" t="s">
        <v>650</v>
      </c>
      <c r="H155" s="20" t="str">
        <f>SUBSTITUTE(SUBSTITUTE(SUBSTITUTE(S155,"/@","_"),"/cac:","_"),"/cbc:","_")</f>
        <v>Invoice_AccountingSupplierParty_AccountingContact</v>
      </c>
      <c r="I155" s="20" t="str">
        <f>SUBSTITUTE(SUBSTITUTE(SUBSTITUTE(T155,"/@","_"),"/cac:","_"),"/cbc:","_")</f>
        <v>语义命中“会计联系人”（AccountingContact 明确用于 accounting），但该行是聚合 Contact（“方式”需落到 Contact 的电话/邮箱等子字段）。</v>
      </c>
      <c r="J155" s="19"/>
      <c r="K155" s="19" t="s">
        <v>420</v>
      </c>
      <c r="L155" s="25"/>
      <c r="M155" s="25" t="s">
        <v>220</v>
      </c>
      <c r="N155" s="27"/>
      <c r="O155" s="27" t="s">
        <v>64</v>
      </c>
      <c r="P155" s="27"/>
      <c r="Q155" s="26" t="str">
        <f>IF(S155="","",LEN(S155)-LEN(SUBSTITUTE(S155,"/",""))+IF(ISNUMBER(SEARCH("@",S155)),0,1))</f>
        <v>3</v>
      </c>
      <c r="R155" s="42"/>
      <c r="S155" s="19" t="s">
        <v>421</v>
      </c>
      <c r="T155" s="19" t="s">
        <v>652</v>
      </c>
      <c r="U155" s="20"/>
      <c r="V155" s="25"/>
      <c r="W155" s="20"/>
      <c r="X155" s="46"/>
      <c r="Y155" s="20"/>
      <c r="Z155" s="20"/>
      <c r="AA155" s="20" t="s">
        <v>222</v>
      </c>
      <c r="AB155" s="20" t="str">
        <f>IF(ISBLANK(S155),"是","否")</f>
        <v>否</v>
      </c>
      <c r="AC155" s="20"/>
      <c r="AD155" s="25"/>
      <c r="AE155" s="25"/>
      <c r="AH155" s="20" t="s">
        <v>653</v>
      </c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</row>
    <row r="156" ht="60.45112781954887" customHeight="1" spans="1:57" x14ac:dyDescent="0.25">
      <c r="A156" s="25" t="s">
        <v>67</v>
      </c>
      <c r="B156" s="19" t="s">
        <v>175</v>
      </c>
      <c r="C156" s="20" t="s">
        <v>57</v>
      </c>
      <c r="D156" s="21"/>
      <c r="E156" s="22"/>
      <c r="F156" s="31" t="s">
        <v>273</v>
      </c>
      <c r="G156" s="32" t="s">
        <v>654</v>
      </c>
      <c r="H156" s="20" t="str">
        <f>SUBSTITUTE(SUBSTITUTE(SUBSTITUTE(S156,"/@","_"),"/cac:","_"),"/cbc:","_")</f>
        <v>Invoice_AccountingSupplierParty_AccountingContact_Name</v>
      </c>
      <c r="I156" s="20" t="str">
        <f>SUBSTITUTE(SUBSTITUTE(SUBSTITUTE(T156,"/@","_"),"/cac:","_"),"/cbc:","_")</f>
        <v>首选：SupplierParty 下的 AccountingContact 明确为“会计联系人”。</v>
      </c>
      <c r="J156" s="19"/>
      <c r="K156" s="19" t="s">
        <v>178</v>
      </c>
      <c r="L156" s="25"/>
      <c r="M156" s="25" t="s">
        <v>228</v>
      </c>
      <c r="N156" s="27"/>
      <c r="O156" s="27" t="s">
        <v>64</v>
      </c>
      <c r="P156" s="27"/>
      <c r="Q156" s="26" t="str">
        <f>IF(S156="","",LEN(S156)-LEN(SUBSTITUTE(S156,"/",""))+IF(ISNUMBER(SEARCH("@",S156)),0,1))</f>
        <v>4</v>
      </c>
      <c r="R156" s="42"/>
      <c r="S156" s="19" t="s">
        <v>425</v>
      </c>
      <c r="T156" s="19" t="s">
        <v>655</v>
      </c>
      <c r="U156" s="20"/>
      <c r="V156" s="25"/>
      <c r="W156" s="20" t="s">
        <v>181</v>
      </c>
      <c r="X156" s="46"/>
      <c r="Y156" s="20"/>
      <c r="Z156" s="20"/>
      <c r="AA156" s="20" t="s">
        <v>68</v>
      </c>
      <c r="AB156" s="20" t="str">
        <f>IF(ISBLANK(S156),"是","否")</f>
        <v>否</v>
      </c>
      <c r="AC156" s="20"/>
      <c r="AD156" s="25"/>
      <c r="AE156" s="25"/>
      <c r="AH156" s="20" t="s">
        <v>653</v>
      </c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</row>
    <row r="157" ht="60.45112781954887" customHeight="1" spans="1:57" x14ac:dyDescent="0.25">
      <c r="A157" s="25" t="s">
        <v>67</v>
      </c>
      <c r="B157" s="19" t="s">
        <v>175</v>
      </c>
      <c r="C157" s="20" t="s">
        <v>57</v>
      </c>
      <c r="D157" s="21"/>
      <c r="E157" s="22"/>
      <c r="F157" s="31" t="s">
        <v>392</v>
      </c>
      <c r="G157" s="32" t="s">
        <v>656</v>
      </c>
      <c r="H157" s="20" t="str">
        <f>SUBSTITUTE(SUBSTITUTE(SUBSTITUTE(S157,"/@","_"),"/cac:","_"),"/cbc:","_")</f>
        <v>Invoice_AccountingSupplierParty_AccountingContact_Telephone</v>
      </c>
      <c r="I157" s="20" t="str">
        <f>SUBSTITUTE(SUBSTITUTE(SUBSTITUTE(T157,"/@","_"),"/cac:","_"),"/cbc:","_")</f>
        <v>首选：SupplierParty/AccountingContact 为会计联系人入口，语义更贴合“会计联系人电话”。</v>
      </c>
      <c r="J157" s="19"/>
      <c r="K157" s="19" t="s">
        <v>395</v>
      </c>
      <c r="L157" s="25"/>
      <c r="M157" s="25" t="s">
        <v>228</v>
      </c>
      <c r="N157" s="27"/>
      <c r="O157" s="27" t="s">
        <v>64</v>
      </c>
      <c r="P157" s="27"/>
      <c r="Q157" s="26" t="str">
        <f>IF(S157="","",LEN(S157)-LEN(SUBSTITUTE(S157,"/",""))+IF(ISNUMBER(SEARCH("@",S157)),0,1))</f>
        <v>4</v>
      </c>
      <c r="R157" s="42"/>
      <c r="S157" s="19" t="s">
        <v>428</v>
      </c>
      <c r="T157" s="19" t="s">
        <v>657</v>
      </c>
      <c r="U157" s="20"/>
      <c r="V157" s="25"/>
      <c r="W157" s="20"/>
      <c r="X157" s="46"/>
      <c r="Y157" s="20"/>
      <c r="Z157" s="20"/>
      <c r="AA157" s="20" t="s">
        <v>68</v>
      </c>
      <c r="AB157" s="20" t="str">
        <f>IF(ISBLANK(S157),"是","否")</f>
        <v>否</v>
      </c>
      <c r="AC157" s="20"/>
      <c r="AD157" s="25"/>
      <c r="AE157" s="25"/>
      <c r="AH157" s="20" t="s">
        <v>653</v>
      </c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</row>
    <row r="158" ht="50.16541353383458" customHeight="1" spans="1:57" x14ac:dyDescent="0.25">
      <c r="A158" s="25" t="s">
        <v>67</v>
      </c>
      <c r="B158" s="19" t="s">
        <v>175</v>
      </c>
      <c r="C158" s="20" t="s">
        <v>57</v>
      </c>
      <c r="D158" s="21"/>
      <c r="E158" s="22"/>
      <c r="F158" s="31" t="s">
        <v>429</v>
      </c>
      <c r="G158" s="32" t="s">
        <v>658</v>
      </c>
      <c r="H158" s="20" t="str">
        <f>SUBSTITUTE(SUBSTITUTE(SUBSTITUTE(S158,"/@","_"),"/cac:","_"),"/cbc:","_")</f>
        <v>Invoice_AccountingSupplierParty_AccountingContact_Telefax</v>
      </c>
      <c r="I158" s="20" t="str">
        <f>SUBSTITUTE(SUBSTITUTE(SUBSTITUTE(T158,"/@","_"),"/cac:","_"),"/cbc:","_")</f>
        <v>首选：SupplierParty/AccountingContact（会计联系人）更贴合“传真”。</v>
      </c>
      <c r="J158" s="19"/>
      <c r="K158" s="19" t="s">
        <v>432</v>
      </c>
      <c r="L158" s="25"/>
      <c r="M158" s="25" t="s">
        <v>228</v>
      </c>
      <c r="N158" s="27"/>
      <c r="O158" s="27" t="s">
        <v>64</v>
      </c>
      <c r="P158" s="27"/>
      <c r="Q158" s="26" t="str">
        <f>IF(S158="","",LEN(S158)-LEN(SUBSTITUTE(S158,"/",""))+IF(ISNUMBER(SEARCH("@",S158)),0,1))</f>
        <v>4</v>
      </c>
      <c r="R158" s="42"/>
      <c r="S158" s="19" t="s">
        <v>433</v>
      </c>
      <c r="T158" s="19" t="s">
        <v>659</v>
      </c>
      <c r="U158" s="20"/>
      <c r="V158" s="25"/>
      <c r="W158" s="20"/>
      <c r="X158" s="46"/>
      <c r="Y158" s="20"/>
      <c r="Z158" s="20"/>
      <c r="AA158" s="20" t="s">
        <v>68</v>
      </c>
      <c r="AB158" s="20" t="str">
        <f>IF(ISBLANK(S158),"是","否")</f>
        <v>否</v>
      </c>
      <c r="AC158" s="20"/>
      <c r="AD158" s="25"/>
      <c r="AE158" s="25"/>
      <c r="AH158" s="20" t="s">
        <v>653</v>
      </c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</row>
    <row r="159" ht="50.16541353383458" customHeight="1" spans="1:57" x14ac:dyDescent="0.25">
      <c r="A159" s="25" t="s">
        <v>67</v>
      </c>
      <c r="B159" s="19" t="s">
        <v>175</v>
      </c>
      <c r="C159" s="20" t="s">
        <v>57</v>
      </c>
      <c r="D159" s="21"/>
      <c r="E159" s="22"/>
      <c r="F159" s="31" t="s">
        <v>397</v>
      </c>
      <c r="G159" s="32" t="s">
        <v>660</v>
      </c>
      <c r="H159" s="20" t="str">
        <f>SUBSTITUTE(SUBSTITUTE(SUBSTITUTE(S159,"/@","_"),"/cac:","_"),"/cbc:","_")</f>
        <v>Invoice_AccountingSupplierParty_AccountingContact_ElectronicMail</v>
      </c>
      <c r="I159" s="20" t="str">
        <f>SUBSTITUTE(SUBSTITUTE(SUBSTITUTE(T159,"/@","_"),"/cac:","_"),"/cbc:","_")</f>
        <v>首选：SupplierParty/AccountingContact 明确为会计联系人通道。</v>
      </c>
      <c r="J159" s="19"/>
      <c r="K159" s="19" t="s">
        <v>400</v>
      </c>
      <c r="L159" s="25"/>
      <c r="M159" s="25" t="s">
        <v>228</v>
      </c>
      <c r="N159" s="27"/>
      <c r="O159" s="27" t="s">
        <v>64</v>
      </c>
      <c r="P159" s="27"/>
      <c r="Q159" s="26" t="str">
        <f>IF(S159="","",LEN(S159)-LEN(SUBSTITUTE(S159,"/",""))+IF(ISNUMBER(SEARCH("@",S159)),0,1))</f>
        <v>4</v>
      </c>
      <c r="R159" s="42"/>
      <c r="S159" s="19" t="s">
        <v>436</v>
      </c>
      <c r="T159" s="19" t="s">
        <v>661</v>
      </c>
      <c r="U159" s="20"/>
      <c r="V159" s="25"/>
      <c r="W159" s="20"/>
      <c r="X159" s="46"/>
      <c r="Y159" s="20"/>
      <c r="Z159" s="20"/>
      <c r="AA159" s="20" t="s">
        <v>68</v>
      </c>
      <c r="AB159" s="20" t="str">
        <f>IF(ISBLANK(S159),"是","否")</f>
        <v>否</v>
      </c>
      <c r="AC159" s="20"/>
      <c r="AD159" s="25"/>
      <c r="AE159" s="25"/>
      <c r="AH159" s="20" t="s">
        <v>653</v>
      </c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</row>
    <row r="160" ht="29.59398496240601" customHeight="1" spans="1:57" x14ac:dyDescent="0.25">
      <c r="A160" s="25" t="s">
        <v>67</v>
      </c>
      <c r="B160" s="19" t="s">
        <v>41</v>
      </c>
      <c r="C160" s="20" t="s">
        <v>57</v>
      </c>
      <c r="D160" s="21"/>
      <c r="E160" s="22"/>
      <c r="F160" s="21" t="s">
        <v>662</v>
      </c>
      <c r="G160" s="29" t="s">
        <v>663</v>
      </c>
      <c r="H160" s="20" t="str">
        <f>SUBSTITUTE(SUBSTITUTE(SUBSTITUTE(S160,"/@","_"),"/cac:","_"),"/cbc:","_")</f>
        <v>Invoice_BuyerCustomerParty</v>
      </c>
      <c r="I160" s="20" t="str">
        <f>SUBSTITUTE(SUBSTITUTE(SUBSTITUTE(T160,"/@","_"),"/cac:","_"),"/cbc:","_")</f>
        <v/>
      </c>
      <c r="J160" s="19"/>
      <c r="K160" s="19" t="s">
        <v>664</v>
      </c>
      <c r="L160" s="25"/>
      <c r="M160" s="25" t="s">
        <v>220</v>
      </c>
      <c r="N160" s="27" t="s">
        <v>165</v>
      </c>
      <c r="O160" s="27" t="s">
        <v>64</v>
      </c>
      <c r="P160" s="27" t="s">
        <v>3014</v>
      </c>
      <c r="Q160" s="26" t="str">
        <f>IF(S160="","",LEN(S160)-LEN(SUBSTITUTE(S160,"/",""))+IF(ISNUMBER(SEARCH("@",S160)),0,1))</f>
        <v>2</v>
      </c>
      <c r="R160" s="42" t="s">
        <v>665</v>
      </c>
      <c r="S160" s="26" t="s">
        <v>665</v>
      </c>
      <c r="T160" s="20"/>
      <c r="U160" s="20"/>
      <c r="V160" s="25"/>
      <c r="W160" s="20"/>
      <c r="X160" s="46"/>
      <c r="Y160" s="20"/>
      <c r="Z160" s="20"/>
      <c r="AA160" s="20" t="s">
        <v>222</v>
      </c>
      <c r="AB160" s="20" t="str">
        <f>IF(ISBLANK(S160),"是","否")</f>
        <v>否</v>
      </c>
      <c r="AC160" s="20"/>
      <c r="AD160" s="25"/>
      <c r="AE160" s="25"/>
      <c r="AH160" s="20" t="s">
        <v>76</v>
      </c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</row>
    <row r="161" ht="29.59398496240601" customHeight="1" spans="1:57" x14ac:dyDescent="0.25">
      <c r="A161" s="25" t="s">
        <v>67</v>
      </c>
      <c r="B161" s="19" t="s">
        <v>442</v>
      </c>
      <c r="C161" s="20" t="s">
        <v>57</v>
      </c>
      <c r="D161" s="21"/>
      <c r="E161" s="22"/>
      <c r="F161" s="21" t="s">
        <v>443</v>
      </c>
      <c r="G161" s="29" t="s">
        <v>666</v>
      </c>
      <c r="H161" s="20" t="str">
        <f>SUBSTITUTE(SUBSTITUTE(SUBSTITUTE(S161,"/@","_"),"/cac:","_"),"/cbc:","_")</f>
        <v>Invoice_BuyerCustomerParty_SupplierAssignedAccountID</v>
      </c>
      <c r="I161" s="20" t="str">
        <f>SUBSTITUTE(SUBSTITUTE(SUBSTITUTE(T161,"/@","_"),"/cac:","_"),"/cbc:","_")</f>
        <v/>
      </c>
      <c r="J161" s="19"/>
      <c r="K161" s="19" t="s">
        <v>446</v>
      </c>
      <c r="L161" s="25"/>
      <c r="M161" s="25" t="s">
        <v>228</v>
      </c>
      <c r="N161" s="27" t="s">
        <v>64</v>
      </c>
      <c r="O161" s="27" t="s">
        <v>64</v>
      </c>
      <c r="P161" s="27" t="s">
        <v>50</v>
      </c>
      <c r="Q161" s="26" t="str">
        <f>IF(S161="","",LEN(S161)-LEN(SUBSTITUTE(S161,"/",""))+IF(ISNUMBER(SEARCH("@",S161)),0,1))</f>
        <v>3</v>
      </c>
      <c r="R161" s="42" t="s">
        <v>668</v>
      </c>
      <c r="S161" s="26" t="s">
        <v>668</v>
      </c>
      <c r="T161" s="20"/>
      <c r="U161" s="20"/>
      <c r="V161" s="25"/>
      <c r="W161" s="20"/>
      <c r="X161" s="46"/>
      <c r="Y161" s="20"/>
      <c r="Z161" s="20"/>
      <c r="AA161" s="20" t="s">
        <v>68</v>
      </c>
      <c r="AB161" s="20" t="str">
        <f>IF(ISBLANK(S161),"是","否")</f>
        <v>否</v>
      </c>
      <c r="AC161" s="20"/>
      <c r="AD161" s="25"/>
      <c r="AE161" s="25"/>
      <c r="AH161" s="20" t="s">
        <v>76</v>
      </c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</row>
    <row r="162" ht="19.308270676691727" customHeight="1" spans="1:57" x14ac:dyDescent="0.25">
      <c r="A162" s="25" t="s">
        <v>67</v>
      </c>
      <c r="B162" s="19" t="s">
        <v>442</v>
      </c>
      <c r="C162" s="20" t="s">
        <v>57</v>
      </c>
      <c r="D162" s="21"/>
      <c r="E162" s="22"/>
      <c r="F162" s="21" t="s">
        <v>230</v>
      </c>
      <c r="G162" s="29" t="s">
        <v>669</v>
      </c>
      <c r="H162" s="20" t="str">
        <f>SUBSTITUTE(SUBSTITUTE(SUBSTITUTE(S162,"/@","_"),"/cac:","_"),"/cbc:","_")</f>
        <v>Invoice_BuyerCustomerParty_Party</v>
      </c>
      <c r="I162" s="20" t="str">
        <f>SUBSTITUTE(SUBSTITUTE(SUBSTITUTE(T162,"/@","_"),"/cac:","_"),"/cbc:","_")</f>
        <v/>
      </c>
      <c r="J162" s="19"/>
      <c r="K162" s="19" t="s">
        <v>450</v>
      </c>
      <c r="L162" s="25"/>
      <c r="M162" s="25" t="s">
        <v>220</v>
      </c>
      <c r="N162" s="27" t="s">
        <v>64</v>
      </c>
      <c r="O162" s="27" t="s">
        <v>64</v>
      </c>
      <c r="P162" s="27" t="s">
        <v>50</v>
      </c>
      <c r="Q162" s="26" t="str">
        <f>IF(S162="","",LEN(S162)-LEN(SUBSTITUTE(S162,"/",""))+IF(ISNUMBER(SEARCH("@",S162)),0,1))</f>
        <v>3</v>
      </c>
      <c r="R162" s="42" t="s">
        <v>671</v>
      </c>
      <c r="S162" s="26" t="s">
        <v>671</v>
      </c>
      <c r="T162" s="20"/>
      <c r="U162" s="20"/>
      <c r="V162" s="25"/>
      <c r="W162" s="20"/>
      <c r="X162" s="46"/>
      <c r="Y162" s="20"/>
      <c r="Z162" s="20"/>
      <c r="AA162" s="20" t="s">
        <v>222</v>
      </c>
      <c r="AB162" s="20" t="str">
        <f>IF(ISBLANK(S162),"是","否")</f>
        <v>否</v>
      </c>
      <c r="AC162" s="20"/>
      <c r="AD162" s="25"/>
      <c r="AE162" s="25"/>
      <c r="AH162" s="20" t="s">
        <v>76</v>
      </c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</row>
    <row r="163" ht="29.59398496240601" customHeight="1" spans="1:57" x14ac:dyDescent="0.25">
      <c r="A163" s="25" t="s">
        <v>67</v>
      </c>
      <c r="B163" s="19" t="s">
        <v>230</v>
      </c>
      <c r="C163" s="20" t="s">
        <v>57</v>
      </c>
      <c r="D163" s="21"/>
      <c r="E163" s="22"/>
      <c r="F163" s="21" t="s">
        <v>235</v>
      </c>
      <c r="G163" s="29" t="s">
        <v>672</v>
      </c>
      <c r="H163" s="20" t="str">
        <f>SUBSTITUTE(SUBSTITUTE(SUBSTITUTE(S163,"/@","_"),"/cac:","_"),"/cbc:","_")</f>
        <v>Invoice_BuyerCustomerParty_Party_EndpointID</v>
      </c>
      <c r="I163" s="20" t="str">
        <f>SUBSTITUTE(SUBSTITUTE(SUBSTITUTE(T163,"/@","_"),"/cac:","_"),"/cbc:","_")</f>
        <v/>
      </c>
      <c r="J163" s="19"/>
      <c r="K163" s="19" t="s">
        <v>238</v>
      </c>
      <c r="L163" s="25"/>
      <c r="M163" s="25" t="s">
        <v>228</v>
      </c>
      <c r="N163" s="27" t="s">
        <v>64</v>
      </c>
      <c r="O163" s="27" t="s">
        <v>64</v>
      </c>
      <c r="P163" s="27" t="s">
        <v>3015</v>
      </c>
      <c r="Q163" s="26" t="str">
        <f>IF(S163="","",LEN(S163)-LEN(SUBSTITUTE(S163,"/",""))+IF(ISNUMBER(SEARCH("@",S163)),0,1))</f>
        <v>4</v>
      </c>
      <c r="R163" s="42" t="s">
        <v>673</v>
      </c>
      <c r="S163" s="26" t="s">
        <v>673</v>
      </c>
      <c r="T163" s="20"/>
      <c r="U163" s="20"/>
      <c r="V163" s="25"/>
      <c r="W163" s="20" t="s">
        <v>240</v>
      </c>
      <c r="X163" s="46"/>
      <c r="Y163" s="20"/>
      <c r="Z163" s="20"/>
      <c r="AA163" s="20" t="s">
        <v>68</v>
      </c>
      <c r="AB163" s="20" t="str">
        <f>IF(ISBLANK(S163),"是","否")</f>
        <v>否</v>
      </c>
      <c r="AC163" s="20"/>
      <c r="AD163" s="25"/>
      <c r="AE163" s="25"/>
      <c r="AH163" s="20" t="s">
        <v>76</v>
      </c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</row>
    <row r="164" ht="29.59398496240601" customHeight="1" spans="1:57" x14ac:dyDescent="0.25">
      <c r="A164" s="25" t="s">
        <v>67</v>
      </c>
      <c r="B164" s="19" t="s">
        <v>230</v>
      </c>
      <c r="C164" s="20" t="s">
        <v>57</v>
      </c>
      <c r="D164" s="21"/>
      <c r="E164" s="22"/>
      <c r="F164" s="21" t="s">
        <v>241</v>
      </c>
      <c r="G164" s="29" t="s">
        <v>674</v>
      </c>
      <c r="H164" s="20" t="str">
        <f>SUBSTITUTE(SUBSTITUTE(SUBSTITUTE(S164,"/@","_"),"/cac:","_"),"/cbc:","_")</f>
        <v>Invoice_BuyerCustomerParty_Party_EndpointID_schemeID</v>
      </c>
      <c r="I164" s="20" t="str">
        <f>SUBSTITUTE(SUBSTITUTE(SUBSTITUTE(T164,"/@","_"),"/cac:","_"),"/cbc:","_")</f>
        <v/>
      </c>
      <c r="J164" s="19"/>
      <c r="K164" s="19" t="s">
        <v>238</v>
      </c>
      <c r="L164" s="25"/>
      <c r="M164" s="25" t="s">
        <v>243</v>
      </c>
      <c r="N164" s="27" t="s">
        <v>64</v>
      </c>
      <c r="O164" s="27" t="s">
        <v>64</v>
      </c>
      <c r="P164" s="27" t="s">
        <v>3015</v>
      </c>
      <c r="Q164" s="26" t="str">
        <f>IF(S164="","",LEN(S164)-LEN(SUBSTITUTE(S164,"/",""))+IF(ISNUMBER(SEARCH("@",S164)),0,1))</f>
        <v>4</v>
      </c>
      <c r="R164" s="42" t="s">
        <v>675</v>
      </c>
      <c r="S164" s="26" t="s">
        <v>675</v>
      </c>
      <c r="T164" s="20"/>
      <c r="U164" s="20"/>
      <c r="V164" s="25"/>
      <c r="W164" s="20" t="s">
        <v>240</v>
      </c>
      <c r="X164" s="46"/>
      <c r="Y164" s="20"/>
      <c r="Z164" s="20"/>
      <c r="AA164" s="20" t="s">
        <v>68</v>
      </c>
      <c r="AB164" s="20" t="str">
        <f>IF(ISBLANK(S164),"是","否")</f>
        <v>否</v>
      </c>
      <c r="AC164" s="20"/>
      <c r="AD164" s="25"/>
      <c r="AE164" s="25"/>
      <c r="AH164" s="20" t="s">
        <v>76</v>
      </c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</row>
    <row r="165" ht="39.879699248120296" customHeight="1" spans="1:57" x14ac:dyDescent="0.25">
      <c r="A165" s="20" t="s">
        <v>682</v>
      </c>
      <c r="B165" s="19" t="s">
        <v>230</v>
      </c>
      <c r="C165" s="20" t="s">
        <v>57</v>
      </c>
      <c r="D165" s="21"/>
      <c r="E165" s="22"/>
      <c r="F165" s="21" t="s">
        <v>255</v>
      </c>
      <c r="G165" s="29" t="s">
        <v>676</v>
      </c>
      <c r="H165" s="20" t="str">
        <f>SUBSTITUTE(SUBSTITUTE(SUBSTITUTE(S165,"/@","_"),"/cac:","_"),"/cbc:","_")</f>
        <v>Invoice_BuyerCustomerParty_Party_PartyIdentification</v>
      </c>
      <c r="I165" s="20" t="str">
        <f>SUBSTITUTE(SUBSTITUTE(SUBSTITUTE(T165,"/@","_"),"/cac:","_"),"/cbc:","_")</f>
        <v/>
      </c>
      <c r="J165" s="25" t="s">
        <v>677</v>
      </c>
      <c r="K165" s="25" t="s">
        <v>678</v>
      </c>
      <c r="L165" s="25" t="s">
        <v>679</v>
      </c>
      <c r="M165" s="25" t="s">
        <v>220</v>
      </c>
      <c r="N165" s="27" t="s">
        <v>64</v>
      </c>
      <c r="O165" s="25" t="s">
        <v>64</v>
      </c>
      <c r="P165" s="27"/>
      <c r="Q165" s="26" t="str">
        <f>IF(S165="","",LEN(S165)-LEN(SUBSTITUTE(S165,"/",""))+IF(ISNUMBER(SEARCH("@",S165)),0,1))</f>
        <v>4</v>
      </c>
      <c r="R165" s="42" t="s">
        <v>680</v>
      </c>
      <c r="S165" s="25" t="s">
        <v>680</v>
      </c>
      <c r="T165" s="20"/>
      <c r="U165" s="20"/>
      <c r="V165" s="25"/>
      <c r="W165" s="25" t="s">
        <v>681</v>
      </c>
      <c r="X165" s="46"/>
      <c r="Y165" s="20"/>
      <c r="Z165" s="20"/>
      <c r="AA165" s="25" t="s">
        <v>222</v>
      </c>
      <c r="AB165" s="20" t="str">
        <f>IF(ISBLANK(S165),"是","否")</f>
        <v>否</v>
      </c>
      <c r="AC165" s="20"/>
      <c r="AD165" s="25"/>
      <c r="AE165" s="25"/>
      <c r="AH165" s="20" t="s">
        <v>76</v>
      </c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</row>
    <row r="166" ht="39.879699248120296" customHeight="1" spans="1:57" x14ac:dyDescent="0.25">
      <c r="A166" s="20" t="s">
        <v>682</v>
      </c>
      <c r="B166" s="19" t="s">
        <v>255</v>
      </c>
      <c r="C166" s="20" t="s">
        <v>57</v>
      </c>
      <c r="D166" s="21"/>
      <c r="E166" s="22"/>
      <c r="F166" s="21" t="s">
        <v>260</v>
      </c>
      <c r="G166" s="29" t="s">
        <v>683</v>
      </c>
      <c r="H166" s="20" t="str">
        <f>SUBSTITUTE(SUBSTITUTE(SUBSTITUTE(S166,"/@","_"),"/cac:","_"),"/cbc:","_")</f>
        <v>Invoice_BuyerCustomerParty_Party_PartyIdentification_ID</v>
      </c>
      <c r="I166" s="20" t="str">
        <f>SUBSTITUTE(SUBSTITUTE(SUBSTITUTE(T166,"/@","_"),"/cac:","_"),"/cbc:","_")</f>
        <v/>
      </c>
      <c r="J166" s="25" t="s">
        <v>684</v>
      </c>
      <c r="K166" s="25" t="s">
        <v>685</v>
      </c>
      <c r="L166" s="25" t="s">
        <v>686</v>
      </c>
      <c r="M166" s="25" t="s">
        <v>228</v>
      </c>
      <c r="N166" s="27" t="s">
        <v>64</v>
      </c>
      <c r="O166" s="25" t="s">
        <v>64</v>
      </c>
      <c r="P166" s="27" t="s">
        <v>3015</v>
      </c>
      <c r="Q166" s="26" t="str">
        <f>IF(S166="","",LEN(S166)-LEN(SUBSTITUTE(S166,"/",""))+IF(ISNUMBER(SEARCH("@",S166)),0,1))</f>
        <v>5</v>
      </c>
      <c r="R166" s="42" t="s">
        <v>687</v>
      </c>
      <c r="S166" s="25" t="s">
        <v>687</v>
      </c>
      <c r="T166" s="20"/>
      <c r="U166" s="20"/>
      <c r="V166" s="25"/>
      <c r="W166" s="25" t="s">
        <v>54</v>
      </c>
      <c r="X166" s="46"/>
      <c r="Y166" s="20"/>
      <c r="Z166" s="20"/>
      <c r="AA166" s="25" t="s">
        <v>68</v>
      </c>
      <c r="AB166" s="20" t="str">
        <f>IF(ISBLANK(S166),"是","否")</f>
        <v>否</v>
      </c>
      <c r="AC166" s="20"/>
      <c r="AD166" s="25"/>
      <c r="AE166" s="25"/>
      <c r="AH166" s="20" t="s">
        <v>76</v>
      </c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</row>
    <row r="167" ht="50.16541353383458" customHeight="1" spans="1:57" x14ac:dyDescent="0.25">
      <c r="A167" s="20" t="s">
        <v>682</v>
      </c>
      <c r="B167" s="19" t="s">
        <v>255</v>
      </c>
      <c r="C167" s="20" t="s">
        <v>57</v>
      </c>
      <c r="D167" s="21"/>
      <c r="E167" s="22"/>
      <c r="F167" s="21" t="s">
        <v>265</v>
      </c>
      <c r="G167" s="29" t="s">
        <v>688</v>
      </c>
      <c r="H167" s="20" t="str">
        <f>SUBSTITUTE(SUBSTITUTE(SUBSTITUTE(S167,"/@","_"),"/cac:","_"),"/cbc:","_")</f>
        <v>Invoice_BuyerCustomerParty_Party_PartyIdentification_ID_schemeID</v>
      </c>
      <c r="I167" s="20" t="str">
        <f>SUBSTITUTE(SUBSTITUTE(SUBSTITUTE(T167,"/@","_"),"/cac:","_"),"/cbc:","_")</f>
        <v/>
      </c>
      <c r="J167" s="25" t="s">
        <v>689</v>
      </c>
      <c r="K167" s="25" t="s">
        <v>690</v>
      </c>
      <c r="L167" s="25" t="s">
        <v>691</v>
      </c>
      <c r="M167" s="25" t="s">
        <v>243</v>
      </c>
      <c r="N167" s="27" t="s">
        <v>64</v>
      </c>
      <c r="O167" s="25" t="s">
        <v>64</v>
      </c>
      <c r="P167" s="27" t="s">
        <v>3015</v>
      </c>
      <c r="Q167" s="26" t="str">
        <f>IF(S167="","",LEN(S167)-LEN(SUBSTITUTE(S167,"/",""))+IF(ISNUMBER(SEARCH("@",S167)),0,1))</f>
        <v>5</v>
      </c>
      <c r="R167" s="42" t="s">
        <v>692</v>
      </c>
      <c r="S167" s="25" t="s">
        <v>692</v>
      </c>
      <c r="T167" s="20"/>
      <c r="U167" s="20"/>
      <c r="V167" s="25"/>
      <c r="W167" s="25">
        <v>88</v>
      </c>
      <c r="X167" s="46"/>
      <c r="Y167" s="20"/>
      <c r="Z167" s="20"/>
      <c r="AA167" s="25" t="s">
        <v>68</v>
      </c>
      <c r="AB167" s="20" t="str">
        <f>IF(ISBLANK(S167),"是","否")</f>
        <v>否</v>
      </c>
      <c r="AC167" s="20"/>
      <c r="AD167" s="25"/>
      <c r="AE167" s="25"/>
      <c r="AH167" s="20" t="s">
        <v>76</v>
      </c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</row>
    <row r="168" ht="39.879699248120296" customHeight="1" spans="1:57" x14ac:dyDescent="0.25">
      <c r="A168" s="20" t="s">
        <v>682</v>
      </c>
      <c r="B168" s="19" t="s">
        <v>230</v>
      </c>
      <c r="C168" s="20" t="s">
        <v>57</v>
      </c>
      <c r="D168" s="21"/>
      <c r="E168" s="22"/>
      <c r="F168" s="21" t="s">
        <v>466</v>
      </c>
      <c r="G168" s="29" t="s">
        <v>693</v>
      </c>
      <c r="H168" s="20" t="str">
        <f>SUBSTITUTE(SUBSTITUTE(SUBSTITUTE(S168,"/@","_"),"/cac:","_"),"/cbc:","_")</f>
        <v>Invoice_BuyerCustomerParty_Party_PostalAddress</v>
      </c>
      <c r="I168" s="20" t="str">
        <f>SUBSTITUTE(SUBSTITUTE(SUBSTITUTE(T168,"/@","_"),"/cac:","_"),"/cbc:","_")</f>
        <v/>
      </c>
      <c r="J168" s="25" t="s">
        <v>694</v>
      </c>
      <c r="K168" s="25" t="s">
        <v>695</v>
      </c>
      <c r="L168" s="25" t="s">
        <v>696</v>
      </c>
      <c r="M168" s="25" t="s">
        <v>220</v>
      </c>
      <c r="N168" s="27" t="s">
        <v>64</v>
      </c>
      <c r="O168" s="25" t="s">
        <v>64</v>
      </c>
      <c r="P168" s="27" t="s">
        <v>3015</v>
      </c>
      <c r="Q168" s="26" t="str">
        <f>IF(S168="","",LEN(S168)-LEN(SUBSTITUTE(S168,"/",""))+IF(ISNUMBER(SEARCH("@",S168)),0,1))</f>
        <v>4</v>
      </c>
      <c r="R168" s="42" t="s">
        <v>697</v>
      </c>
      <c r="S168" s="25" t="s">
        <v>697</v>
      </c>
      <c r="T168" s="20"/>
      <c r="U168" s="20"/>
      <c r="V168" s="25"/>
      <c r="W168" s="25" t="s">
        <v>681</v>
      </c>
      <c r="X168" s="46"/>
      <c r="Y168" s="20"/>
      <c r="Z168" s="20"/>
      <c r="AA168" s="25" t="s">
        <v>222</v>
      </c>
      <c r="AB168" s="20" t="str">
        <f>IF(ISBLANK(S168),"是","否")</f>
        <v>否</v>
      </c>
      <c r="AC168" s="20"/>
      <c r="AD168" s="25"/>
      <c r="AE168" s="25"/>
      <c r="AH168" s="20" t="s">
        <v>76</v>
      </c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</row>
    <row r="169" ht="39.879699248120296" customHeight="1" spans="1:57" x14ac:dyDescent="0.25">
      <c r="A169" s="20" t="s">
        <v>682</v>
      </c>
      <c r="B169" s="19" t="s">
        <v>282</v>
      </c>
      <c r="C169" s="20" t="s">
        <v>57</v>
      </c>
      <c r="D169" s="21"/>
      <c r="E169" s="22"/>
      <c r="F169" s="21" t="s">
        <v>469</v>
      </c>
      <c r="G169" s="29" t="s">
        <v>698</v>
      </c>
      <c r="H169" s="20" t="str">
        <f>SUBSTITUTE(SUBSTITUTE(SUBSTITUTE(S169,"/@","_"),"/cac:","_"),"/cbc:","_")</f>
        <v>Invoice_BuyerCustomerParty_Party_PostalAddress_Postbox</v>
      </c>
      <c r="I169" s="20" t="str">
        <f>SUBSTITUTE(SUBSTITUTE(SUBSTITUTE(T169,"/@","_"),"/cac:","_"),"/cbc:","_")</f>
        <v/>
      </c>
      <c r="J169" s="25" t="s">
        <v>700</v>
      </c>
      <c r="K169" s="25" t="s">
        <v>701</v>
      </c>
      <c r="L169" s="25" t="s">
        <v>702</v>
      </c>
      <c r="M169" s="25" t="s">
        <v>228</v>
      </c>
      <c r="N169" s="27" t="s">
        <v>64</v>
      </c>
      <c r="O169" s="25" t="s">
        <v>64</v>
      </c>
      <c r="P169" s="27" t="s">
        <v>3016</v>
      </c>
      <c r="Q169" s="26" t="str">
        <f>IF(S169="","",LEN(S169)-LEN(SUBSTITUTE(S169,"/",""))+IF(ISNUMBER(SEARCH("@",S169)),0,1))</f>
        <v>5</v>
      </c>
      <c r="R169" s="42" t="s">
        <v>703</v>
      </c>
      <c r="S169" s="25" t="s">
        <v>703</v>
      </c>
      <c r="T169" s="20"/>
      <c r="U169" s="20"/>
      <c r="V169" s="25"/>
      <c r="W169" s="25">
        <v>12345</v>
      </c>
      <c r="X169" s="46"/>
      <c r="Y169" s="20"/>
      <c r="Z169" s="20"/>
      <c r="AA169" s="25" t="s">
        <v>68</v>
      </c>
      <c r="AB169" s="20" t="str">
        <f>IF(ISBLANK(S169),"是","否")</f>
        <v>否</v>
      </c>
      <c r="AC169" s="20"/>
      <c r="AD169" s="25"/>
      <c r="AE169" s="25"/>
      <c r="AH169" s="20" t="s">
        <v>76</v>
      </c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</row>
    <row r="170" ht="50.16541353383458" customHeight="1" spans="1:57" x14ac:dyDescent="0.25">
      <c r="A170" s="20" t="s">
        <v>682</v>
      </c>
      <c r="B170" s="19" t="s">
        <v>282</v>
      </c>
      <c r="C170" s="20" t="s">
        <v>57</v>
      </c>
      <c r="D170" s="21"/>
      <c r="E170" s="22"/>
      <c r="F170" s="21" t="s">
        <v>283</v>
      </c>
      <c r="G170" s="29" t="s">
        <v>704</v>
      </c>
      <c r="H170" s="20" t="str">
        <f>SUBSTITUTE(SUBSTITUTE(SUBSTITUTE(S170,"/@","_"),"/cac:","_"),"/cbc:","_")</f>
        <v>Invoice_BuyerCustomerParty_Party_PostalAddress_StreetName</v>
      </c>
      <c r="I170" s="20" t="str">
        <f>SUBSTITUTE(SUBSTITUTE(SUBSTITUTE(T170,"/@","_"),"/cac:","_"),"/cbc:","_")</f>
        <v/>
      </c>
      <c r="J170" s="25" t="s">
        <v>705</v>
      </c>
      <c r="K170" s="25" t="s">
        <v>706</v>
      </c>
      <c r="L170" s="25" t="s">
        <v>707</v>
      </c>
      <c r="M170" s="25" t="s">
        <v>228</v>
      </c>
      <c r="N170" s="27" t="s">
        <v>64</v>
      </c>
      <c r="O170" s="25" t="s">
        <v>64</v>
      </c>
      <c r="P170" s="27" t="s">
        <v>3016</v>
      </c>
      <c r="Q170" s="26" t="str">
        <f>IF(S170="","",LEN(S170)-LEN(SUBSTITUTE(S170,"/",""))+IF(ISNUMBER(SEARCH("@",S170)),0,1))</f>
        <v>5</v>
      </c>
      <c r="R170" s="42" t="s">
        <v>708</v>
      </c>
      <c r="S170" s="25" t="s">
        <v>708</v>
      </c>
      <c r="T170" s="20"/>
      <c r="U170" s="20"/>
      <c r="V170" s="25"/>
      <c r="W170" s="25" t="s">
        <v>709</v>
      </c>
      <c r="X170" s="46"/>
      <c r="Y170" s="20"/>
      <c r="Z170" s="20"/>
      <c r="AA170" s="25" t="s">
        <v>68</v>
      </c>
      <c r="AB170" s="20" t="str">
        <f>IF(ISBLANK(S170),"是","否")</f>
        <v>否</v>
      </c>
      <c r="AC170" s="20"/>
      <c r="AD170" s="25"/>
      <c r="AE170" s="25"/>
      <c r="AH170" s="20" t="s">
        <v>76</v>
      </c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</row>
    <row r="171" ht="39.879699248120296" customHeight="1" spans="1:57" x14ac:dyDescent="0.25">
      <c r="A171" s="20" t="s">
        <v>682</v>
      </c>
      <c r="B171" s="19" t="s">
        <v>282</v>
      </c>
      <c r="C171" s="20" t="s">
        <v>57</v>
      </c>
      <c r="D171" s="21"/>
      <c r="E171" s="22"/>
      <c r="F171" s="21" t="s">
        <v>478</v>
      </c>
      <c r="G171" s="29" t="s">
        <v>710</v>
      </c>
      <c r="H171" s="20" t="str">
        <f>SUBSTITUTE(SUBSTITUTE(SUBSTITUTE(S171,"/@","_"),"/cac:","_"),"/cbc:","_")</f>
        <v>Invoice_BuyerCustomerParty_Party_PostalAddress_AdditionalStreetName</v>
      </c>
      <c r="I171" s="20" t="str">
        <f>SUBSTITUTE(SUBSTITUTE(SUBSTITUTE(T171,"/@","_"),"/cac:","_"),"/cbc:","_")</f>
        <v/>
      </c>
      <c r="J171" s="25" t="s">
        <v>711</v>
      </c>
      <c r="K171" s="25" t="s">
        <v>712</v>
      </c>
      <c r="L171" s="25" t="s">
        <v>713</v>
      </c>
      <c r="M171" s="25" t="s">
        <v>228</v>
      </c>
      <c r="N171" s="27" t="s">
        <v>64</v>
      </c>
      <c r="O171" s="25" t="s">
        <v>64</v>
      </c>
      <c r="P171" s="27" t="s">
        <v>3016</v>
      </c>
      <c r="Q171" s="26" t="str">
        <f>IF(S171="","",LEN(S171)-LEN(SUBSTITUTE(S171,"/",""))+IF(ISNUMBER(SEARCH("@",S171)),0,1))</f>
        <v>5</v>
      </c>
      <c r="R171" s="42" t="s">
        <v>714</v>
      </c>
      <c r="S171" s="25" t="s">
        <v>714</v>
      </c>
      <c r="T171" s="20"/>
      <c r="U171" s="20"/>
      <c r="V171" s="25"/>
      <c r="W171" s="25" t="s">
        <v>715</v>
      </c>
      <c r="X171" s="46"/>
      <c r="Y171" s="20"/>
      <c r="Z171" s="20"/>
      <c r="AA171" s="25" t="s">
        <v>68</v>
      </c>
      <c r="AB171" s="20" t="str">
        <f>IF(ISBLANK(S171),"是","否")</f>
        <v>否</v>
      </c>
      <c r="AC171" s="20"/>
      <c r="AD171" s="25"/>
      <c r="AE171" s="25"/>
      <c r="AH171" s="20" t="s">
        <v>76</v>
      </c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</row>
    <row r="172" ht="29.59398496240601" customHeight="1" spans="1:57" x14ac:dyDescent="0.25">
      <c r="A172" s="20" t="s">
        <v>682</v>
      </c>
      <c r="B172" s="19" t="s">
        <v>282</v>
      </c>
      <c r="C172" s="20" t="s">
        <v>57</v>
      </c>
      <c r="D172" s="21"/>
      <c r="E172" s="22"/>
      <c r="F172" s="21" t="s">
        <v>484</v>
      </c>
      <c r="G172" s="29" t="s">
        <v>716</v>
      </c>
      <c r="H172" s="20" t="str">
        <f>SUBSTITUTE(SUBSTITUTE(SUBSTITUTE(S172,"/@","_"),"/cac:","_"),"/cbc:","_")</f>
        <v>Invoice_BuyerCustomerParty_Party_PostalAddress_BuildingNumber</v>
      </c>
      <c r="I172" s="20" t="str">
        <f>SUBSTITUTE(SUBSTITUTE(SUBSTITUTE(T172,"/@","_"),"/cac:","_"),"/cbc:","_")</f>
        <v/>
      </c>
      <c r="J172" s="25" t="s">
        <v>717</v>
      </c>
      <c r="K172" s="25" t="s">
        <v>718</v>
      </c>
      <c r="L172" s="25" t="s">
        <v>719</v>
      </c>
      <c r="M172" s="25" t="s">
        <v>228</v>
      </c>
      <c r="N172" s="27" t="s">
        <v>64</v>
      </c>
      <c r="O172" s="25" t="s">
        <v>64</v>
      </c>
      <c r="P172" s="27" t="s">
        <v>3016</v>
      </c>
      <c r="Q172" s="26" t="str">
        <f>IF(S172="","",LEN(S172)-LEN(SUBSTITUTE(S172,"/",""))+IF(ISNUMBER(SEARCH("@",S172)),0,1))</f>
        <v>5</v>
      </c>
      <c r="R172" s="42" t="s">
        <v>720</v>
      </c>
      <c r="S172" s="25" t="s">
        <v>720</v>
      </c>
      <c r="T172" s="20"/>
      <c r="U172" s="20"/>
      <c r="V172" s="25"/>
      <c r="W172" s="25" t="s">
        <v>721</v>
      </c>
      <c r="X172" s="46"/>
      <c r="Y172" s="20"/>
      <c r="Z172" s="20"/>
      <c r="AA172" s="25" t="s">
        <v>68</v>
      </c>
      <c r="AB172" s="20" t="str">
        <f>IF(ISBLANK(S172),"是","否")</f>
        <v>否</v>
      </c>
      <c r="AC172" s="20"/>
      <c r="AD172" s="25"/>
      <c r="AE172" s="25"/>
      <c r="AH172" s="20" t="s">
        <v>76</v>
      </c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</row>
    <row r="173" ht="29.59398496240601" customHeight="1" spans="1:57" x14ac:dyDescent="0.25">
      <c r="A173" s="20" t="s">
        <v>682</v>
      </c>
      <c r="B173" s="19" t="s">
        <v>282</v>
      </c>
      <c r="C173" s="20" t="s">
        <v>57</v>
      </c>
      <c r="D173" s="21"/>
      <c r="E173" s="22"/>
      <c r="F173" s="21" t="s">
        <v>491</v>
      </c>
      <c r="G173" s="29" t="s">
        <v>722</v>
      </c>
      <c r="H173" s="20" t="str">
        <f>SUBSTITUTE(SUBSTITUTE(SUBSTITUTE(S173,"/@","_"),"/cac:","_"),"/cbc:","_")</f>
        <v>Invoice_BuyerCustomerParty_Party_PostalAddress_Department</v>
      </c>
      <c r="I173" s="20" t="str">
        <f>SUBSTITUTE(SUBSTITUTE(SUBSTITUTE(T173,"/@","_"),"/cac:","_"),"/cbc:","_")</f>
        <v/>
      </c>
      <c r="J173" s="25" t="s">
        <v>723</v>
      </c>
      <c r="K173" s="25" t="s">
        <v>724</v>
      </c>
      <c r="L173" s="25" t="s">
        <v>725</v>
      </c>
      <c r="M173" s="25" t="s">
        <v>228</v>
      </c>
      <c r="N173" s="27" t="s">
        <v>64</v>
      </c>
      <c r="O173" s="25" t="s">
        <v>64</v>
      </c>
      <c r="P173" s="27" t="s">
        <v>3016</v>
      </c>
      <c r="Q173" s="26" t="str">
        <f>IF(S173="","",LEN(S173)-LEN(SUBSTITUTE(S173,"/",""))+IF(ISNUMBER(SEARCH("@",S173)),0,1))</f>
        <v>5</v>
      </c>
      <c r="R173" s="42" t="s">
        <v>726</v>
      </c>
      <c r="S173" s="25" t="s">
        <v>726</v>
      </c>
      <c r="T173" s="20"/>
      <c r="U173" s="20"/>
      <c r="V173" s="25"/>
      <c r="W173" s="25" t="s">
        <v>727</v>
      </c>
      <c r="X173" s="46"/>
      <c r="Y173" s="20"/>
      <c r="Z173" s="20"/>
      <c r="AA173" s="25" t="s">
        <v>68</v>
      </c>
      <c r="AB173" s="20" t="str">
        <f>IF(ISBLANK(S173),"是","否")</f>
        <v>否</v>
      </c>
      <c r="AC173" s="20"/>
      <c r="AD173" s="25"/>
      <c r="AE173" s="25"/>
      <c r="AH173" s="20" t="s">
        <v>76</v>
      </c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</row>
    <row r="174" ht="29.59398496240601" customHeight="1" spans="1:57" x14ac:dyDescent="0.25">
      <c r="A174" s="20" t="s">
        <v>682</v>
      </c>
      <c r="B174" s="19" t="s">
        <v>282</v>
      </c>
      <c r="C174" s="20" t="s">
        <v>57</v>
      </c>
      <c r="D174" s="21"/>
      <c r="E174" s="22"/>
      <c r="F174" s="21" t="s">
        <v>497</v>
      </c>
      <c r="G174" s="29" t="s">
        <v>728</v>
      </c>
      <c r="H174" s="20" t="str">
        <f>SUBSTITUTE(SUBSTITUTE(SUBSTITUTE(S174,"/@","_"),"/cac:","_"),"/cbc:","_")</f>
        <v>Invoice_BuyerCustomerParty_Party_PostalAddress_PlotIdentification</v>
      </c>
      <c r="I174" s="20" t="str">
        <f>SUBSTITUTE(SUBSTITUTE(SUBSTITUTE(T174,"/@","_"),"/cac:","_"),"/cbc:","_")</f>
        <v/>
      </c>
      <c r="J174" s="25" t="s">
        <v>729</v>
      </c>
      <c r="K174" s="25" t="s">
        <v>730</v>
      </c>
      <c r="L174" s="25" t="s">
        <v>731</v>
      </c>
      <c r="M174" s="25" t="s">
        <v>228</v>
      </c>
      <c r="N174" s="27" t="s">
        <v>64</v>
      </c>
      <c r="O174" s="25" t="s">
        <v>64</v>
      </c>
      <c r="P174" s="27" t="s">
        <v>3016</v>
      </c>
      <c r="Q174" s="26" t="str">
        <f>IF(S174="","",LEN(S174)-LEN(SUBSTITUTE(S174,"/",""))+IF(ISNUMBER(SEARCH("@",S174)),0,1))</f>
        <v>5</v>
      </c>
      <c r="R174" s="42" t="s">
        <v>732</v>
      </c>
      <c r="S174" s="25" t="s">
        <v>732</v>
      </c>
      <c r="T174" s="20"/>
      <c r="U174" s="20"/>
      <c r="V174" s="25"/>
      <c r="W174" s="25" t="s">
        <v>733</v>
      </c>
      <c r="X174" s="46"/>
      <c r="Y174" s="20"/>
      <c r="Z174" s="20"/>
      <c r="AA174" s="25" t="s">
        <v>68</v>
      </c>
      <c r="AB174" s="20" t="str">
        <f>IF(ISBLANK(S174),"是","否")</f>
        <v>否</v>
      </c>
      <c r="AC174" s="20"/>
      <c r="AD174" s="25"/>
      <c r="AE174" s="25"/>
      <c r="AH174" s="20" t="s">
        <v>76</v>
      </c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</row>
    <row r="175" ht="39.879699248120296" customHeight="1" spans="1:57" x14ac:dyDescent="0.25">
      <c r="A175" s="20" t="s">
        <v>682</v>
      </c>
      <c r="B175" s="19" t="s">
        <v>282</v>
      </c>
      <c r="C175" s="20" t="s">
        <v>57</v>
      </c>
      <c r="D175" s="21"/>
      <c r="E175" s="22"/>
      <c r="F175" s="21" t="s">
        <v>502</v>
      </c>
      <c r="G175" s="29" t="s">
        <v>734</v>
      </c>
      <c r="H175" s="20" t="str">
        <f>SUBSTITUTE(SUBSTITUTE(SUBSTITUTE(S175,"/@","_"),"/cac:","_"),"/cbc:","_")</f>
        <v>Invoice_BuyerCustomerParty_Party_PostalAddress_CitySubdivisionName</v>
      </c>
      <c r="I175" s="20" t="str">
        <f>SUBSTITUTE(SUBSTITUTE(SUBSTITUTE(T175,"/@","_"),"/cac:","_"),"/cbc:","_")</f>
        <v/>
      </c>
      <c r="J175" s="25" t="s">
        <v>735</v>
      </c>
      <c r="K175" s="25" t="s">
        <v>736</v>
      </c>
      <c r="L175" s="25" t="s">
        <v>737</v>
      </c>
      <c r="M175" s="25" t="s">
        <v>228</v>
      </c>
      <c r="N175" s="27" t="s">
        <v>64</v>
      </c>
      <c r="O175" s="25" t="s">
        <v>64</v>
      </c>
      <c r="P175" s="27" t="s">
        <v>3016</v>
      </c>
      <c r="Q175" s="26" t="str">
        <f>IF(S175="","",LEN(S175)-LEN(SUBSTITUTE(S175,"/",""))+IF(ISNUMBER(SEARCH("@",S175)),0,1))</f>
        <v>5</v>
      </c>
      <c r="R175" s="42" t="s">
        <v>738</v>
      </c>
      <c r="S175" s="25" t="s">
        <v>738</v>
      </c>
      <c r="T175" s="20"/>
      <c r="U175" s="20"/>
      <c r="V175" s="25"/>
      <c r="W175" s="25" t="s">
        <v>739</v>
      </c>
      <c r="X175" s="46"/>
      <c r="Y175" s="20"/>
      <c r="Z175" s="20"/>
      <c r="AA175" s="25" t="s">
        <v>68</v>
      </c>
      <c r="AB175" s="20" t="str">
        <f>IF(ISBLANK(S175),"是","否")</f>
        <v>否</v>
      </c>
      <c r="AC175" s="20"/>
      <c r="AD175" s="25"/>
      <c r="AE175" s="25"/>
      <c r="AH175" s="20" t="s">
        <v>76</v>
      </c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</row>
    <row r="176" ht="29.59398496240601" customHeight="1" spans="1:57" x14ac:dyDescent="0.25">
      <c r="A176" s="20" t="s">
        <v>682</v>
      </c>
      <c r="B176" s="19" t="s">
        <v>282</v>
      </c>
      <c r="C176" s="20" t="s">
        <v>57</v>
      </c>
      <c r="D176" s="21"/>
      <c r="E176" s="22"/>
      <c r="F176" s="21" t="s">
        <v>290</v>
      </c>
      <c r="G176" s="29" t="s">
        <v>740</v>
      </c>
      <c r="H176" s="20" t="str">
        <f>SUBSTITUTE(SUBSTITUTE(SUBSTITUTE(S176,"/@","_"),"/cac:","_"),"/cbc:","_")</f>
        <v>Invoice_BuyerCustomerParty_Party_PostalAddress_CityName</v>
      </c>
      <c r="I176" s="20" t="str">
        <f>SUBSTITUTE(SUBSTITUTE(SUBSTITUTE(T176,"/@","_"),"/cac:","_"),"/cbc:","_")</f>
        <v/>
      </c>
      <c r="J176" s="25" t="s">
        <v>741</v>
      </c>
      <c r="K176" s="25" t="s">
        <v>742</v>
      </c>
      <c r="L176" s="25" t="s">
        <v>743</v>
      </c>
      <c r="M176" s="25" t="s">
        <v>228</v>
      </c>
      <c r="N176" s="27" t="s">
        <v>64</v>
      </c>
      <c r="O176" s="25" t="s">
        <v>64</v>
      </c>
      <c r="P176" s="27" t="s">
        <v>3016</v>
      </c>
      <c r="Q176" s="26" t="str">
        <f>IF(S176="","",LEN(S176)-LEN(SUBSTITUTE(S176,"/",""))+IF(ISNUMBER(SEARCH("@",S176)),0,1))</f>
        <v>5</v>
      </c>
      <c r="R176" s="42" t="s">
        <v>744</v>
      </c>
      <c r="S176" s="25" t="s">
        <v>744</v>
      </c>
      <c r="T176" s="20"/>
      <c r="U176" s="20"/>
      <c r="V176" s="25"/>
      <c r="W176" s="25" t="s">
        <v>745</v>
      </c>
      <c r="X176" s="46"/>
      <c r="Y176" s="20"/>
      <c r="Z176" s="20"/>
      <c r="AA176" s="25" t="s">
        <v>68</v>
      </c>
      <c r="AB176" s="20" t="str">
        <f>IF(ISBLANK(S176),"是","否")</f>
        <v>否</v>
      </c>
      <c r="AC176" s="20"/>
      <c r="AD176" s="25"/>
      <c r="AE176" s="25"/>
      <c r="AH176" s="20" t="s">
        <v>76</v>
      </c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</row>
    <row r="177" ht="39.879699248120296" customHeight="1" spans="1:57" x14ac:dyDescent="0.25">
      <c r="A177" s="20" t="s">
        <v>682</v>
      </c>
      <c r="B177" s="19" t="s">
        <v>282</v>
      </c>
      <c r="C177" s="20" t="s">
        <v>57</v>
      </c>
      <c r="D177" s="21"/>
      <c r="E177" s="22"/>
      <c r="F177" s="21" t="s">
        <v>309</v>
      </c>
      <c r="G177" s="29" t="s">
        <v>746</v>
      </c>
      <c r="H177" s="20" t="str">
        <f>SUBSTITUTE(SUBSTITUTE(SUBSTITUTE(S177,"/@","_"),"/cac:","_"),"/cbc:","_")</f>
        <v>Invoice_BuyerCustomerParty_Party_PostalAddress_PostalZone</v>
      </c>
      <c r="I177" s="20" t="str">
        <f>SUBSTITUTE(SUBSTITUTE(SUBSTITUTE(T177,"/@","_"),"/cac:","_"),"/cbc:","_")</f>
        <v/>
      </c>
      <c r="J177" s="25" t="s">
        <v>747</v>
      </c>
      <c r="K177" s="25" t="s">
        <v>748</v>
      </c>
      <c r="L177" s="25" t="s">
        <v>749</v>
      </c>
      <c r="M177" s="25" t="s">
        <v>228</v>
      </c>
      <c r="N177" s="27" t="s">
        <v>64</v>
      </c>
      <c r="O177" s="25" t="s">
        <v>64</v>
      </c>
      <c r="P177" s="27" t="s">
        <v>3016</v>
      </c>
      <c r="Q177" s="26" t="str">
        <f>IF(S177="","",LEN(S177)-LEN(SUBSTITUTE(S177,"/",""))+IF(ISNUMBER(SEARCH("@",S177)),0,1))</f>
        <v>5</v>
      </c>
      <c r="R177" s="42" t="s">
        <v>750</v>
      </c>
      <c r="S177" s="25" t="s">
        <v>750</v>
      </c>
      <c r="T177" s="20"/>
      <c r="U177" s="20"/>
      <c r="V177" s="25"/>
      <c r="W177" s="25">
        <v>201203</v>
      </c>
      <c r="X177" s="46"/>
      <c r="Y177" s="20"/>
      <c r="Z177" s="20"/>
      <c r="AA177" s="25" t="s">
        <v>68</v>
      </c>
      <c r="AB177" s="20" t="str">
        <f>IF(ISBLANK(S177),"是","否")</f>
        <v>否</v>
      </c>
      <c r="AC177" s="20"/>
      <c r="AD177" s="25"/>
      <c r="AE177" s="25"/>
      <c r="AH177" s="20" t="s">
        <v>76</v>
      </c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</row>
    <row r="178" ht="39.879699248120296" customHeight="1" spans="1:57" x14ac:dyDescent="0.25">
      <c r="A178" s="20" t="s">
        <v>682</v>
      </c>
      <c r="B178" s="19" t="s">
        <v>282</v>
      </c>
      <c r="C178" s="20" t="s">
        <v>57</v>
      </c>
      <c r="D178" s="21"/>
      <c r="E178" s="22"/>
      <c r="F178" s="21" t="s">
        <v>297</v>
      </c>
      <c r="G178" s="29" t="s">
        <v>751</v>
      </c>
      <c r="H178" s="20" t="str">
        <f>SUBSTITUTE(SUBSTITUTE(SUBSTITUTE(S178,"/@","_"),"/cac:","_"),"/cbc:","_")</f>
        <v>Invoice_BuyerCustomerParty_Party_PostalAddress_CountrySubentity</v>
      </c>
      <c r="I178" s="20" t="str">
        <f>SUBSTITUTE(SUBSTITUTE(SUBSTITUTE(T178,"/@","_"),"/cac:","_"),"/cbc:","_")</f>
        <v/>
      </c>
      <c r="J178" s="25" t="s">
        <v>752</v>
      </c>
      <c r="K178" s="25" t="s">
        <v>753</v>
      </c>
      <c r="L178" s="25" t="s">
        <v>754</v>
      </c>
      <c r="M178" s="25" t="s">
        <v>228</v>
      </c>
      <c r="N178" s="27" t="s">
        <v>64</v>
      </c>
      <c r="O178" s="25" t="s">
        <v>64</v>
      </c>
      <c r="P178" s="27" t="s">
        <v>3016</v>
      </c>
      <c r="Q178" s="26" t="str">
        <f>IF(S178="","",LEN(S178)-LEN(SUBSTITUTE(S178,"/",""))+IF(ISNUMBER(SEARCH("@",S178)),0,1))</f>
        <v>5</v>
      </c>
      <c r="R178" s="42" t="s">
        <v>755</v>
      </c>
      <c r="S178" s="25" t="s">
        <v>755</v>
      </c>
      <c r="T178" s="20"/>
      <c r="U178" s="20"/>
      <c r="V178" s="25"/>
      <c r="W178" s="25" t="s">
        <v>745</v>
      </c>
      <c r="X178" s="46"/>
      <c r="Y178" s="20"/>
      <c r="Z178" s="20"/>
      <c r="AA178" s="25" t="s">
        <v>68</v>
      </c>
      <c r="AB178" s="20" t="str">
        <f>IF(ISBLANK(S178),"是","否")</f>
        <v>否</v>
      </c>
      <c r="AC178" s="20"/>
      <c r="AD178" s="25"/>
      <c r="AE178" s="25"/>
      <c r="AH178" s="20" t="s">
        <v>76</v>
      </c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</row>
    <row r="179" ht="29.59398496240601" customHeight="1" spans="1:57" x14ac:dyDescent="0.25">
      <c r="A179" s="20" t="s">
        <v>682</v>
      </c>
      <c r="B179" s="19" t="s">
        <v>282</v>
      </c>
      <c r="C179" s="20" t="s">
        <v>57</v>
      </c>
      <c r="D179" s="21"/>
      <c r="E179" s="22"/>
      <c r="F179" s="21" t="s">
        <v>316</v>
      </c>
      <c r="G179" s="29" t="s">
        <v>756</v>
      </c>
      <c r="H179" s="20" t="str">
        <f>SUBSTITUTE(SUBSTITUTE(SUBSTITUTE(S179,"/@","_"),"/cac:","_"),"/cbc:","_")</f>
        <v>Invoice_BuyerCustomerParty_Party_PostalAddress_AddressLine</v>
      </c>
      <c r="I179" s="20" t="str">
        <f>SUBSTITUTE(SUBSTITUTE(SUBSTITUTE(T179,"/@","_"),"/cac:","_"),"/cbc:","_")</f>
        <v/>
      </c>
      <c r="J179" s="25" t="s">
        <v>757</v>
      </c>
      <c r="K179" s="25" t="s">
        <v>758</v>
      </c>
      <c r="L179" s="25" t="s">
        <v>759</v>
      </c>
      <c r="M179" s="25" t="s">
        <v>220</v>
      </c>
      <c r="N179" s="27" t="s">
        <v>64</v>
      </c>
      <c r="O179" s="25" t="s">
        <v>64</v>
      </c>
      <c r="P179" s="27" t="s">
        <v>3016</v>
      </c>
      <c r="Q179" s="26" t="str">
        <f>IF(S179="","",LEN(S179)-LEN(SUBSTITUTE(S179,"/",""))+IF(ISNUMBER(SEARCH("@",S179)),0,1))</f>
        <v>5</v>
      </c>
      <c r="R179" s="42" t="s">
        <v>760</v>
      </c>
      <c r="S179" s="25" t="s">
        <v>760</v>
      </c>
      <c r="T179" s="20"/>
      <c r="U179" s="20"/>
      <c r="V179" s="25"/>
      <c r="W179" s="25" t="s">
        <v>681</v>
      </c>
      <c r="X179" s="46"/>
      <c r="Y179" s="20"/>
      <c r="Z179" s="20"/>
      <c r="AA179" s="25" t="s">
        <v>222</v>
      </c>
      <c r="AB179" s="20" t="str">
        <f>IF(ISBLANK(S179),"是","否")</f>
        <v>否</v>
      </c>
      <c r="AC179" s="20"/>
      <c r="AD179" s="25"/>
      <c r="AE179" s="25"/>
      <c r="AH179" s="20" t="s">
        <v>76</v>
      </c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</row>
    <row r="180" ht="39.879699248120296" customHeight="1" spans="1:57" x14ac:dyDescent="0.25">
      <c r="A180" s="20" t="s">
        <v>682</v>
      </c>
      <c r="B180" s="19" t="s">
        <v>316</v>
      </c>
      <c r="C180" s="20" t="s">
        <v>57</v>
      </c>
      <c r="D180" s="21"/>
      <c r="E180" s="22"/>
      <c r="F180" s="21" t="s">
        <v>321</v>
      </c>
      <c r="G180" s="29" t="s">
        <v>761</v>
      </c>
      <c r="H180" s="20" t="str">
        <f>SUBSTITUTE(SUBSTITUTE(SUBSTITUTE(S180,"/@","_"),"/cac:","_"),"/cbc:","_")</f>
        <v>Invoice_BuyerCustomerParty_Party_PostalAddress_AddressLine_Line</v>
      </c>
      <c r="I180" s="20" t="str">
        <f>SUBSTITUTE(SUBSTITUTE(SUBSTITUTE(T180,"/@","_"),"/cac:","_"),"/cbc:","_")</f>
        <v/>
      </c>
      <c r="J180" s="25" t="s">
        <v>762</v>
      </c>
      <c r="K180" s="25" t="s">
        <v>763</v>
      </c>
      <c r="L180" s="25" t="s">
        <v>764</v>
      </c>
      <c r="M180" s="25" t="s">
        <v>228</v>
      </c>
      <c r="N180" s="27" t="s">
        <v>49</v>
      </c>
      <c r="O180" s="25">
        <v>1</v>
      </c>
      <c r="P180" s="27" t="s">
        <v>3017</v>
      </c>
      <c r="Q180" s="26" t="str">
        <f>IF(S180="","",LEN(S180)-LEN(SUBSTITUTE(S180,"/",""))+IF(ISNUMBER(SEARCH("@",S180)),0,1))</f>
        <v>6</v>
      </c>
      <c r="R180" s="42" t="s">
        <v>765</v>
      </c>
      <c r="S180" s="25" t="s">
        <v>765</v>
      </c>
      <c r="T180" s="20"/>
      <c r="U180" s="20"/>
      <c r="V180" s="25"/>
      <c r="W180" s="25" t="s">
        <v>766</v>
      </c>
      <c r="X180" s="46"/>
      <c r="Y180" s="20"/>
      <c r="Z180" s="20"/>
      <c r="AA180" s="25" t="s">
        <v>68</v>
      </c>
      <c r="AB180" s="20" t="str">
        <f>IF(ISBLANK(S180),"是","否")</f>
        <v>否</v>
      </c>
      <c r="AC180" s="20"/>
      <c r="AD180" s="25"/>
      <c r="AE180" s="25"/>
      <c r="AH180" s="20" t="s">
        <v>76</v>
      </c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</row>
    <row r="181" ht="39.879699248120296" customHeight="1" spans="1:57" x14ac:dyDescent="0.25">
      <c r="A181" s="20" t="s">
        <v>682</v>
      </c>
      <c r="B181" s="19" t="s">
        <v>328</v>
      </c>
      <c r="C181" s="20" t="s">
        <v>57</v>
      </c>
      <c r="D181" s="21"/>
      <c r="E181" s="22"/>
      <c r="F181" s="21" t="s">
        <v>519</v>
      </c>
      <c r="G181" s="29" t="s">
        <v>767</v>
      </c>
      <c r="H181" s="20" t="str">
        <f>SUBSTITUTE(SUBSTITUTE(SUBSTITUTE(S181,"/@","_"),"/cac:","_"),"/cbc:","_")</f>
        <v>Invoice_BuyerCustomerParty_Party_PostalAddress_Country_IdentificationCode</v>
      </c>
      <c r="I181" s="20" t="str">
        <f>SUBSTITUTE(SUBSTITUTE(SUBSTITUTE(T181,"/@","_"),"/cac:","_"),"/cbc:","_")</f>
        <v/>
      </c>
      <c r="J181" s="25" t="s">
        <v>769</v>
      </c>
      <c r="K181" s="25" t="s">
        <v>770</v>
      </c>
      <c r="L181" s="25" t="s">
        <v>771</v>
      </c>
      <c r="M181" s="25" t="s">
        <v>243</v>
      </c>
      <c r="N181" s="27" t="s">
        <v>165</v>
      </c>
      <c r="O181" s="25" t="s">
        <v>64</v>
      </c>
      <c r="P181" s="27" t="s">
        <v>3016</v>
      </c>
      <c r="Q181" s="26" t="str">
        <f>IF(S181="","",LEN(S181)-LEN(SUBSTITUTE(S181,"/",""))+IF(ISNUMBER(SEARCH("@",S181)),0,1))</f>
        <v>6</v>
      </c>
      <c r="R181" s="42" t="s">
        <v>772</v>
      </c>
      <c r="S181" s="25" t="s">
        <v>772</v>
      </c>
      <c r="T181" s="20"/>
      <c r="U181" s="20"/>
      <c r="V181" s="25"/>
      <c r="W181" s="25" t="s">
        <v>773</v>
      </c>
      <c r="X181" s="46"/>
      <c r="Y181" s="20"/>
      <c r="Z181" s="20"/>
      <c r="AA181" s="25" t="s">
        <v>68</v>
      </c>
      <c r="AB181" s="20" t="str">
        <f>IF(ISBLANK(S181),"是","否")</f>
        <v>否</v>
      </c>
      <c r="AC181" s="20"/>
      <c r="AD181" s="25"/>
      <c r="AE181" s="25"/>
      <c r="AH181" s="20" t="s">
        <v>76</v>
      </c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</row>
    <row r="182" ht="29.59398496240601" customHeight="1" spans="1:57" x14ac:dyDescent="0.25">
      <c r="A182" s="20" t="s">
        <v>682</v>
      </c>
      <c r="B182" s="19" t="s">
        <v>328</v>
      </c>
      <c r="C182" s="20" t="s">
        <v>57</v>
      </c>
      <c r="D182" s="21"/>
      <c r="E182" s="22"/>
      <c r="F182" s="21" t="s">
        <v>522</v>
      </c>
      <c r="G182" s="29" t="s">
        <v>774</v>
      </c>
      <c r="H182" s="20" t="str">
        <f>SUBSTITUTE(SUBSTITUTE(SUBSTITUTE(S182,"/@","_"),"/cac:","_"),"/cbc:","_")</f>
        <v>Invoice_BuyerCustomerParty_Party_PostalAddress_Country_Name</v>
      </c>
      <c r="I182" s="20" t="str">
        <f>SUBSTITUTE(SUBSTITUTE(SUBSTITUTE(T182,"/@","_"),"/cac:","_"),"/cbc:","_")</f>
        <v/>
      </c>
      <c r="J182" s="25" t="s">
        <v>775</v>
      </c>
      <c r="K182" s="25" t="s">
        <v>776</v>
      </c>
      <c r="L182" s="25" t="s">
        <v>777</v>
      </c>
      <c r="M182" s="25" t="s">
        <v>228</v>
      </c>
      <c r="N182" s="27" t="s">
        <v>64</v>
      </c>
      <c r="O182" s="25" t="s">
        <v>64</v>
      </c>
      <c r="P182" s="27" t="s">
        <v>3016</v>
      </c>
      <c r="Q182" s="26" t="str">
        <f>IF(S182="","",LEN(S182)-LEN(SUBSTITUTE(S182,"/",""))+IF(ISNUMBER(SEARCH("@",S182)),0,1))</f>
        <v>6</v>
      </c>
      <c r="R182" s="42" t="s">
        <v>778</v>
      </c>
      <c r="S182" s="25" t="s">
        <v>778</v>
      </c>
      <c r="T182" s="20"/>
      <c r="U182" s="20"/>
      <c r="V182" s="25"/>
      <c r="W182" s="25" t="s">
        <v>779</v>
      </c>
      <c r="X182" s="46"/>
      <c r="Y182" s="20"/>
      <c r="Z182" s="20"/>
      <c r="AA182" s="25" t="s">
        <v>68</v>
      </c>
      <c r="AB182" s="20" t="str">
        <f>IF(ISBLANK(S182),"是","否")</f>
        <v>否</v>
      </c>
      <c r="AC182" s="20"/>
      <c r="AD182" s="25"/>
      <c r="AE182" s="25"/>
      <c r="AH182" s="20" t="s">
        <v>76</v>
      </c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</row>
    <row r="183" ht="29.59398496240601" customHeight="1" spans="1:57" x14ac:dyDescent="0.25">
      <c r="A183" s="20" t="s">
        <v>682</v>
      </c>
      <c r="B183" s="19" t="s">
        <v>230</v>
      </c>
      <c r="C183" s="20" t="s">
        <v>57</v>
      </c>
      <c r="D183" s="21"/>
      <c r="E183" s="22"/>
      <c r="F183" s="21" t="s">
        <v>344</v>
      </c>
      <c r="G183" s="29" t="s">
        <v>780</v>
      </c>
      <c r="H183" s="20" t="str">
        <f>SUBSTITUTE(SUBSTITUTE(SUBSTITUTE(S183,"/@","_"),"/cac:","_"),"/cbc:","_")</f>
        <v>Invoice_BuyerCustomerParty_Party_PartyTaxScheme</v>
      </c>
      <c r="I183" s="20" t="str">
        <f>SUBSTITUTE(SUBSTITUTE(SUBSTITUTE(T183,"/@","_"),"/cac:","_"),"/cbc:","_")</f>
        <v/>
      </c>
      <c r="J183" s="25" t="s">
        <v>781</v>
      </c>
      <c r="K183" s="25" t="s">
        <v>782</v>
      </c>
      <c r="L183" s="25" t="s">
        <v>783</v>
      </c>
      <c r="M183" s="25" t="s">
        <v>220</v>
      </c>
      <c r="N183" s="27" t="s">
        <v>165</v>
      </c>
      <c r="O183" s="25" t="s">
        <v>49</v>
      </c>
      <c r="P183" s="27" t="s">
        <v>3015</v>
      </c>
      <c r="Q183" s="26" t="str">
        <f>IF(S183="","",LEN(S183)-LEN(SUBSTITUTE(S183,"/",""))+IF(ISNUMBER(SEARCH("@",S183)),0,1))</f>
        <v>4</v>
      </c>
      <c r="R183" s="42" t="s">
        <v>784</v>
      </c>
      <c r="S183" s="25" t="s">
        <v>784</v>
      </c>
      <c r="T183" s="20"/>
      <c r="U183" s="20"/>
      <c r="V183" s="25"/>
      <c r="W183" s="25" t="s">
        <v>681</v>
      </c>
      <c r="X183" s="46"/>
      <c r="Y183" s="20"/>
      <c r="Z183" s="20"/>
      <c r="AA183" s="25" t="s">
        <v>222</v>
      </c>
      <c r="AB183" s="20" t="str">
        <f>IF(ISBLANK(S183),"是","否")</f>
        <v>否</v>
      </c>
      <c r="AC183" s="20"/>
      <c r="AD183" s="25"/>
      <c r="AE183" s="25"/>
      <c r="AH183" s="20" t="s">
        <v>76</v>
      </c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</row>
    <row r="184" ht="29.59398496240601" customHeight="1" spans="1:57" x14ac:dyDescent="0.25">
      <c r="A184" s="20" t="s">
        <v>682</v>
      </c>
      <c r="B184" s="19" t="s">
        <v>349</v>
      </c>
      <c r="C184" s="20" t="s">
        <v>57</v>
      </c>
      <c r="D184" s="21"/>
      <c r="E184" s="22"/>
      <c r="F184" s="21" t="s">
        <v>527</v>
      </c>
      <c r="G184" s="29" t="s">
        <v>785</v>
      </c>
      <c r="H184" s="20" t="str">
        <f>SUBSTITUTE(SUBSTITUTE(SUBSTITUTE(S184,"/@","_"),"/cac:","_"),"/cbc:","_")</f>
        <v>Invoice_BuyerCustomerParty_Party_PartyTaxScheme_TaxScheme_ID</v>
      </c>
      <c r="I184" s="20" t="str">
        <f>SUBSTITUTE(SUBSTITUTE(SUBSTITUTE(T184,"/@","_"),"/cac:","_"),"/cbc:","_")</f>
        <v/>
      </c>
      <c r="J184" s="25" t="s">
        <v>787</v>
      </c>
      <c r="K184" s="25" t="s">
        <v>788</v>
      </c>
      <c r="L184" s="25" t="s">
        <v>789</v>
      </c>
      <c r="M184" s="25" t="s">
        <v>243</v>
      </c>
      <c r="N184" s="27" t="s">
        <v>165</v>
      </c>
      <c r="O184" s="25" t="s">
        <v>64</v>
      </c>
      <c r="P184" s="27" t="s">
        <v>3016</v>
      </c>
      <c r="Q184" s="26" t="str">
        <f>IF(S184="","",LEN(S184)-LEN(SUBSTITUTE(S184,"/",""))+IF(ISNUMBER(SEARCH("@",S184)),0,1))</f>
        <v>6</v>
      </c>
      <c r="R184" s="42" t="s">
        <v>790</v>
      </c>
      <c r="S184" s="25" t="s">
        <v>790</v>
      </c>
      <c r="T184" s="20"/>
      <c r="U184" s="20"/>
      <c r="V184" s="25"/>
      <c r="W184" s="25" t="s">
        <v>791</v>
      </c>
      <c r="X184" s="46"/>
      <c r="Y184" s="20"/>
      <c r="Z184" s="20"/>
      <c r="AA184" s="25" t="s">
        <v>68</v>
      </c>
      <c r="AB184" s="20" t="str">
        <f>IF(ISBLANK(S184),"是","否")</f>
        <v>否</v>
      </c>
      <c r="AC184" s="20"/>
      <c r="AD184" s="25"/>
      <c r="AE184" s="25"/>
      <c r="AH184" s="20" t="s">
        <v>76</v>
      </c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</row>
    <row r="185" ht="29.59398496240601" customHeight="1" spans="1:57" x14ac:dyDescent="0.25">
      <c r="A185" s="20" t="s">
        <v>682</v>
      </c>
      <c r="B185" s="19" t="s">
        <v>344</v>
      </c>
      <c r="C185" s="20" t="s">
        <v>57</v>
      </c>
      <c r="D185" s="21"/>
      <c r="E185" s="22"/>
      <c r="F185" s="21" t="s">
        <v>531</v>
      </c>
      <c r="G185" s="29" t="s">
        <v>792</v>
      </c>
      <c r="H185" s="20" t="str">
        <f>SUBSTITUTE(SUBSTITUTE(SUBSTITUTE(S185,"/@","_"),"/cac:","_"),"/cbc:","_")</f>
        <v>Invoice_BuyerCustomerParty_Party_PartyTaxScheme_CompanyID</v>
      </c>
      <c r="I185" s="20" t="str">
        <f>SUBSTITUTE(SUBSTITUTE(SUBSTITUTE(T185,"/@","_"),"/cac:","_"),"/cbc:","_")</f>
        <v/>
      </c>
      <c r="J185" s="25" t="s">
        <v>794</v>
      </c>
      <c r="K185" s="25" t="s">
        <v>795</v>
      </c>
      <c r="L185" s="25" t="s">
        <v>796</v>
      </c>
      <c r="M185" s="25" t="s">
        <v>228</v>
      </c>
      <c r="N185" s="27" t="s">
        <v>165</v>
      </c>
      <c r="O185" s="25" t="s">
        <v>64</v>
      </c>
      <c r="P185" s="27" t="s">
        <v>3016</v>
      </c>
      <c r="Q185" s="26" t="str">
        <f>IF(S185="","",LEN(S185)-LEN(SUBSTITUTE(S185,"/",""))+IF(ISNUMBER(SEARCH("@",S185)),0,1))</f>
        <v>5</v>
      </c>
      <c r="R185" s="42" t="s">
        <v>797</v>
      </c>
      <c r="S185" s="25" t="s">
        <v>797</v>
      </c>
      <c r="T185" s="20"/>
      <c r="U185" s="20"/>
      <c r="V185" s="25"/>
      <c r="W185" s="25" t="s">
        <v>54</v>
      </c>
      <c r="X185" s="46"/>
      <c r="Y185" s="20"/>
      <c r="Z185" s="20"/>
      <c r="AA185" s="25" t="s">
        <v>68</v>
      </c>
      <c r="AB185" s="20" t="str">
        <f>IF(ISBLANK(S185),"是","否")</f>
        <v>否</v>
      </c>
      <c r="AC185" s="20"/>
      <c r="AD185" s="25"/>
      <c r="AE185" s="25"/>
      <c r="AH185" s="20" t="s">
        <v>76</v>
      </c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</row>
    <row r="186" ht="29.59398496240601" customHeight="1" spans="1:57" x14ac:dyDescent="0.25">
      <c r="A186" s="20" t="s">
        <v>682</v>
      </c>
      <c r="B186" s="19" t="s">
        <v>230</v>
      </c>
      <c r="C186" s="20" t="s">
        <v>57</v>
      </c>
      <c r="D186" s="21"/>
      <c r="E186" s="22"/>
      <c r="F186" s="21" t="s">
        <v>361</v>
      </c>
      <c r="G186" s="29" t="s">
        <v>798</v>
      </c>
      <c r="H186" s="20" t="str">
        <f>SUBSTITUTE(SUBSTITUTE(SUBSTITUTE(S186,"/@","_"),"/cac:","_"),"/cbc:","_")</f>
        <v>Invoice_BuyerCustomerParty_Party_PartyLegalEntity</v>
      </c>
      <c r="I186" s="20" t="str">
        <f>SUBSTITUTE(SUBSTITUTE(SUBSTITUTE(T186,"/@","_"),"/cac:","_"),"/cbc:","_")</f>
        <v/>
      </c>
      <c r="J186" s="25" t="s">
        <v>799</v>
      </c>
      <c r="K186" s="25" t="s">
        <v>800</v>
      </c>
      <c r="L186" s="25" t="s">
        <v>801</v>
      </c>
      <c r="M186" s="25" t="s">
        <v>220</v>
      </c>
      <c r="N186" s="27" t="s">
        <v>165</v>
      </c>
      <c r="O186" s="25" t="s">
        <v>49</v>
      </c>
      <c r="P186" s="27" t="s">
        <v>3015</v>
      </c>
      <c r="Q186" s="26" t="str">
        <f>IF(S186="","",LEN(S186)-LEN(SUBSTITUTE(S186,"/",""))+IF(ISNUMBER(SEARCH("@",S186)),0,1))</f>
        <v>4</v>
      </c>
      <c r="R186" s="42" t="s">
        <v>802</v>
      </c>
      <c r="S186" s="25" t="s">
        <v>802</v>
      </c>
      <c r="T186" s="20"/>
      <c r="U186" s="20"/>
      <c r="V186" s="25"/>
      <c r="W186" s="25" t="s">
        <v>681</v>
      </c>
      <c r="X186" s="46"/>
      <c r="Y186" s="20"/>
      <c r="Z186" s="20"/>
      <c r="AA186" s="25" t="s">
        <v>222</v>
      </c>
      <c r="AB186" s="20" t="str">
        <f>IF(ISBLANK(S186),"是","否")</f>
        <v>否</v>
      </c>
      <c r="AC186" s="20"/>
      <c r="AD186" s="25"/>
      <c r="AE186" s="25"/>
      <c r="AH186" s="20" t="s">
        <v>76</v>
      </c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</row>
    <row r="187" ht="39.879699248120296" customHeight="1" spans="1:57" x14ac:dyDescent="0.25">
      <c r="A187" s="20" t="s">
        <v>682</v>
      </c>
      <c r="B187" s="19" t="s">
        <v>366</v>
      </c>
      <c r="C187" s="20" t="s">
        <v>57</v>
      </c>
      <c r="D187" s="21"/>
      <c r="E187" s="22"/>
      <c r="F187" s="21" t="s">
        <v>367</v>
      </c>
      <c r="G187" s="29" t="s">
        <v>803</v>
      </c>
      <c r="H187" s="20" t="str">
        <f>SUBSTITUTE(SUBSTITUTE(SUBSTITUTE(S187,"/@","_"),"/cac:","_"),"/cbc:","_")</f>
        <v>Invoice_BuyerCustomerParty_Party_PartyLegalEntity_RegistrationName</v>
      </c>
      <c r="I187" s="20" t="str">
        <f>SUBSTITUTE(SUBSTITUTE(SUBSTITUTE(T187,"/@","_"),"/cac:","_"),"/cbc:","_")</f>
        <v/>
      </c>
      <c r="J187" s="25" t="s">
        <v>804</v>
      </c>
      <c r="K187" s="25" t="s">
        <v>805</v>
      </c>
      <c r="L187" s="25" t="s">
        <v>806</v>
      </c>
      <c r="M187" s="25" t="s">
        <v>228</v>
      </c>
      <c r="N187" s="27" t="s">
        <v>165</v>
      </c>
      <c r="O187" s="25" t="s">
        <v>64</v>
      </c>
      <c r="P187" s="27" t="s">
        <v>3016</v>
      </c>
      <c r="Q187" s="26" t="str">
        <f>IF(S187="","",LEN(S187)-LEN(SUBSTITUTE(S187,"/",""))+IF(ISNUMBER(SEARCH("@",S187)),0,1))</f>
        <v>5</v>
      </c>
      <c r="R187" s="42" t="s">
        <v>807</v>
      </c>
      <c r="S187" s="25" t="s">
        <v>807</v>
      </c>
      <c r="T187" s="20"/>
      <c r="U187" s="20"/>
      <c r="V187" s="25"/>
      <c r="W187" s="25" t="s">
        <v>808</v>
      </c>
      <c r="X187" s="46"/>
      <c r="Y187" s="20"/>
      <c r="Z187" s="20"/>
      <c r="AA187" s="25" t="s">
        <v>68</v>
      </c>
      <c r="AB187" s="20" t="str">
        <f>IF(ISBLANK(S187),"是","否")</f>
        <v>否</v>
      </c>
      <c r="AC187" s="20"/>
      <c r="AD187" s="25"/>
      <c r="AE187" s="25"/>
      <c r="AH187" s="20" t="s">
        <v>76</v>
      </c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</row>
    <row r="188" ht="29.59398496240601" customHeight="1" spans="1:57" x14ac:dyDescent="0.25">
      <c r="A188" s="20" t="s">
        <v>682</v>
      </c>
      <c r="B188" s="19" t="s">
        <v>366</v>
      </c>
      <c r="C188" s="20" t="s">
        <v>57</v>
      </c>
      <c r="D188" s="21"/>
      <c r="E188" s="22"/>
      <c r="F188" s="21" t="s">
        <v>531</v>
      </c>
      <c r="G188" s="29" t="s">
        <v>809</v>
      </c>
      <c r="H188" s="20" t="str">
        <f>SUBSTITUTE(SUBSTITUTE(SUBSTITUTE(S188,"/@","_"),"/cac:","_"),"/cbc:","_")</f>
        <v>Invoice_BuyerCustomerParty_Party_PartyLegalEntity_CompanyID</v>
      </c>
      <c r="I188" s="20" t="str">
        <f>SUBSTITUTE(SUBSTITUTE(SUBSTITUTE(T188,"/@","_"),"/cac:","_"),"/cbc:","_")</f>
        <v/>
      </c>
      <c r="J188" s="25" t="s">
        <v>810</v>
      </c>
      <c r="K188" s="25" t="s">
        <v>811</v>
      </c>
      <c r="L188" s="25" t="s">
        <v>812</v>
      </c>
      <c r="M188" s="25" t="s">
        <v>228</v>
      </c>
      <c r="N188" s="27" t="s">
        <v>165</v>
      </c>
      <c r="O188" s="25" t="s">
        <v>64</v>
      </c>
      <c r="P188" s="27" t="s">
        <v>3016</v>
      </c>
      <c r="Q188" s="26" t="str">
        <f>IF(S188="","",LEN(S188)-LEN(SUBSTITUTE(S188,"/",""))+IF(ISNUMBER(SEARCH("@",S188)),0,1))</f>
        <v>5</v>
      </c>
      <c r="R188" s="42" t="s">
        <v>813</v>
      </c>
      <c r="S188" s="25" t="s">
        <v>813</v>
      </c>
      <c r="T188" s="20"/>
      <c r="U188" s="20"/>
      <c r="V188" s="25"/>
      <c r="W188" s="25" t="s">
        <v>54</v>
      </c>
      <c r="X188" s="46"/>
      <c r="Y188" s="20"/>
      <c r="Z188" s="20"/>
      <c r="AA188" s="25" t="s">
        <v>68</v>
      </c>
      <c r="AB188" s="20" t="str">
        <f>IF(ISBLANK(S188),"是","否")</f>
        <v>否</v>
      </c>
      <c r="AC188" s="20"/>
      <c r="AD188" s="25"/>
      <c r="AE188" s="25"/>
      <c r="AH188" s="20" t="s">
        <v>76</v>
      </c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</row>
    <row r="189" ht="39.879699248120296" customHeight="1" spans="1:57" x14ac:dyDescent="0.25">
      <c r="A189" s="20" t="s">
        <v>682</v>
      </c>
      <c r="B189" s="19" t="s">
        <v>366</v>
      </c>
      <c r="C189" s="20" t="s">
        <v>57</v>
      </c>
      <c r="D189" s="21"/>
      <c r="E189" s="22"/>
      <c r="F189" s="21" t="s">
        <v>542</v>
      </c>
      <c r="G189" s="29" t="s">
        <v>814</v>
      </c>
      <c r="H189" s="20" t="str">
        <f>SUBSTITUTE(SUBSTITUTE(SUBSTITUTE(S189,"/@","_"),"/cac:","_"),"/cbc:","_")</f>
        <v>Invoice_BuyerCustomerParty_Party_PartyLegalEntity_CompanyID_schemeID</v>
      </c>
      <c r="I189" s="20" t="str">
        <f>SUBSTITUTE(SUBSTITUTE(SUBSTITUTE(T189,"/@","_"),"/cac:","_"),"/cbc:","_")</f>
        <v/>
      </c>
      <c r="J189" s="25" t="s">
        <v>815</v>
      </c>
      <c r="K189" s="25" t="s">
        <v>816</v>
      </c>
      <c r="L189" s="25" t="s">
        <v>817</v>
      </c>
      <c r="M189" s="25" t="s">
        <v>243</v>
      </c>
      <c r="N189" s="27" t="s">
        <v>64</v>
      </c>
      <c r="O189" s="25" t="s">
        <v>64</v>
      </c>
      <c r="P189" s="27" t="s">
        <v>3016</v>
      </c>
      <c r="Q189" s="26" t="str">
        <f>IF(S189="","",LEN(S189)-LEN(SUBSTITUTE(S189,"/",""))+IF(ISNUMBER(SEARCH("@",S189)),0,1))</f>
        <v>5</v>
      </c>
      <c r="R189" s="42" t="s">
        <v>818</v>
      </c>
      <c r="S189" s="25" t="s">
        <v>818</v>
      </c>
      <c r="T189" s="20"/>
      <c r="U189" s="20"/>
      <c r="V189" s="25"/>
      <c r="W189" s="25">
        <v>88</v>
      </c>
      <c r="X189" s="46"/>
      <c r="Y189" s="20"/>
      <c r="Z189" s="20"/>
      <c r="AA189" s="25" t="s">
        <v>68</v>
      </c>
      <c r="AB189" s="20" t="str">
        <f>IF(ISBLANK(S189),"是","否")</f>
        <v>否</v>
      </c>
      <c r="AC189" s="20"/>
      <c r="AD189" s="25"/>
      <c r="AE189" s="25"/>
      <c r="AH189" s="20" t="s">
        <v>76</v>
      </c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</row>
    <row r="190" ht="39.879699248120296" customHeight="1" spans="1:57" x14ac:dyDescent="0.25">
      <c r="A190" s="20" t="s">
        <v>682</v>
      </c>
      <c r="B190" s="19" t="s">
        <v>230</v>
      </c>
      <c r="C190" s="20" t="s">
        <v>57</v>
      </c>
      <c r="D190" s="21"/>
      <c r="E190" s="22"/>
      <c r="F190" s="21" t="s">
        <v>384</v>
      </c>
      <c r="G190" s="29" t="s">
        <v>819</v>
      </c>
      <c r="H190" s="20" t="str">
        <f>SUBSTITUTE(SUBSTITUTE(SUBSTITUTE(S190,"/@","_"),"/cac:","_"),"/cbc:","_")</f>
        <v>Invoice_BuyerCustomerParty_Party_Contact</v>
      </c>
      <c r="I190" s="20" t="str">
        <f>SUBSTITUTE(SUBSTITUTE(SUBSTITUTE(T190,"/@","_"),"/cac:","_"),"/cbc:","_")</f>
        <v/>
      </c>
      <c r="J190" s="25" t="s">
        <v>820</v>
      </c>
      <c r="K190" s="25" t="s">
        <v>821</v>
      </c>
      <c r="L190" s="25" t="s">
        <v>822</v>
      </c>
      <c r="M190" s="25" t="s">
        <v>220</v>
      </c>
      <c r="N190" s="27" t="s">
        <v>64</v>
      </c>
      <c r="O190" s="25" t="s">
        <v>64</v>
      </c>
      <c r="P190" s="27" t="s">
        <v>3015</v>
      </c>
      <c r="Q190" s="26" t="str">
        <f>IF(S190="","",LEN(S190)-LEN(SUBSTITUTE(S190,"/",""))+IF(ISNUMBER(SEARCH("@",S190)),0,1))</f>
        <v>4</v>
      </c>
      <c r="R190" s="42" t="s">
        <v>823</v>
      </c>
      <c r="S190" s="25" t="s">
        <v>823</v>
      </c>
      <c r="T190" s="20"/>
      <c r="U190" s="20"/>
      <c r="V190" s="25"/>
      <c r="W190" s="25" t="s">
        <v>681</v>
      </c>
      <c r="X190" s="46"/>
      <c r="Y190" s="20"/>
      <c r="Z190" s="20"/>
      <c r="AA190" s="25" t="s">
        <v>222</v>
      </c>
      <c r="AB190" s="20" t="str">
        <f>IF(ISBLANK(S190),"是","否")</f>
        <v>否</v>
      </c>
      <c r="AC190" s="20"/>
      <c r="AD190" s="25"/>
      <c r="AE190" s="25"/>
      <c r="AH190" s="20" t="s">
        <v>76</v>
      </c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</row>
    <row r="191" ht="39.879699248120296" customHeight="1" spans="1:57" x14ac:dyDescent="0.25">
      <c r="A191" s="20" t="s">
        <v>682</v>
      </c>
      <c r="B191" s="19" t="s">
        <v>175</v>
      </c>
      <c r="C191" s="20" t="s">
        <v>57</v>
      </c>
      <c r="D191" s="21"/>
      <c r="E191" s="22"/>
      <c r="F191" s="21" t="s">
        <v>273</v>
      </c>
      <c r="G191" s="29" t="s">
        <v>824</v>
      </c>
      <c r="H191" s="20" t="str">
        <f>SUBSTITUTE(SUBSTITUTE(SUBSTITUTE(S191,"/@","_"),"/cac:","_"),"/cbc:","_")</f>
        <v>Invoice_BuyerCustomerParty_Party_Contact_Name</v>
      </c>
      <c r="I191" s="20" t="str">
        <f>SUBSTITUTE(SUBSTITUTE(SUBSTITUTE(T191,"/@","_"),"/cac:","_"),"/cbc:","_")</f>
        <v/>
      </c>
      <c r="J191" s="25" t="s">
        <v>825</v>
      </c>
      <c r="K191" s="25" t="s">
        <v>826</v>
      </c>
      <c r="L191" s="25" t="s">
        <v>827</v>
      </c>
      <c r="M191" s="25" t="s">
        <v>228</v>
      </c>
      <c r="N191" s="27" t="s">
        <v>64</v>
      </c>
      <c r="O191" s="25" t="s">
        <v>64</v>
      </c>
      <c r="P191" s="27" t="s">
        <v>3016</v>
      </c>
      <c r="Q191" s="26" t="str">
        <f>IF(S191="","",LEN(S191)-LEN(SUBSTITUTE(S191,"/",""))+IF(ISNUMBER(SEARCH("@",S191)),0,1))</f>
        <v>5</v>
      </c>
      <c r="R191" s="42" t="s">
        <v>828</v>
      </c>
      <c r="S191" s="25" t="s">
        <v>828</v>
      </c>
      <c r="T191" s="20"/>
      <c r="U191" s="20"/>
      <c r="V191" s="25"/>
      <c r="W191" s="25" t="s">
        <v>829</v>
      </c>
      <c r="X191" s="46"/>
      <c r="Y191" s="20"/>
      <c r="Z191" s="20"/>
      <c r="AA191" s="25" t="s">
        <v>68</v>
      </c>
      <c r="AB191" s="20" t="str">
        <f>IF(ISBLANK(S191),"是","否")</f>
        <v>否</v>
      </c>
      <c r="AC191" s="20"/>
      <c r="AD191" s="25"/>
      <c r="AE191" s="25"/>
      <c r="AH191" s="20" t="s">
        <v>76</v>
      </c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</row>
    <row r="192" ht="29.59398496240601" customHeight="1" spans="1:57" x14ac:dyDescent="0.25">
      <c r="A192" s="20" t="s">
        <v>682</v>
      </c>
      <c r="B192" s="19" t="s">
        <v>175</v>
      </c>
      <c r="C192" s="20" t="s">
        <v>57</v>
      </c>
      <c r="D192" s="21"/>
      <c r="E192" s="22"/>
      <c r="F192" s="21" t="s">
        <v>392</v>
      </c>
      <c r="G192" s="29" t="s">
        <v>830</v>
      </c>
      <c r="H192" s="20" t="str">
        <f>SUBSTITUTE(SUBSTITUTE(SUBSTITUTE(S192,"/@","_"),"/cac:","_"),"/cbc:","_")</f>
        <v>Invoice_BuyerCustomerParty_Party_Contact_Telephone</v>
      </c>
      <c r="I192" s="20" t="str">
        <f>SUBSTITUTE(SUBSTITUTE(SUBSTITUTE(T192,"/@","_"),"/cac:","_"),"/cbc:","_")</f>
        <v/>
      </c>
      <c r="J192" s="25" t="s">
        <v>831</v>
      </c>
      <c r="K192" s="25" t="s">
        <v>394</v>
      </c>
      <c r="L192" s="25" t="s">
        <v>832</v>
      </c>
      <c r="M192" s="25" t="s">
        <v>228</v>
      </c>
      <c r="N192" s="27" t="s">
        <v>64</v>
      </c>
      <c r="O192" s="25" t="s">
        <v>64</v>
      </c>
      <c r="P192" s="27" t="s">
        <v>3016</v>
      </c>
      <c r="Q192" s="26" t="str">
        <f>IF(S192="","",LEN(S192)-LEN(SUBSTITUTE(S192,"/",""))+IF(ISNUMBER(SEARCH("@",S192)),0,1))</f>
        <v>5</v>
      </c>
      <c r="R192" s="42" t="s">
        <v>833</v>
      </c>
      <c r="S192" s="25" t="s">
        <v>833</v>
      </c>
      <c r="T192" s="20"/>
      <c r="U192" s="20"/>
      <c r="V192" s="25"/>
      <c r="W192" s="25">
        <v>-13800137914</v>
      </c>
      <c r="X192" s="46"/>
      <c r="Y192" s="20"/>
      <c r="Z192" s="20"/>
      <c r="AA192" s="25" t="s">
        <v>68</v>
      </c>
      <c r="AB192" s="20" t="str">
        <f>IF(ISBLANK(S192),"是","否")</f>
        <v>否</v>
      </c>
      <c r="AC192" s="20"/>
      <c r="AD192" s="25"/>
      <c r="AE192" s="25"/>
      <c r="AH192" s="20" t="s">
        <v>76</v>
      </c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</row>
    <row r="193" ht="39.879699248120296" customHeight="1" spans="1:57" x14ac:dyDescent="0.25">
      <c r="A193" s="20" t="s">
        <v>682</v>
      </c>
      <c r="B193" s="19" t="s">
        <v>175</v>
      </c>
      <c r="C193" s="20" t="s">
        <v>57</v>
      </c>
      <c r="D193" s="21"/>
      <c r="E193" s="22"/>
      <c r="F193" s="21" t="s">
        <v>397</v>
      </c>
      <c r="G193" s="29" t="s">
        <v>834</v>
      </c>
      <c r="H193" s="20" t="str">
        <f>SUBSTITUTE(SUBSTITUTE(SUBSTITUTE(S193,"/@","_"),"/cac:","_"),"/cbc:","_")</f>
        <v>Invoice_BuyerCustomerParty_Party_Contact_ElectronicMail</v>
      </c>
      <c r="I193" s="20" t="str">
        <f>SUBSTITUTE(SUBSTITUTE(SUBSTITUTE(T193,"/@","_"),"/cac:","_"),"/cbc:","_")</f>
        <v/>
      </c>
      <c r="J193" s="25" t="s">
        <v>835</v>
      </c>
      <c r="K193" s="25" t="s">
        <v>836</v>
      </c>
      <c r="L193" s="25" t="s">
        <v>837</v>
      </c>
      <c r="M193" s="25" t="s">
        <v>228</v>
      </c>
      <c r="N193" s="27" t="s">
        <v>64</v>
      </c>
      <c r="O193" s="25" t="s">
        <v>64</v>
      </c>
      <c r="P193" s="27" t="s">
        <v>3016</v>
      </c>
      <c r="Q193" s="26" t="str">
        <f>IF(S193="","",LEN(S193)-LEN(SUBSTITUTE(S193,"/",""))+IF(ISNUMBER(SEARCH("@",S193)),0,1))</f>
        <v>5</v>
      </c>
      <c r="R193" s="42" t="s">
        <v>838</v>
      </c>
      <c r="S193" s="25" t="s">
        <v>838</v>
      </c>
      <c r="T193" s="20"/>
      <c r="U193" s="20"/>
      <c r="V193" s="25"/>
      <c r="W193" s="25" t="s">
        <v>839</v>
      </c>
      <c r="X193" s="46"/>
      <c r="Y193" s="20"/>
      <c r="Z193" s="20"/>
      <c r="AA193" s="25" t="s">
        <v>68</v>
      </c>
      <c r="AB193" s="20" t="str">
        <f>IF(ISBLANK(S193),"是","否")</f>
        <v>否</v>
      </c>
      <c r="AC193" s="20"/>
      <c r="AD193" s="25"/>
      <c r="AE193" s="25"/>
      <c r="AH193" s="20" t="s">
        <v>76</v>
      </c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</row>
    <row r="194" ht="29.59398496240601" customHeight="1" spans="1:57" x14ac:dyDescent="0.25">
      <c r="A194" s="20" t="s">
        <v>682</v>
      </c>
      <c r="B194" s="19" t="s">
        <v>230</v>
      </c>
      <c r="C194" s="20" t="s">
        <v>57</v>
      </c>
      <c r="D194" s="21"/>
      <c r="E194" s="22"/>
      <c r="F194" s="21" t="s">
        <v>553</v>
      </c>
      <c r="G194" s="29" t="s">
        <v>840</v>
      </c>
      <c r="H194" s="20" t="str">
        <f>SUBSTITUTE(SUBSTITUTE(SUBSTITUTE(S194,"/@","_"),"/cac:","_"),"/cbc:","_")</f>
        <v>Invoice_BuyerCustomerParty_Party_Person</v>
      </c>
      <c r="I194" s="20" t="str">
        <f>SUBSTITUTE(SUBSTITUTE(SUBSTITUTE(T194,"/@","_"),"/cac:","_"),"/cbc:","_")</f>
        <v/>
      </c>
      <c r="J194" s="25" t="s">
        <v>841</v>
      </c>
      <c r="K194" s="25" t="s">
        <v>842</v>
      </c>
      <c r="L194" s="25" t="s">
        <v>843</v>
      </c>
      <c r="M194" s="25" t="s">
        <v>220</v>
      </c>
      <c r="N194" s="27" t="s">
        <v>64</v>
      </c>
      <c r="O194" s="25" t="s">
        <v>64</v>
      </c>
      <c r="P194" s="27" t="s">
        <v>3015</v>
      </c>
      <c r="Q194" s="26" t="str">
        <f>IF(S194="","",LEN(S194)-LEN(SUBSTITUTE(S194,"/",""))+IF(ISNUMBER(SEARCH("@",S194)),0,1))</f>
        <v>4</v>
      </c>
      <c r="R194" s="42" t="s">
        <v>844</v>
      </c>
      <c r="S194" s="25" t="s">
        <v>844</v>
      </c>
      <c r="T194" s="20"/>
      <c r="U194" s="20"/>
      <c r="V194" s="25"/>
      <c r="W194" s="25" t="s">
        <v>681</v>
      </c>
      <c r="X194" s="46"/>
      <c r="Y194" s="20"/>
      <c r="Z194" s="20"/>
      <c r="AA194" s="25" t="s">
        <v>222</v>
      </c>
      <c r="AB194" s="20" t="str">
        <f>IF(ISBLANK(S194),"是","否")</f>
        <v>否</v>
      </c>
      <c r="AC194" s="20"/>
      <c r="AD194" s="25"/>
      <c r="AE194" s="25"/>
      <c r="AH194" s="20" t="s">
        <v>76</v>
      </c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</row>
    <row r="195" ht="29.59398496240601" customHeight="1" spans="1:57" x14ac:dyDescent="0.25">
      <c r="A195" s="20" t="s">
        <v>682</v>
      </c>
      <c r="B195" s="19" t="s">
        <v>402</v>
      </c>
      <c r="C195" s="20" t="s">
        <v>57</v>
      </c>
      <c r="D195" s="21"/>
      <c r="E195" s="22"/>
      <c r="F195" s="21" t="s">
        <v>407</v>
      </c>
      <c r="G195" s="29" t="s">
        <v>845</v>
      </c>
      <c r="H195" s="20" t="str">
        <f>SUBSTITUTE(SUBSTITUTE(SUBSTITUTE(S195,"/@","_"),"/cac:","_"),"/cbc:","_")</f>
        <v>Invoice_BuyerCustomerParty_Party_Person_FirstName</v>
      </c>
      <c r="I195" s="20" t="str">
        <f>SUBSTITUTE(SUBSTITUTE(SUBSTITUTE(T195,"/@","_"),"/cac:","_"),"/cbc:","_")</f>
        <v/>
      </c>
      <c r="J195" s="25" t="s">
        <v>846</v>
      </c>
      <c r="K195" s="25" t="s">
        <v>847</v>
      </c>
      <c r="L195" s="25" t="s">
        <v>848</v>
      </c>
      <c r="M195" s="25" t="s">
        <v>228</v>
      </c>
      <c r="N195" s="27" t="s">
        <v>64</v>
      </c>
      <c r="O195" s="25" t="s">
        <v>64</v>
      </c>
      <c r="P195" s="27" t="s">
        <v>3016</v>
      </c>
      <c r="Q195" s="26" t="str">
        <f>IF(S195="","",LEN(S195)-LEN(SUBSTITUTE(S195,"/",""))+IF(ISNUMBER(SEARCH("@",S195)),0,1))</f>
        <v>5</v>
      </c>
      <c r="R195" s="42" t="s">
        <v>849</v>
      </c>
      <c r="S195" s="25" t="s">
        <v>849</v>
      </c>
      <c r="T195" s="20"/>
      <c r="U195" s="20"/>
      <c r="V195" s="25"/>
      <c r="W195" s="25" t="s">
        <v>850</v>
      </c>
      <c r="X195" s="46"/>
      <c r="Y195" s="20"/>
      <c r="Z195" s="20"/>
      <c r="AA195" s="25" t="s">
        <v>68</v>
      </c>
      <c r="AB195" s="20" t="str">
        <f>IF(ISBLANK(S195),"是","否")</f>
        <v>否</v>
      </c>
      <c r="AC195" s="20"/>
      <c r="AD195" s="25"/>
      <c r="AE195" s="25"/>
      <c r="AH195" s="20" t="s">
        <v>76</v>
      </c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</row>
    <row r="196" ht="29.59398496240601" customHeight="1" spans="1:57" x14ac:dyDescent="0.25">
      <c r="A196" s="20" t="s">
        <v>682</v>
      </c>
      <c r="B196" s="19" t="s">
        <v>402</v>
      </c>
      <c r="C196" s="20" t="s">
        <v>57</v>
      </c>
      <c r="D196" s="21"/>
      <c r="E196" s="22"/>
      <c r="F196" s="21" t="s">
        <v>412</v>
      </c>
      <c r="G196" s="29" t="s">
        <v>851</v>
      </c>
      <c r="H196" s="20" t="str">
        <f>SUBSTITUTE(SUBSTITUTE(SUBSTITUTE(S196,"/@","_"),"/cac:","_"),"/cbc:","_")</f>
        <v>Invoice_BuyerCustomerParty_Party_Person_FamilyName</v>
      </c>
      <c r="I196" s="20" t="str">
        <f>SUBSTITUTE(SUBSTITUTE(SUBSTITUTE(T196,"/@","_"),"/cac:","_"),"/cbc:","_")</f>
        <v/>
      </c>
      <c r="J196" s="25" t="s">
        <v>852</v>
      </c>
      <c r="K196" s="25" t="s">
        <v>853</v>
      </c>
      <c r="L196" s="25" t="s">
        <v>854</v>
      </c>
      <c r="M196" s="25" t="s">
        <v>228</v>
      </c>
      <c r="N196" s="27" t="s">
        <v>64</v>
      </c>
      <c r="O196" s="25" t="s">
        <v>64</v>
      </c>
      <c r="P196" s="27" t="s">
        <v>3016</v>
      </c>
      <c r="Q196" s="26" t="str">
        <f>IF(S196="","",LEN(S196)-LEN(SUBSTITUTE(S196,"/",""))+IF(ISNUMBER(SEARCH("@",S196)),0,1))</f>
        <v>5</v>
      </c>
      <c r="R196" s="42" t="s">
        <v>855</v>
      </c>
      <c r="S196" s="25" t="s">
        <v>855</v>
      </c>
      <c r="T196" s="20"/>
      <c r="U196" s="20"/>
      <c r="V196" s="25"/>
      <c r="W196" s="25" t="s">
        <v>856</v>
      </c>
      <c r="X196" s="46"/>
      <c r="Y196" s="20"/>
      <c r="Z196" s="20"/>
      <c r="AA196" s="25" t="s">
        <v>68</v>
      </c>
      <c r="AB196" s="20" t="str">
        <f>IF(ISBLANK(S196),"是","否")</f>
        <v>否</v>
      </c>
      <c r="AC196" s="20"/>
      <c r="AD196" s="25"/>
      <c r="AE196" s="25"/>
      <c r="AH196" s="20" t="s">
        <v>76</v>
      </c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</row>
    <row r="197" ht="29.59398496240601" customHeight="1" spans="1:57" x14ac:dyDescent="0.25">
      <c r="A197" s="20" t="s">
        <v>682</v>
      </c>
      <c r="B197" s="19" t="s">
        <v>442</v>
      </c>
      <c r="C197" s="20" t="s">
        <v>57</v>
      </c>
      <c r="D197" s="21"/>
      <c r="E197" s="22"/>
      <c r="F197" s="21" t="s">
        <v>417</v>
      </c>
      <c r="G197" s="29" t="s">
        <v>857</v>
      </c>
      <c r="H197" s="20" t="str">
        <f>SUBSTITUTE(SUBSTITUTE(SUBSTITUTE(S197,"/@","_"),"/cac:","_"),"/cbc:","_")</f>
        <v>Invoice_BuyerCustomerParty_AccountingContact</v>
      </c>
      <c r="I197" s="20" t="str">
        <f>SUBSTITUTE(SUBSTITUTE(SUBSTITUTE(T197,"/@","_"),"/cac:","_"),"/cbc:","_")</f>
        <v/>
      </c>
      <c r="J197" s="25" t="s">
        <v>858</v>
      </c>
      <c r="K197" s="25" t="s">
        <v>859</v>
      </c>
      <c r="L197" s="25" t="s">
        <v>860</v>
      </c>
      <c r="M197" s="25" t="s">
        <v>220</v>
      </c>
      <c r="N197" s="27" t="s">
        <v>64</v>
      </c>
      <c r="O197" s="25" t="s">
        <v>64</v>
      </c>
      <c r="P197" s="27" t="s">
        <v>3015</v>
      </c>
      <c r="Q197" s="26" t="str">
        <f>IF(S197="","",LEN(S197)-LEN(SUBSTITUTE(S197,"/",""))+IF(ISNUMBER(SEARCH("@",S197)),0,1))</f>
        <v>3</v>
      </c>
      <c r="R197" s="42" t="s">
        <v>861</v>
      </c>
      <c r="S197" s="25" t="s">
        <v>861</v>
      </c>
      <c r="T197" s="20"/>
      <c r="U197" s="20"/>
      <c r="V197" s="25"/>
      <c r="W197" s="25" t="s">
        <v>681</v>
      </c>
      <c r="X197" s="46"/>
      <c r="Y197" s="20"/>
      <c r="Z197" s="20"/>
      <c r="AA197" s="25" t="s">
        <v>222</v>
      </c>
      <c r="AB197" s="20" t="str">
        <f>IF(ISBLANK(S197),"是","否")</f>
        <v>否</v>
      </c>
      <c r="AC197" s="20"/>
      <c r="AD197" s="25"/>
      <c r="AE197" s="25"/>
      <c r="AH197" s="20" t="s">
        <v>76</v>
      </c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</row>
    <row r="198" ht="29.59398496240601" customHeight="1" spans="1:57" x14ac:dyDescent="0.25">
      <c r="A198" s="20" t="s">
        <v>682</v>
      </c>
      <c r="B198" s="19" t="s">
        <v>175</v>
      </c>
      <c r="C198" s="20" t="s">
        <v>57</v>
      </c>
      <c r="D198" s="21"/>
      <c r="E198" s="22"/>
      <c r="F198" s="21" t="s">
        <v>273</v>
      </c>
      <c r="G198" s="29" t="s">
        <v>862</v>
      </c>
      <c r="H198" s="20" t="str">
        <f>SUBSTITUTE(SUBSTITUTE(SUBSTITUTE(S198,"/@","_"),"/cac:","_"),"/cbc:","_")</f>
        <v>Invoice_BuyerCustomerParty_AccountingContact_Name</v>
      </c>
      <c r="I198" s="20" t="str">
        <f>SUBSTITUTE(SUBSTITUTE(SUBSTITUTE(T198,"/@","_"),"/cac:","_"),"/cbc:","_")</f>
        <v/>
      </c>
      <c r="J198" s="25" t="s">
        <v>863</v>
      </c>
      <c r="K198" s="25" t="s">
        <v>864</v>
      </c>
      <c r="L198" s="25" t="s">
        <v>865</v>
      </c>
      <c r="M198" s="25" t="s">
        <v>228</v>
      </c>
      <c r="N198" s="27" t="s">
        <v>64</v>
      </c>
      <c r="O198" s="25" t="s">
        <v>64</v>
      </c>
      <c r="P198" s="27" t="s">
        <v>3016</v>
      </c>
      <c r="Q198" s="26" t="str">
        <f>IF(S198="","",LEN(S198)-LEN(SUBSTITUTE(S198,"/",""))+IF(ISNUMBER(SEARCH("@",S198)),0,1))</f>
        <v>4</v>
      </c>
      <c r="R198" s="42" t="s">
        <v>866</v>
      </c>
      <c r="S198" s="25" t="s">
        <v>866</v>
      </c>
      <c r="T198" s="20"/>
      <c r="U198" s="20"/>
      <c r="V198" s="25"/>
      <c r="W198" s="25" t="s">
        <v>867</v>
      </c>
      <c r="X198" s="46"/>
      <c r="Y198" s="20"/>
      <c r="Z198" s="20"/>
      <c r="AA198" s="25" t="s">
        <v>68</v>
      </c>
      <c r="AB198" s="20" t="str">
        <f>IF(ISBLANK(S198),"是","否")</f>
        <v>否</v>
      </c>
      <c r="AC198" s="20"/>
      <c r="AD198" s="25"/>
      <c r="AE198" s="25"/>
      <c r="AH198" s="20" t="s">
        <v>76</v>
      </c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</row>
    <row r="199" ht="29.59398496240601" customHeight="1" spans="1:57" x14ac:dyDescent="0.25">
      <c r="A199" s="20" t="s">
        <v>682</v>
      </c>
      <c r="B199" s="19" t="s">
        <v>175</v>
      </c>
      <c r="C199" s="20" t="s">
        <v>57</v>
      </c>
      <c r="D199" s="21"/>
      <c r="E199" s="22"/>
      <c r="F199" s="21" t="s">
        <v>392</v>
      </c>
      <c r="G199" s="29" t="s">
        <v>868</v>
      </c>
      <c r="H199" s="20" t="str">
        <f>SUBSTITUTE(SUBSTITUTE(SUBSTITUTE(S199,"/@","_"),"/cac:","_"),"/cbc:","_")</f>
        <v>Invoice_BuyerCustomerParty_AccountingContact_Telephone</v>
      </c>
      <c r="I199" s="20" t="str">
        <f>SUBSTITUTE(SUBSTITUTE(SUBSTITUTE(T199,"/@","_"),"/cac:","_"),"/cbc:","_")</f>
        <v/>
      </c>
      <c r="J199" s="25" t="s">
        <v>869</v>
      </c>
      <c r="K199" s="25" t="s">
        <v>870</v>
      </c>
      <c r="L199" s="25" t="s">
        <v>871</v>
      </c>
      <c r="M199" s="25" t="s">
        <v>228</v>
      </c>
      <c r="N199" s="27" t="s">
        <v>64</v>
      </c>
      <c r="O199" s="25" t="s">
        <v>64</v>
      </c>
      <c r="P199" s="27" t="s">
        <v>3016</v>
      </c>
      <c r="Q199" s="26" t="str">
        <f>IF(S199="","",LEN(S199)-LEN(SUBSTITUTE(S199,"/",""))+IF(ISNUMBER(SEARCH("@",S199)),0,1))</f>
        <v>4</v>
      </c>
      <c r="R199" s="42" t="s">
        <v>872</v>
      </c>
      <c r="S199" s="25" t="s">
        <v>872</v>
      </c>
      <c r="T199" s="20"/>
      <c r="U199" s="20"/>
      <c r="V199" s="25"/>
      <c r="W199" s="25" t="s">
        <v>873</v>
      </c>
      <c r="X199" s="46"/>
      <c r="Y199" s="20"/>
      <c r="Z199" s="20"/>
      <c r="AA199" s="25" t="s">
        <v>68</v>
      </c>
      <c r="AB199" s="20" t="str">
        <f>IF(ISBLANK(S199),"是","否")</f>
        <v>否</v>
      </c>
      <c r="AC199" s="20"/>
      <c r="AD199" s="25"/>
      <c r="AE199" s="25"/>
      <c r="AH199" s="20" t="s">
        <v>76</v>
      </c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</row>
    <row r="200" ht="29.59398496240601" customHeight="1" spans="1:57" x14ac:dyDescent="0.25">
      <c r="A200" s="20" t="s">
        <v>682</v>
      </c>
      <c r="B200" s="19" t="s">
        <v>175</v>
      </c>
      <c r="C200" s="20" t="s">
        <v>57</v>
      </c>
      <c r="D200" s="21"/>
      <c r="E200" s="22"/>
      <c r="F200" s="21" t="s">
        <v>429</v>
      </c>
      <c r="G200" s="29" t="s">
        <v>874</v>
      </c>
      <c r="H200" s="20" t="str">
        <f>SUBSTITUTE(SUBSTITUTE(SUBSTITUTE(S200,"/@","_"),"/cac:","_"),"/cbc:","_")</f>
        <v>Invoice_BuyerCustomerParty_AccountingContact_Telefax</v>
      </c>
      <c r="I200" s="20" t="str">
        <f>SUBSTITUTE(SUBSTITUTE(SUBSTITUTE(T200,"/@","_"),"/cac:","_"),"/cbc:","_")</f>
        <v/>
      </c>
      <c r="J200" s="25" t="s">
        <v>875</v>
      </c>
      <c r="K200" s="25" t="s">
        <v>876</v>
      </c>
      <c r="L200" s="25" t="s">
        <v>877</v>
      </c>
      <c r="M200" s="25" t="s">
        <v>228</v>
      </c>
      <c r="N200" s="27" t="s">
        <v>64</v>
      </c>
      <c r="O200" s="25" t="s">
        <v>64</v>
      </c>
      <c r="P200" s="27" t="s">
        <v>3016</v>
      </c>
      <c r="Q200" s="26" t="str">
        <f>IF(S200="","",LEN(S200)-LEN(SUBSTITUTE(S200,"/",""))+IF(ISNUMBER(SEARCH("@",S200)),0,1))</f>
        <v>4</v>
      </c>
      <c r="R200" s="42" t="s">
        <v>878</v>
      </c>
      <c r="S200" s="25" t="s">
        <v>878</v>
      </c>
      <c r="T200" s="20"/>
      <c r="U200" s="20"/>
      <c r="V200" s="25"/>
      <c r="W200" s="25" t="s">
        <v>681</v>
      </c>
      <c r="X200" s="46"/>
      <c r="Y200" s="20"/>
      <c r="Z200" s="20"/>
      <c r="AA200" s="25" t="s">
        <v>68</v>
      </c>
      <c r="AB200" s="20" t="str">
        <f>IF(ISBLANK(S200),"是","否")</f>
        <v>否</v>
      </c>
      <c r="AC200" s="20"/>
      <c r="AD200" s="25"/>
      <c r="AE200" s="25"/>
      <c r="AH200" s="20" t="s">
        <v>76</v>
      </c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</row>
    <row r="201" ht="29.59398496240601" customHeight="1" spans="1:57" x14ac:dyDescent="0.25">
      <c r="A201" s="20" t="s">
        <v>682</v>
      </c>
      <c r="B201" s="19" t="s">
        <v>175</v>
      </c>
      <c r="C201" s="20" t="s">
        <v>57</v>
      </c>
      <c r="D201" s="21"/>
      <c r="E201" s="22"/>
      <c r="F201" s="21" t="s">
        <v>397</v>
      </c>
      <c r="G201" s="29" t="s">
        <v>879</v>
      </c>
      <c r="H201" s="20" t="str">
        <f>SUBSTITUTE(SUBSTITUTE(SUBSTITUTE(S201,"/@","_"),"/cac:","_"),"/cbc:","_")</f>
        <v>Invoice_BuyerCustomerParty_AccountingContact_ElectronicMail</v>
      </c>
      <c r="I201" s="20" t="str">
        <f>SUBSTITUTE(SUBSTITUTE(SUBSTITUTE(T201,"/@","_"),"/cac:","_"),"/cbc:","_")</f>
        <v/>
      </c>
      <c r="J201" s="25" t="s">
        <v>880</v>
      </c>
      <c r="K201" s="25" t="s">
        <v>881</v>
      </c>
      <c r="L201" s="25" t="s">
        <v>882</v>
      </c>
      <c r="M201" s="25" t="s">
        <v>228</v>
      </c>
      <c r="N201" s="27" t="s">
        <v>64</v>
      </c>
      <c r="O201" s="25" t="s">
        <v>64</v>
      </c>
      <c r="P201" s="27" t="s">
        <v>3016</v>
      </c>
      <c r="Q201" s="26" t="str">
        <f>IF(S201="","",LEN(S201)-LEN(SUBSTITUTE(S201,"/",""))+IF(ISNUMBER(SEARCH("@",S201)),0,1))</f>
        <v>4</v>
      </c>
      <c r="R201" s="42" t="s">
        <v>883</v>
      </c>
      <c r="S201" s="25" t="s">
        <v>883</v>
      </c>
      <c r="T201" s="20"/>
      <c r="U201" s="20"/>
      <c r="V201" s="25"/>
      <c r="W201" s="25" t="s">
        <v>884</v>
      </c>
      <c r="X201" s="46"/>
      <c r="Y201" s="20"/>
      <c r="Z201" s="20"/>
      <c r="AA201" s="25" t="s">
        <v>68</v>
      </c>
      <c r="AB201" s="20" t="str">
        <f>IF(ISBLANK(S201),"是","否")</f>
        <v>否</v>
      </c>
      <c r="AC201" s="20"/>
      <c r="AD201" s="25"/>
      <c r="AE201" s="25"/>
      <c r="AH201" s="20" t="s">
        <v>76</v>
      </c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</row>
    <row r="202" ht="122.16541353383457" customHeight="1" spans="1:57" x14ac:dyDescent="0.25">
      <c r="A202" s="20" t="s">
        <v>67</v>
      </c>
      <c r="B202" s="19" t="s">
        <v>885</v>
      </c>
      <c r="C202" s="20" t="s">
        <v>57</v>
      </c>
      <c r="D202" s="21" t="s">
        <v>58</v>
      </c>
      <c r="E202" s="22" t="s">
        <v>59</v>
      </c>
      <c r="F202" s="21" t="s">
        <v>886</v>
      </c>
      <c r="G202" s="23" t="s">
        <v>886</v>
      </c>
      <c r="H202" s="20" t="str">
        <f>SUBSTITUTE(SUBSTITUTE(SUBSTITUTE(S202,"/@","_"),"/cac:","_"),"/cbc:","_")</f>
        <v>Invoice_AdditionalDocumentReference_Attachment_ExternalReference_URI</v>
      </c>
      <c r="I202" s="20" t="str">
        <f>SUBSTITUTE(SUBSTITUTE(SUBSTITUTE(T202,"/@","_"),"/cac:","_"),"/cbc:","_")</f>
        <v>OFD 属于“附加文档/附件外部引用”场景：Invoice 的 AdditionalDocumentReference → DocumentReference.Attachment → Attachment.ExternalReference → ExternalReference.URI。</v>
      </c>
      <c r="J202" s="19"/>
      <c r="K202" s="19" t="s">
        <v>888</v>
      </c>
      <c r="L202" s="20"/>
      <c r="M202" s="25" t="s">
        <v>889</v>
      </c>
      <c r="N202" s="20" t="s">
        <v>3013</v>
      </c>
      <c r="O202" s="20" t="s">
        <v>64</v>
      </c>
      <c r="P202" s="20"/>
      <c r="Q202" s="26" t="str">
        <f>IF(S202="","",LEN(S202)-LEN(SUBSTITUTE(S202,"/",""))+IF(ISNUMBER(SEARCH("@",S202)),0,1))</f>
        <v>5</v>
      </c>
      <c r="R202" s="26"/>
      <c r="S202" s="19" t="s">
        <v>890</v>
      </c>
      <c r="T202" s="19" t="s">
        <v>891</v>
      </c>
      <c r="U202" s="20"/>
      <c r="V202" s="20"/>
      <c r="W202" s="20"/>
      <c r="X202" s="46"/>
      <c r="Y202" s="20"/>
      <c r="Z202" s="20"/>
      <c r="AA202" s="20" t="s">
        <v>68</v>
      </c>
      <c r="AB202" s="20" t="str">
        <f>IF(ISBLANK(S202),"是","否")</f>
        <v>否</v>
      </c>
      <c r="AC202" s="20" t="s">
        <v>76</v>
      </c>
      <c r="AD202" s="24">
        <v>52</v>
      </c>
      <c r="AE202" s="25" t="s">
        <v>886</v>
      </c>
      <c r="AH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</row>
    <row r="203" ht="153.02255639097746" customHeight="1" spans="1:57" x14ac:dyDescent="0.25">
      <c r="A203" s="20" t="s">
        <v>67</v>
      </c>
      <c r="B203" s="19" t="s">
        <v>885</v>
      </c>
      <c r="C203" s="20" t="s">
        <v>57</v>
      </c>
      <c r="D203" s="21" t="s">
        <v>58</v>
      </c>
      <c r="E203" s="22" t="s">
        <v>59</v>
      </c>
      <c r="F203" s="21" t="s">
        <v>892</v>
      </c>
      <c r="G203" s="23" t="s">
        <v>892</v>
      </c>
      <c r="H203" s="20" t="str">
        <f>SUBSTITUTE(SUBSTITUTE(SUBSTITUTE(S203,"/@","_"),"/cac:","_"),"/cbc:","_")</f>
        <v>Invoice_AdditionalDocumentReference_Attachment_ExternalReference_URI</v>
      </c>
      <c r="I203" s="20" t="str">
        <f>SUBSTITUTE(SUBSTITUTE(SUBSTITUTE(T203,"/@","_"),"/cac:","_"),"/cbc:","_")</f>
        <v>语义域=附件/外部文档URL：Invoice 的 AdditionalDocumentReference（引用附加文档） → DocumentReference.Attachment → Attachment.ExternalReference → ExternalReference.URI（互联网资源的URI），与“PDF下载地址”一致。</v>
      </c>
      <c r="J203" s="19"/>
      <c r="K203" s="19" t="s">
        <v>888</v>
      </c>
      <c r="L203" s="20"/>
      <c r="M203" s="25" t="s">
        <v>889</v>
      </c>
      <c r="N203" s="20" t="s">
        <v>3013</v>
      </c>
      <c r="O203" s="20" t="s">
        <v>64</v>
      </c>
      <c r="P203" s="20"/>
      <c r="Q203" s="26" t="str">
        <f>IF(S203="","",LEN(S203)-LEN(SUBSTITUTE(S203,"/",""))+IF(ISNUMBER(SEARCH("@",S203)),0,1))</f>
        <v>5</v>
      </c>
      <c r="R203" s="26"/>
      <c r="S203" s="19" t="s">
        <v>890</v>
      </c>
      <c r="T203" s="19" t="s">
        <v>894</v>
      </c>
      <c r="U203" s="20"/>
      <c r="V203" s="20"/>
      <c r="W203" s="20"/>
      <c r="X203" s="46"/>
      <c r="Y203" s="20"/>
      <c r="Z203" s="20"/>
      <c r="AA203" s="20" t="s">
        <v>68</v>
      </c>
      <c r="AB203" s="20" t="str">
        <f>IF(ISBLANK(S203),"是","否")</f>
        <v>否</v>
      </c>
      <c r="AC203" s="20" t="s">
        <v>76</v>
      </c>
      <c r="AD203" s="24">
        <v>53</v>
      </c>
      <c r="AE203" s="25" t="s">
        <v>892</v>
      </c>
      <c r="AH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</row>
    <row r="204" ht="173.593984962406" customHeight="1" spans="1:57" x14ac:dyDescent="0.25">
      <c r="A204" s="20" t="s">
        <v>67</v>
      </c>
      <c r="B204" s="19" t="s">
        <v>885</v>
      </c>
      <c r="C204" s="20" t="s">
        <v>57</v>
      </c>
      <c r="D204" s="21" t="s">
        <v>58</v>
      </c>
      <c r="E204" s="22" t="s">
        <v>59</v>
      </c>
      <c r="F204" s="21" t="s">
        <v>895</v>
      </c>
      <c r="G204" s="23" t="s">
        <v>895</v>
      </c>
      <c r="H204" s="20" t="str">
        <f>SUBSTITUTE(SUBSTITUTE(SUBSTITUTE(S204,"/@","_"),"/cac:","_"),"/cbc:","_")</f>
        <v>Invoice_AdditionalDocumentReference_Attachment_ExternalReference_URI</v>
      </c>
      <c r="I204" s="20" t="str">
        <f>SUBSTITUTE(SUBSTITUTE(SUBSTITUTE(T204,"/@","_"),"/cac:","_"),"/cbc:","_")</f>
        <v>语义域=附件/外部文档URL：与 fpdfurl 同一落位链路（AdditionalDocumentReference→Attachment→ExternalReference→URI）；UBL 仅表达“外部对象的URI”，不区分“PDF/XML”，区分通常依赖同一 ExternalReference 下的 MimeCode/FileName 等字段（本字段未要求映射）。</v>
      </c>
      <c r="J204" s="19"/>
      <c r="K204" s="19" t="s">
        <v>888</v>
      </c>
      <c r="L204" s="20"/>
      <c r="M204" s="25" t="s">
        <v>889</v>
      </c>
      <c r="N204" s="20" t="s">
        <v>3013</v>
      </c>
      <c r="O204" s="20" t="s">
        <v>64</v>
      </c>
      <c r="P204" s="20"/>
      <c r="Q204" s="26" t="str">
        <f>IF(S204="","",LEN(S204)-LEN(SUBSTITUTE(S204,"/",""))+IF(ISNUMBER(SEARCH("@",S204)),0,1))</f>
        <v>5</v>
      </c>
      <c r="R204" s="26"/>
      <c r="S204" s="19" t="s">
        <v>890</v>
      </c>
      <c r="T204" s="19" t="s">
        <v>897</v>
      </c>
      <c r="U204" s="20"/>
      <c r="V204" s="20"/>
      <c r="W204" s="20"/>
      <c r="X204" s="46"/>
      <c r="Y204" s="20"/>
      <c r="Z204" s="20"/>
      <c r="AA204" s="20" t="s">
        <v>68</v>
      </c>
      <c r="AB204" s="20" t="str">
        <f>IF(ISBLANK(S204),"是","否")</f>
        <v>否</v>
      </c>
      <c r="AC204" s="20" t="s">
        <v>76</v>
      </c>
      <c r="AD204" s="24">
        <v>54</v>
      </c>
      <c r="AE204" s="25" t="s">
        <v>895</v>
      </c>
      <c r="AF204" s="24">
        <v>102</v>
      </c>
      <c r="AG204" s="25" t="s">
        <v>898</v>
      </c>
      <c r="AH204" s="20"/>
      <c r="AI204" s="24"/>
      <c r="AJ204" s="25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</row>
    <row r="205" ht="194.1654135338346" customHeight="1" spans="1:57" x14ac:dyDescent="0.25">
      <c r="A205" s="20" t="s">
        <v>67</v>
      </c>
      <c r="B205" s="27"/>
      <c r="C205" s="20" t="s">
        <v>57</v>
      </c>
      <c r="D205" s="21" t="s">
        <v>58</v>
      </c>
      <c r="E205" s="22" t="s">
        <v>59</v>
      </c>
      <c r="F205" s="21" t="s">
        <v>899</v>
      </c>
      <c r="G205" s="23" t="s">
        <v>899</v>
      </c>
      <c r="H205" s="20" t="str">
        <f>SUBSTITUTE(SUBSTITUTE(SUBSTITUTE(S205,"/@","_"),"/cac:","_"),"/cbc:","_")</f>
        <v/>
      </c>
      <c r="I205" s="20" t="str">
        <f>SUBSTITUTE(SUBSTITUTE(SUBSTITUTE(T205,"/@","_"),"/cac:","_"),"/cbc:","_")</f>
        <v>【未匹配】语义为“下载次数/下载成功失败统计（1/0）”，属于系统访问/审计指标；在 Invoice→(Additional)DocumentReference→Attachment→ExternalReference 链路的 External Reference 字段集中仅见 URI、DocumentHash、ExpiryDate/Time、MimeCode、FileName 等“外部对象描述”字段，无“下载次数/下载状态”概念字段。</v>
      </c>
      <c r="J205" s="19"/>
      <c r="K205" s="19"/>
      <c r="L205" s="20"/>
      <c r="M205" s="25" t="s">
        <v>93</v>
      </c>
      <c r="N205" s="20" t="s">
        <v>3013</v>
      </c>
      <c r="O205" s="20"/>
      <c r="P205" s="20"/>
      <c r="Q205" s="26" t="str">
        <f>IF(S205="","",LEN(S205)-LEN(SUBSTITUTE(S205,"/",""))+IF(ISNUMBER(SEARCH("@",S205)),0,1))</f>
        <v/>
      </c>
      <c r="R205" s="26"/>
      <c r="S205" s="19"/>
      <c r="T205" s="19" t="s">
        <v>901</v>
      </c>
      <c r="U205" s="20"/>
      <c r="V205" s="25" t="s">
        <v>902</v>
      </c>
      <c r="W205" s="20"/>
      <c r="X205" s="46"/>
      <c r="Y205" s="33"/>
      <c r="Z205" s="33"/>
      <c r="AA205" s="33"/>
      <c r="AB205" s="20" t="str">
        <f>IF(ISBLANK(S205),"是","否")</f>
        <v>是</v>
      </c>
      <c r="AC205" s="20" t="s">
        <v>76</v>
      </c>
      <c r="AD205" s="24">
        <v>61</v>
      </c>
      <c r="AE205" s="25" t="s">
        <v>899</v>
      </c>
      <c r="AH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</row>
    <row r="206" ht="142.73684210526315" customHeight="1" spans="1:57" x14ac:dyDescent="0.25">
      <c r="A206" s="20" t="s">
        <v>67</v>
      </c>
      <c r="B206" s="27"/>
      <c r="C206" s="20" t="s">
        <v>57</v>
      </c>
      <c r="D206" s="21" t="s">
        <v>58</v>
      </c>
      <c r="E206" s="22" t="s">
        <v>59</v>
      </c>
      <c r="F206" s="21" t="s">
        <v>903</v>
      </c>
      <c r="G206" s="23" t="s">
        <v>903</v>
      </c>
      <c r="H206" s="20" t="str">
        <f>SUBSTITUTE(SUBSTITUTE(SUBSTITUTE(S206,"/@","_"),"/cac:","_"),"/cbc:","_")</f>
        <v/>
      </c>
      <c r="I206" s="20" t="str">
        <f>SUBSTITUTE(SUBSTITUTE(SUBSTITUTE(T206,"/@","_"),"/cac:","_"),"/cbc:","_")</f>
        <v>【未匹配】“密码区”属于中国税控票面要素；在 Invoice 中虽有 Signature（签名）结构，但 Signature ABIE 定义为“signature/validation”等签名语义，与税控“密码区”不一致；报告中未出现可落位的 cipher/encrypt/password 类字段。</v>
      </c>
      <c r="J206" s="19"/>
      <c r="K206" s="19"/>
      <c r="L206" s="25"/>
      <c r="M206" s="25" t="s">
        <v>905</v>
      </c>
      <c r="N206" s="20" t="s">
        <v>3013</v>
      </c>
      <c r="O206" s="20"/>
      <c r="P206" s="20"/>
      <c r="Q206" s="26" t="str">
        <f>IF(S206="","",LEN(S206)-LEN(SUBSTITUTE(S206,"/",""))+IF(ISNUMBER(SEARCH("@",S206)),0,1))</f>
        <v/>
      </c>
      <c r="R206" s="26"/>
      <c r="S206" s="19"/>
      <c r="T206" s="19" t="s">
        <v>906</v>
      </c>
      <c r="U206" s="20"/>
      <c r="V206" s="25"/>
      <c r="W206" s="20"/>
      <c r="X206" s="46"/>
      <c r="Y206" s="20"/>
      <c r="Z206" s="20"/>
      <c r="AA206" s="20"/>
      <c r="AB206" s="20" t="str">
        <f>IF(ISBLANK(S206),"是","否")</f>
        <v>是</v>
      </c>
      <c r="AC206" s="20" t="s">
        <v>76</v>
      </c>
      <c r="AD206" s="24">
        <v>60</v>
      </c>
      <c r="AE206" s="25" t="s">
        <v>903</v>
      </c>
      <c r="AH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</row>
    <row r="207" ht="122.16541353383457" customHeight="1" spans="1:57" x14ac:dyDescent="0.25">
      <c r="A207" s="20" t="s">
        <v>67</v>
      </c>
      <c r="B207" s="27"/>
      <c r="C207" s="20" t="s">
        <v>57</v>
      </c>
      <c r="D207" s="21" t="s">
        <v>58</v>
      </c>
      <c r="E207" s="22" t="s">
        <v>59</v>
      </c>
      <c r="F207" s="21" t="s">
        <v>907</v>
      </c>
      <c r="G207" s="23" t="s">
        <v>907</v>
      </c>
      <c r="H207" s="20" t="str">
        <f>SUBSTITUTE(SUBSTITUTE(SUBSTITUTE(S207,"/@","_"),"/cac:","_"),"/cbc:","_")</f>
        <v/>
      </c>
      <c r="I207" s="20" t="str">
        <f>SUBSTITUTE(SUBSTITUTE(SUBSTITUTE(T207,"/@","_"),"/cac:","_"),"/cbc:","_")</f>
        <v>【未匹配】联系人域仅有 Contact.Telephone（主电话号码）、Telefax、ElectronicMail、Note 等，未提供“分机号/Extension”独立字段；分机如需表达只能并入 Telephone 文本，无法按“分机号”单独落位。</v>
      </c>
      <c r="J207" s="19"/>
      <c r="K207" s="19"/>
      <c r="L207" s="24"/>
      <c r="M207" s="25" t="s">
        <v>909</v>
      </c>
      <c r="N207" s="20" t="s">
        <v>3013</v>
      </c>
      <c r="O207" s="20"/>
      <c r="P207" s="20"/>
      <c r="Q207" s="26" t="str">
        <f>IF(S207="","",LEN(S207)-LEN(SUBSTITUTE(S207,"/",""))+IF(ISNUMBER(SEARCH("@",S207)),0,1))</f>
        <v/>
      </c>
      <c r="R207" s="26"/>
      <c r="S207" s="19"/>
      <c r="T207" s="19" t="s">
        <v>910</v>
      </c>
      <c r="U207" s="20"/>
      <c r="V207" s="20"/>
      <c r="W207" s="20"/>
      <c r="X207" s="46"/>
      <c r="Y207" s="20"/>
      <c r="Z207" s="20"/>
      <c r="AA207" s="20"/>
      <c r="AB207" s="20" t="str">
        <f>IF(ISBLANK(S207),"是","否")</f>
        <v>是</v>
      </c>
      <c r="AC207" s="20" t="s">
        <v>76</v>
      </c>
      <c r="AD207" s="24">
        <v>63</v>
      </c>
      <c r="AE207" s="25" t="s">
        <v>907</v>
      </c>
      <c r="AH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</row>
    <row r="208" ht="163.3082706766917" customHeight="1" spans="1:57" x14ac:dyDescent="0.25">
      <c r="A208" s="20" t="s">
        <v>67</v>
      </c>
      <c r="B208" s="27"/>
      <c r="C208" s="20" t="s">
        <v>57</v>
      </c>
      <c r="D208" s="21" t="s">
        <v>58</v>
      </c>
      <c r="E208" s="22" t="s">
        <v>59</v>
      </c>
      <c r="F208" s="21" t="s">
        <v>911</v>
      </c>
      <c r="G208" s="23" t="s">
        <v>911</v>
      </c>
      <c r="H208" s="20" t="str">
        <f>SUBSTITUTE(SUBSTITUTE(SUBSTITUTE(S208,"/@","_"),"/cac:","_"),"/cbc:","_")</f>
        <v/>
      </c>
      <c r="I208" s="20" t="str">
        <f>SUBSTITUTE(SUBSTITUTE(SUBSTITUTE(T208,"/@","_"),"/cac:","_"),"/cbc:","_")</f>
        <v>最接近候选为 External Reference/DocumentHash（“A hash value for the externally stored object.”）与 DocumentReference/ResultOfVerification（“The result of an attempt to verify a signature…”），均不等同于“发票税控校验码/查验码”字段本体，含义不一致 → 未匹配。</v>
      </c>
      <c r="J208" s="19"/>
      <c r="K208" s="19"/>
      <c r="L208" s="24"/>
      <c r="M208" s="25" t="s">
        <v>913</v>
      </c>
      <c r="N208" s="20" t="s">
        <v>3013</v>
      </c>
      <c r="O208" s="20"/>
      <c r="P208" s="20"/>
      <c r="Q208" s="26" t="str">
        <f>IF(S208="","",LEN(S208)-LEN(SUBSTITUTE(S208,"/",""))+IF(ISNUMBER(SEARCH("@",S208)),0,1))</f>
        <v/>
      </c>
      <c r="R208" s="26"/>
      <c r="S208" s="19"/>
      <c r="T208" s="19" t="s">
        <v>914</v>
      </c>
      <c r="U208" s="20"/>
      <c r="V208" s="20"/>
      <c r="W208" s="20"/>
      <c r="X208" s="46"/>
      <c r="Y208" s="20"/>
      <c r="Z208" s="20"/>
      <c r="AA208" s="20"/>
      <c r="AB208" s="20" t="str">
        <f>IF(ISBLANK(S208),"是","否")</f>
        <v>是</v>
      </c>
      <c r="AC208" s="20" t="s">
        <v>76</v>
      </c>
      <c r="AD208" s="24">
        <v>64</v>
      </c>
      <c r="AE208" s="25" t="s">
        <v>911</v>
      </c>
      <c r="AH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</row>
    <row r="209" ht="142.73684210526315" customHeight="1" spans="1:57" x14ac:dyDescent="0.25">
      <c r="A209" s="20" t="s">
        <v>67</v>
      </c>
      <c r="B209" s="19" t="s">
        <v>885</v>
      </c>
      <c r="C209" s="20" t="s">
        <v>57</v>
      </c>
      <c r="D209" s="21" t="s">
        <v>58</v>
      </c>
      <c r="E209" s="22" t="s">
        <v>59</v>
      </c>
      <c r="F209" s="21" t="s">
        <v>915</v>
      </c>
      <c r="G209" s="23" t="s">
        <v>915</v>
      </c>
      <c r="H209" s="20" t="str">
        <f>SUBSTITUTE(SUBSTITUTE(SUBSTITUTE(S209,"/@","_"),"/cac:","_"),"/cbc:","_")</f>
        <v>Invoice_AdditionalDocumentReference_Attachment_ExternalReference_URI</v>
      </c>
      <c r="I209" s="20" t="str">
        <f>SUBSTITUTE(SUBSTITUTE(SUBSTITUTE(T209,"/@","_"),"/cac:","_"),"/cbc:","_")</f>
        <v>字段语义为“链接/访问地址”；UBL 的 External Reference/URI 即外部互联网资源标识；路径链路为 Invoice 的 AdditionalDocumentReference → (DocumentReference) Attachment → (Attachment) ExternalReference → URI。</v>
      </c>
      <c r="J209" s="19"/>
      <c r="K209" s="19" t="s">
        <v>888</v>
      </c>
      <c r="L209" s="25"/>
      <c r="M209" s="25" t="s">
        <v>917</v>
      </c>
      <c r="N209" s="20" t="s">
        <v>3013</v>
      </c>
      <c r="O209" s="20" t="s">
        <v>64</v>
      </c>
      <c r="P209" s="20"/>
      <c r="Q209" s="26" t="str">
        <f>IF(S209="","",LEN(S209)-LEN(SUBSTITUTE(S209,"/",""))+IF(ISNUMBER(SEARCH("@",S209)),0,1))</f>
        <v>5</v>
      </c>
      <c r="R209" s="26"/>
      <c r="S209" s="19" t="s">
        <v>890</v>
      </c>
      <c r="T209" s="19" t="s">
        <v>918</v>
      </c>
      <c r="U209" s="20"/>
      <c r="V209" s="25"/>
      <c r="W209" s="20"/>
      <c r="X209" s="46"/>
      <c r="Y209" s="20"/>
      <c r="Z209" s="20"/>
      <c r="AA209" s="20" t="s">
        <v>68</v>
      </c>
      <c r="AB209" s="20" t="str">
        <f>IF(ISBLANK(S209),"是","否")</f>
        <v>否</v>
      </c>
      <c r="AC209" s="20" t="s">
        <v>76</v>
      </c>
      <c r="AD209" s="24">
        <v>70</v>
      </c>
      <c r="AE209" s="25" t="s">
        <v>915</v>
      </c>
      <c r="AH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</row>
    <row r="210" ht="142.73684210526315" customHeight="1" spans="1:57" x14ac:dyDescent="0.25">
      <c r="A210" s="20" t="s">
        <v>67</v>
      </c>
      <c r="B210" s="27"/>
      <c r="C210" s="20" t="s">
        <v>57</v>
      </c>
      <c r="D210" s="21" t="s">
        <v>58</v>
      </c>
      <c r="E210" s="22" t="s">
        <v>59</v>
      </c>
      <c r="F210" s="21" t="s">
        <v>919</v>
      </c>
      <c r="G210" s="23" t="s">
        <v>919</v>
      </c>
      <c r="H210" s="20" t="str">
        <f>SUBSTITUTE(SUBSTITUTE(SUBSTITUTE(S210,"/@","_"),"/cac:","_"),"/cbc:","_")</f>
        <v/>
      </c>
      <c r="I210" s="20" t="str">
        <f>SUBSTITUTE(SUBSTITUTE(SUBSTITUTE(T210,"/@","_"),"/cac:","_"),"/cbc:","_")</f>
        <v>Invoice 及其可达 Details 链路中未找到“开票设备/税控设备唯一编码”的对应字段；CommonLibrary 中最接近的是 Transport Equipment/ID（运输设备标识），但对象语义（运输设备 vs 开票设备）不一致 → 未匹配。</v>
      </c>
      <c r="J210" s="19"/>
      <c r="K210" s="19"/>
      <c r="L210" s="25"/>
      <c r="M210" s="25" t="s">
        <v>72</v>
      </c>
      <c r="N210" s="20" t="s">
        <v>3013</v>
      </c>
      <c r="O210" s="20"/>
      <c r="P210" s="20"/>
      <c r="Q210" s="26" t="str">
        <f>IF(S210="","",LEN(S210)-LEN(SUBSTITUTE(S210,"/",""))+IF(ISNUMBER(SEARCH("@",S210)),0,1))</f>
        <v/>
      </c>
      <c r="R210" s="26"/>
      <c r="S210" s="19"/>
      <c r="T210" s="19" t="s">
        <v>921</v>
      </c>
      <c r="U210" s="20"/>
      <c r="V210" s="25"/>
      <c r="W210" s="20"/>
      <c r="X210" s="46"/>
      <c r="Y210" s="20"/>
      <c r="Z210" s="20"/>
      <c r="AA210" s="20"/>
      <c r="AB210" s="20" t="str">
        <f>IF(ISBLANK(S210),"是","否")</f>
        <v>是</v>
      </c>
      <c r="AC210" s="20" t="s">
        <v>76</v>
      </c>
      <c r="AD210" s="24">
        <v>71</v>
      </c>
      <c r="AE210" s="25" t="s">
        <v>919</v>
      </c>
      <c r="AF210" s="24">
        <v>56</v>
      </c>
      <c r="AG210" s="25" t="s">
        <v>922</v>
      </c>
      <c r="AH210" s="20"/>
      <c r="AI210" s="24"/>
      <c r="AJ210" s="25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</row>
    <row r="211" ht="111.8796992481203" customHeight="1" spans="1:57" x14ac:dyDescent="0.25">
      <c r="A211" s="20" t="s">
        <v>67</v>
      </c>
      <c r="B211" s="19" t="s">
        <v>139</v>
      </c>
      <c r="C211" s="20" t="s">
        <v>57</v>
      </c>
      <c r="D211" s="21" t="s">
        <v>58</v>
      </c>
      <c r="E211" s="22" t="s">
        <v>59</v>
      </c>
      <c r="F211" s="21" t="s">
        <v>923</v>
      </c>
      <c r="G211" s="23" t="s">
        <v>923</v>
      </c>
      <c r="H211" s="20" t="str">
        <f>SUBSTITUTE(SUBSTITUTE(SUBSTITUTE(S211,"/@","_"),"/cac:","_"),"/cbc:","_")</f>
        <v>Invoice_AdditionalDocumentReference_DocumentDescription</v>
      </c>
      <c r="I211" s="20" t="str">
        <f>SUBSTITUTE(SUBSTITUTE(SUBSTITUTE(T211,"/@","_"),"/cac:","_"),"/cbc:","_")</f>
        <v>若“清单”在 UBL 中按附加文档引用建模（AdditionalDocumentReference），则“清单项目标题/汇总名称”更贴近 DocumentDescription（被引用文档的描述文本）。</v>
      </c>
      <c r="J211" s="19"/>
      <c r="K211" s="19" t="s">
        <v>925</v>
      </c>
      <c r="L211" s="20" t="s">
        <v>926</v>
      </c>
      <c r="M211" s="25" t="s">
        <v>927</v>
      </c>
      <c r="N211" s="20" t="s">
        <v>3013</v>
      </c>
      <c r="O211" s="20" t="s">
        <v>49</v>
      </c>
      <c r="P211" s="20"/>
      <c r="Q211" s="26" t="str">
        <f>IF(S211="","",LEN(S211)-LEN(SUBSTITUTE(S211,"/",""))+IF(ISNUMBER(SEARCH("@",S211)),0,1))</f>
        <v>3</v>
      </c>
      <c r="R211" s="26"/>
      <c r="S211" s="19" t="s">
        <v>928</v>
      </c>
      <c r="T211" s="19" t="s">
        <v>929</v>
      </c>
      <c r="U211" s="20"/>
      <c r="V211" s="20"/>
      <c r="W211" s="20" t="s">
        <v>930</v>
      </c>
      <c r="X211" s="46"/>
      <c r="Y211" s="20"/>
      <c r="Z211" s="20"/>
      <c r="AA211" s="20" t="s">
        <v>68</v>
      </c>
      <c r="AB211" s="20" t="str">
        <f>IF(ISBLANK(S211),"是","否")</f>
        <v>否</v>
      </c>
      <c r="AC211" s="20" t="s">
        <v>76</v>
      </c>
      <c r="AD211" s="24">
        <v>73</v>
      </c>
      <c r="AE211" s="25" t="s">
        <v>923</v>
      </c>
      <c r="AH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</row>
    <row r="212" ht="101.59398496240601" customHeight="1" spans="1:57" x14ac:dyDescent="0.25">
      <c r="A212" s="20" t="s">
        <v>67</v>
      </c>
      <c r="B212" s="27"/>
      <c r="C212" s="20" t="s">
        <v>57</v>
      </c>
      <c r="D212" s="21" t="s">
        <v>58</v>
      </c>
      <c r="E212" s="22" t="s">
        <v>59</v>
      </c>
      <c r="F212" s="21" t="s">
        <v>931</v>
      </c>
      <c r="G212" s="23" t="s">
        <v>931</v>
      </c>
      <c r="H212" s="20" t="str">
        <f>SUBSTITUTE(SUBSTITUTE(SUBSTITUTE(S212,"/@","_"),"/cac:","_"),"/cbc:","_")</f>
        <v/>
      </c>
      <c r="I212" s="20" t="str">
        <f>SUBSTITUTE(SUBSTITUTE(SUBSTITUTE(T212,"/@","_"),"/cac:","_"),"/cbc:","_")</f>
        <v>UBL 存在 **LineCountNumeric（The total number of invoiced lines.）**等数量信息，但不是“清单标志/打印策略”的 0/1 开关；未找到语义等价字段 → 未匹配。</v>
      </c>
      <c r="J212" s="19"/>
      <c r="K212" s="19"/>
      <c r="L212" s="24"/>
      <c r="M212" s="25" t="s">
        <v>933</v>
      </c>
      <c r="N212" s="20" t="s">
        <v>3013</v>
      </c>
      <c r="O212" s="20"/>
      <c r="P212" s="20"/>
      <c r="Q212" s="26" t="str">
        <f>IF(S212="","",LEN(S212)-LEN(SUBSTITUTE(S212,"/",""))+IF(ISNUMBER(SEARCH("@",S212)),0,1))</f>
        <v/>
      </c>
      <c r="R212" s="26"/>
      <c r="S212" s="19"/>
      <c r="T212" s="19" t="s">
        <v>934</v>
      </c>
      <c r="U212" s="20"/>
      <c r="V212" s="20" t="s">
        <v>935</v>
      </c>
      <c r="W212" s="20"/>
      <c r="X212" s="46"/>
      <c r="Y212" s="20"/>
      <c r="Z212" s="20"/>
      <c r="AA212" s="20"/>
      <c r="AB212" s="20" t="str">
        <f>IF(ISBLANK(S212),"是","否")</f>
        <v>是</v>
      </c>
      <c r="AC212" s="20" t="s">
        <v>76</v>
      </c>
      <c r="AD212" s="24">
        <v>74</v>
      </c>
      <c r="AE212" s="25" t="s">
        <v>931</v>
      </c>
      <c r="AF212" s="24">
        <v>42</v>
      </c>
      <c r="AG212" s="25" t="s">
        <v>936</v>
      </c>
      <c r="AH212" s="20"/>
      <c r="AI212" s="24"/>
      <c r="AJ212" s="25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</row>
    <row r="213" ht="163.3082706766917" customHeight="1" spans="1:57" x14ac:dyDescent="0.25">
      <c r="A213" s="20" t="s">
        <v>67</v>
      </c>
      <c r="B213" s="27"/>
      <c r="C213" s="20" t="s">
        <v>57</v>
      </c>
      <c r="D213" s="21" t="s">
        <v>937</v>
      </c>
      <c r="E213" s="22" t="s">
        <v>938</v>
      </c>
      <c r="F213" s="21" t="s">
        <v>939</v>
      </c>
      <c r="G213" s="23" t="s">
        <v>939</v>
      </c>
      <c r="H213" s="20" t="str">
        <f>SUBSTITUTE(SUBSTITUTE(SUBSTITUTE(S213,"/@","_"),"/cac:","_"),"/cbc:","_")</f>
        <v/>
      </c>
      <c r="I213" s="20" t="str">
        <f>SUBSTITUTE(SUBSTITUTE(SUBSTITUTE(T213,"/@","_"),"/cac:","_"),"/cbc:","_")</f>
        <v>【未匹配】已在 Invoice.Details（#Table_Invoice）检索票据头字段：可见的相关“代码/指示”类仅有 InvoiceTypeCode（票种类型）与 CopyIndicator（是否副本）等，但其 Rep. Term 含义不等同于“正常/红冲/作废/部分红冲”等生命周期业务状态，无法语义落位。</v>
      </c>
      <c r="J213" s="19"/>
      <c r="K213" s="19"/>
      <c r="L213" s="25">
        <v>30</v>
      </c>
      <c r="M213" s="25" t="s">
        <v>941</v>
      </c>
      <c r="N213" s="20"/>
      <c r="O213" s="20"/>
      <c r="P213" s="20"/>
      <c r="Q213" s="26" t="str">
        <f>IF(S213="","",LEN(S213)-LEN(SUBSTITUTE(S213,"/",""))+IF(ISNUMBER(SEARCH("@",S213)),0,1))</f>
        <v/>
      </c>
      <c r="R213" s="26"/>
      <c r="S213" s="19"/>
      <c r="T213" s="19" t="s">
        <v>942</v>
      </c>
      <c r="U213" s="20"/>
      <c r="V213" s="25" t="s">
        <v>943</v>
      </c>
      <c r="W213" s="20"/>
      <c r="X213" s="46"/>
      <c r="Y213" s="20"/>
      <c r="Z213" s="20"/>
      <c r="AA213" s="20"/>
      <c r="AB213" s="20" t="str">
        <f>IF(ISBLANK(S213),"是","否")</f>
        <v>是</v>
      </c>
      <c r="AC213" s="20"/>
      <c r="AD213" s="25"/>
      <c r="AE213" s="25"/>
      <c r="AF213" s="24">
        <v>9</v>
      </c>
      <c r="AG213" s="25" t="s">
        <v>939</v>
      </c>
      <c r="AH213" s="20"/>
      <c r="AI213" s="24"/>
      <c r="AJ213" s="25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</row>
    <row r="214" ht="153.02255639097746" customHeight="1" spans="1:57" x14ac:dyDescent="0.25">
      <c r="A214" s="20" t="s">
        <v>67</v>
      </c>
      <c r="B214" s="27"/>
      <c r="C214" s="20" t="s">
        <v>57</v>
      </c>
      <c r="D214" s="21" t="s">
        <v>937</v>
      </c>
      <c r="E214" s="22" t="s">
        <v>938</v>
      </c>
      <c r="F214" s="21" t="s">
        <v>944</v>
      </c>
      <c r="G214" s="23" t="s">
        <v>944</v>
      </c>
      <c r="H214" s="20" t="str">
        <f>SUBSTITUTE(SUBSTITUTE(SUBSTITUTE(S214,"/@","_"),"/cac:","_"),"/cbc:","_")</f>
        <v/>
      </c>
      <c r="I214" s="20" t="str">
        <f>SUBSTITUTE(SUBSTITUTE(SUBSTITUTE(T214,"/@","_"),"/cac:","_"),"/cbc:","_")</f>
        <v>【未匹配】已在 Invoice.Details 中沿“交付/支付”语义域检索：存在 Delivery、DeliveryTerms、PaymentMeans、PaymentTerms 等结构，但其含义是“交付信息/支付方式/支付条款”，不表达“推送成功/推送中/推送失败/部分成功”等交付流程状态码。</v>
      </c>
      <c r="J214" s="19"/>
      <c r="K214" s="19"/>
      <c r="L214" s="25">
        <v>30</v>
      </c>
      <c r="M214" s="25" t="s">
        <v>941</v>
      </c>
      <c r="N214" s="20"/>
      <c r="O214" s="19"/>
      <c r="P214" s="20"/>
      <c r="Q214" s="26" t="str">
        <f>IF(S214="","",LEN(S214)-LEN(SUBSTITUTE(S214,"/",""))+IF(ISNUMBER(SEARCH("@",S214)),0,1))</f>
        <v/>
      </c>
      <c r="R214" s="26"/>
      <c r="S214" s="19"/>
      <c r="T214" s="19" t="s">
        <v>946</v>
      </c>
      <c r="U214" s="20"/>
      <c r="V214" s="25" t="s">
        <v>947</v>
      </c>
      <c r="W214" s="20"/>
      <c r="X214" s="46"/>
      <c r="Y214" s="20"/>
      <c r="Z214" s="20"/>
      <c r="AA214" s="20"/>
      <c r="AB214" s="20" t="str">
        <f>IF(ISBLANK(S214),"是","否")</f>
        <v>是</v>
      </c>
      <c r="AC214" s="20"/>
      <c r="AD214" s="25"/>
      <c r="AE214" s="25"/>
      <c r="AF214" s="24">
        <v>47</v>
      </c>
      <c r="AG214" s="25" t="s">
        <v>944</v>
      </c>
      <c r="AH214" s="20"/>
      <c r="AI214" s="24"/>
      <c r="AJ214" s="25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</row>
    <row r="215" ht="122.16541353383457" customHeight="1" spans="1:57" x14ac:dyDescent="0.25">
      <c r="A215" s="20" t="s">
        <v>67</v>
      </c>
      <c r="B215" s="27"/>
      <c r="C215" s="20" t="s">
        <v>57</v>
      </c>
      <c r="D215" s="21" t="s">
        <v>937</v>
      </c>
      <c r="E215" s="22" t="s">
        <v>938</v>
      </c>
      <c r="F215" s="21" t="s">
        <v>948</v>
      </c>
      <c r="G215" s="23" t="s">
        <v>948</v>
      </c>
      <c r="H215" s="20" t="str">
        <f>SUBSTITUTE(SUBSTITUTE(SUBSTITUTE(S215,"/@","_"),"/cac:","_"),"/cbc:","_")</f>
        <v/>
      </c>
      <c r="I215" s="20" t="str">
        <f>SUBSTITUTE(SUBSTITUTE(SUBSTITUTE(T215,"/@","_"),"/cac:","_"),"/cbc:","_")</f>
        <v>【未匹配】已在 Invoice.Details 检索“开票”相关头字段：可见 IssueDate/IssueTime 表达“签发日期/时间”，但未出现与“未开票/开票中/已提交/校验通过/失败”等处理阶段同义的状态字段，无法匹配。</v>
      </c>
      <c r="J215" s="19"/>
      <c r="K215" s="19"/>
      <c r="L215" s="25">
        <v>30</v>
      </c>
      <c r="M215" s="25" t="s">
        <v>941</v>
      </c>
      <c r="N215" s="20"/>
      <c r="O215" s="19"/>
      <c r="P215" s="20"/>
      <c r="Q215" s="26" t="str">
        <f>IF(S215="","",LEN(S215)-LEN(SUBSTITUTE(S215,"/",""))+IF(ISNUMBER(SEARCH("@",S215)),0,1))</f>
        <v/>
      </c>
      <c r="R215" s="26"/>
      <c r="S215" s="19"/>
      <c r="T215" s="19" t="s">
        <v>950</v>
      </c>
      <c r="U215" s="20"/>
      <c r="V215" s="25" t="s">
        <v>951</v>
      </c>
      <c r="W215" s="20"/>
      <c r="X215" s="46"/>
      <c r="Y215" s="20"/>
      <c r="Z215" s="20"/>
      <c r="AA215" s="20"/>
      <c r="AB215" s="20" t="str">
        <f>IF(ISBLANK(S215),"是","否")</f>
        <v>是</v>
      </c>
      <c r="AC215" s="20"/>
      <c r="AD215" s="25"/>
      <c r="AE215" s="25"/>
      <c r="AF215" s="24">
        <v>77</v>
      </c>
      <c r="AG215" s="25" t="s">
        <v>948</v>
      </c>
      <c r="AH215" s="20"/>
      <c r="AI215" s="24"/>
      <c r="AJ215" s="25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</row>
    <row r="216" ht="132.45112781954887" customHeight="1" spans="1:57" x14ac:dyDescent="0.25">
      <c r="A216" s="20" t="s">
        <v>67</v>
      </c>
      <c r="B216" s="27"/>
      <c r="C216" s="20" t="s">
        <v>57</v>
      </c>
      <c r="D216" s="21" t="s">
        <v>937</v>
      </c>
      <c r="E216" s="22" t="s">
        <v>938</v>
      </c>
      <c r="F216" s="21" t="s">
        <v>952</v>
      </c>
      <c r="G216" s="23" t="s">
        <v>952</v>
      </c>
      <c r="H216" s="20" t="str">
        <f>SUBSTITUTE(SUBSTITUTE(SUBSTITUTE(S216,"/@","_"),"/cac:","_"),"/cbc:","_")</f>
        <v/>
      </c>
      <c r="I216" s="20" t="str">
        <f>SUBSTITUTE(SUBSTITUTE(SUBSTITUTE(T216,"/@","_"),"/cac:","_"),"/cbc:","_")</f>
        <v>【未匹配】已在 Invoice.Details 检索“审批/签署”相关字段：存在 Signature（对文档的签名），其语义为“签名对象/签名应用”，不等同于“暂存/已提交/已审核/无需审批”等审批流程状态，无法语义落位。</v>
      </c>
      <c r="J216" s="19"/>
      <c r="K216" s="19"/>
      <c r="L216" s="25">
        <v>30</v>
      </c>
      <c r="M216" s="25" t="s">
        <v>941</v>
      </c>
      <c r="N216" s="20"/>
      <c r="O216" s="19"/>
      <c r="P216" s="20"/>
      <c r="Q216" s="26" t="str">
        <f>IF(S216="","",LEN(S216)-LEN(SUBSTITUTE(S216,"/",""))+IF(ISNUMBER(SEARCH("@",S216)),0,1))</f>
        <v/>
      </c>
      <c r="R216" s="26"/>
      <c r="S216" s="19"/>
      <c r="T216" s="19" t="s">
        <v>954</v>
      </c>
      <c r="U216" s="20"/>
      <c r="V216" s="25" t="s">
        <v>955</v>
      </c>
      <c r="W216" s="20"/>
      <c r="X216" s="46"/>
      <c r="Y216" s="20"/>
      <c r="Z216" s="20"/>
      <c r="AA216" s="20"/>
      <c r="AB216" s="20" t="str">
        <f>IF(ISBLANK(S216),"是","否")</f>
        <v>是</v>
      </c>
      <c r="AC216" s="20"/>
      <c r="AD216" s="25"/>
      <c r="AE216" s="25"/>
      <c r="AF216" s="24">
        <v>79</v>
      </c>
      <c r="AG216" s="25" t="s">
        <v>952</v>
      </c>
      <c r="AH216" s="20"/>
      <c r="AI216" s="24"/>
      <c r="AJ216" s="25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</row>
    <row r="217" ht="29.59398496240601" customHeight="1" spans="1:57" x14ac:dyDescent="0.25">
      <c r="A217" s="20" t="s">
        <v>682</v>
      </c>
      <c r="B217" s="27"/>
      <c r="C217" s="20" t="s">
        <v>57</v>
      </c>
      <c r="D217" s="21" t="s">
        <v>937</v>
      </c>
      <c r="E217" s="22" t="s">
        <v>938</v>
      </c>
      <c r="F217" s="31" t="s">
        <v>956</v>
      </c>
      <c r="G217" s="34" t="s">
        <v>956</v>
      </c>
      <c r="H217" s="20" t="str">
        <f>SUBSTITUTE(SUBSTITUTE(SUBSTITUTE(S217,"/@","_"),"/cac:","_"),"/cbc:","_")</f>
        <v/>
      </c>
      <c r="I217" s="20" t="str">
        <f>SUBSTITUTE(SUBSTITUTE(SUBSTITUTE(T217,"/@","_"),"/cac:","_"),"/cbc:","_")</f>
        <v/>
      </c>
      <c r="J217" s="25"/>
      <c r="K217" s="25" t="s">
        <v>958</v>
      </c>
      <c r="L217" s="25" t="s">
        <v>959</v>
      </c>
      <c r="M217" s="25" t="s">
        <v>941</v>
      </c>
      <c r="N217" s="27"/>
      <c r="O217" s="25"/>
      <c r="P217" s="27"/>
      <c r="Q217" s="26" t="str">
        <f>IF(S217="","",LEN(S217)-LEN(SUBSTITUTE(S217,"/",""))+IF(ISNUMBER(SEARCH("@",S217)),0,1))</f>
        <v/>
      </c>
      <c r="R217" s="42"/>
      <c r="S217" s="25"/>
      <c r="T217" s="20"/>
      <c r="U217" s="20"/>
      <c r="V217" s="25" t="s">
        <v>960</v>
      </c>
      <c r="W217" s="25"/>
      <c r="X217" s="46"/>
      <c r="Y217" s="20"/>
      <c r="Z217" s="20"/>
      <c r="AA217" s="25"/>
      <c r="AB217" s="20" t="str">
        <f>IF(ISBLANK(S217),"是","否")</f>
        <v>是</v>
      </c>
      <c r="AC217" s="20"/>
      <c r="AD217" s="25"/>
      <c r="AE217" s="25"/>
      <c r="AF217" s="24">
        <v>97</v>
      </c>
      <c r="AG217" s="25" t="s">
        <v>956</v>
      </c>
      <c r="AH217" s="20" t="s">
        <v>653</v>
      </c>
      <c r="AI217" s="24"/>
      <c r="AJ217" s="25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</row>
    <row r="218" ht="122.16541353383457" customHeight="1" spans="1:57" x14ac:dyDescent="0.25">
      <c r="A218" s="20" t="s">
        <v>67</v>
      </c>
      <c r="B218" s="27"/>
      <c r="C218" s="20" t="s">
        <v>57</v>
      </c>
      <c r="D218" s="21" t="s">
        <v>58</v>
      </c>
      <c r="E218" s="22" t="s">
        <v>59</v>
      </c>
      <c r="F218" s="21" t="s">
        <v>961</v>
      </c>
      <c r="G218" s="23" t="s">
        <v>961</v>
      </c>
      <c r="H218" s="20" t="str">
        <f>SUBSTITUTE(SUBSTITUTE(SUBSTITUTE(S218,"/@","_"),"/cac:","_"),"/cbc:","_")</f>
        <v/>
      </c>
      <c r="I218" s="20" t="str">
        <f>SUBSTITUTE(SUBSTITUTE(SUBSTITUTE(T218,"/@","_"),"/cac:","_"),"/cbc:","_")</f>
        <v>【未匹配】已在 Invoice.Details 检索“标志位/指示器”类字段：存在 CopyIndicator，但其 Rep. Term 为“是否副本(true/false)”，与“作废标志（票是否已作废）”不一致，因此不能用作作废标识字段。</v>
      </c>
      <c r="J218" s="19"/>
      <c r="K218" s="19"/>
      <c r="L218" s="24"/>
      <c r="M218" s="25" t="s">
        <v>93</v>
      </c>
      <c r="N218" s="20" t="s">
        <v>3013</v>
      </c>
      <c r="O218" s="19"/>
      <c r="P218" s="20"/>
      <c r="Q218" s="26" t="str">
        <f>IF(S218="","",LEN(S218)-LEN(SUBSTITUTE(S218,"/",""))+IF(ISNUMBER(SEARCH("@",S218)),0,1))</f>
        <v/>
      </c>
      <c r="R218" s="26"/>
      <c r="S218" s="19"/>
      <c r="T218" s="19" t="s">
        <v>963</v>
      </c>
      <c r="U218" s="20"/>
      <c r="V218" s="20"/>
      <c r="W218" s="20"/>
      <c r="X218" s="46"/>
      <c r="Y218" s="20"/>
      <c r="Z218" s="20"/>
      <c r="AA218" s="20"/>
      <c r="AB218" s="20" t="str">
        <f>IF(ISBLANK(S218),"是","否")</f>
        <v>是</v>
      </c>
      <c r="AC218" s="20" t="s">
        <v>76</v>
      </c>
      <c r="AD218" s="24">
        <v>65</v>
      </c>
      <c r="AE218" s="25" t="s">
        <v>961</v>
      </c>
      <c r="AH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</row>
    <row r="219" ht="81.02255639097744" customHeight="1" spans="1:57" x14ac:dyDescent="0.25">
      <c r="A219" s="20" t="s">
        <v>67</v>
      </c>
      <c r="B219" s="27"/>
      <c r="C219" s="20" t="s">
        <v>57</v>
      </c>
      <c r="D219" s="21" t="s">
        <v>58</v>
      </c>
      <c r="E219" s="22" t="s">
        <v>59</v>
      </c>
      <c r="F219" s="21" t="s">
        <v>964</v>
      </c>
      <c r="G219" s="23" t="s">
        <v>964</v>
      </c>
      <c r="H219" s="20" t="str">
        <f>SUBSTITUTE(SUBSTITUTE(SUBSTITUTE(S219,"/@","_"),"/cac:","_"),"/cbc:","_")</f>
        <v/>
      </c>
      <c r="I219" s="20" t="str">
        <f>SUBSTITUTE(SUBSTITUTE(SUBSTITUTE(T219,"/@","_"),"/cac:","_"),"/cbc:","_")</f>
        <v>Invoice 提供 IssueDate/IssueTime（开具日期/时间）等日期字段，但未出现“作废/失效日期”语义的独立行；因此不强行映射。</v>
      </c>
      <c r="J219" s="19"/>
      <c r="K219" s="19"/>
      <c r="L219" s="24"/>
      <c r="M219" s="25" t="s">
        <v>124</v>
      </c>
      <c r="N219" s="20" t="s">
        <v>3013</v>
      </c>
      <c r="O219" s="19"/>
      <c r="P219" s="20"/>
      <c r="Q219" s="26" t="str">
        <f>IF(S219="","",LEN(S219)-LEN(SUBSTITUTE(S219,"/",""))+IF(ISNUMBER(SEARCH("@",S219)),0,1))</f>
        <v/>
      </c>
      <c r="R219" s="26"/>
      <c r="S219" s="19"/>
      <c r="T219" s="19" t="s">
        <v>966</v>
      </c>
      <c r="U219" s="20"/>
      <c r="V219" s="20"/>
      <c r="W219" s="20"/>
      <c r="X219" s="46"/>
      <c r="Y219" s="20"/>
      <c r="Z219" s="20"/>
      <c r="AA219" s="20"/>
      <c r="AB219" s="20" t="str">
        <f>IF(ISBLANK(S219),"是","否")</f>
        <v>是</v>
      </c>
      <c r="AC219" s="20" t="s">
        <v>76</v>
      </c>
      <c r="AD219" s="24">
        <v>66</v>
      </c>
      <c r="AE219" s="25" t="s">
        <v>964</v>
      </c>
      <c r="AF219" s="24">
        <v>46</v>
      </c>
      <c r="AG219" s="25" t="s">
        <v>964</v>
      </c>
      <c r="AH219" s="20"/>
      <c r="AI219" s="24"/>
      <c r="AJ219" s="25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</row>
    <row r="220" ht="81.02255639097744" customHeight="1" spans="1:57" x14ac:dyDescent="0.25">
      <c r="A220" s="20" t="s">
        <v>67</v>
      </c>
      <c r="B220" s="27"/>
      <c r="C220" s="20" t="s">
        <v>57</v>
      </c>
      <c r="D220" s="21" t="s">
        <v>58</v>
      </c>
      <c r="E220" s="22" t="s">
        <v>59</v>
      </c>
      <c r="F220" s="21" t="s">
        <v>967</v>
      </c>
      <c r="G220" s="23" t="s">
        <v>967</v>
      </c>
      <c r="H220" s="20" t="str">
        <f>SUBSTITUTE(SUBSTITUTE(SUBSTITUTE(S220,"/@","_"),"/cac:","_"),"/cbc:","_")</f>
        <v/>
      </c>
      <c r="I220" s="20" t="str">
        <f>SUBSTITUTE(SUBSTITUTE(SUBSTITUTE(T220,"/@","_"),"/cac:","_"),"/cbc:","_")</f>
        <v>最接近的是 CopyIndicator（是否为副本 true/false），其语义是“副本标识”而非“打印流程状态”；因此不匹配。</v>
      </c>
      <c r="J220" s="19"/>
      <c r="K220" s="19"/>
      <c r="L220" s="25"/>
      <c r="M220" s="25" t="s">
        <v>93</v>
      </c>
      <c r="N220" s="20" t="s">
        <v>3013</v>
      </c>
      <c r="O220" s="19"/>
      <c r="P220" s="20"/>
      <c r="Q220" s="26" t="str">
        <f>IF(S220="","",LEN(S220)-LEN(SUBSTITUTE(S220,"/",""))+IF(ISNUMBER(SEARCH("@",S220)),0,1))</f>
        <v/>
      </c>
      <c r="R220" s="26"/>
      <c r="S220" s="19"/>
      <c r="T220" s="19" t="s">
        <v>969</v>
      </c>
      <c r="U220" s="20"/>
      <c r="V220" s="25"/>
      <c r="W220" s="20"/>
      <c r="X220" s="46"/>
      <c r="Y220" s="20"/>
      <c r="Z220" s="20"/>
      <c r="AA220" s="20"/>
      <c r="AB220" s="20" t="str">
        <f>IF(ISBLANK(S220),"是","否")</f>
        <v>是</v>
      </c>
      <c r="AC220" s="20" t="s">
        <v>76</v>
      </c>
      <c r="AD220" s="24">
        <v>69</v>
      </c>
      <c r="AE220" s="25" t="s">
        <v>967</v>
      </c>
      <c r="AH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</row>
    <row r="221" ht="39.879699248120296" customHeight="1" spans="1:57" x14ac:dyDescent="0.25">
      <c r="A221" s="20" t="s">
        <v>682</v>
      </c>
      <c r="B221" s="19" t="s">
        <v>41</v>
      </c>
      <c r="C221" s="20" t="s">
        <v>57</v>
      </c>
      <c r="D221" s="21"/>
      <c r="E221" s="22"/>
      <c r="F221" s="21" t="s">
        <v>970</v>
      </c>
      <c r="G221" s="29" t="s">
        <v>971</v>
      </c>
      <c r="H221" s="20" t="str">
        <f>SUBSTITUTE(SUBSTITUTE(SUBSTITUTE(S221,"/@","_"),"/cac:","_"),"/cbc:","_")</f>
        <v>Invoice_TaxExchangeRate</v>
      </c>
      <c r="I221" s="20" t="str">
        <f>SUBSTITUTE(SUBSTITUTE(SUBSTITUTE(T221,"/@","_"),"/cac:","_"),"/cbc:","_")</f>
        <v/>
      </c>
      <c r="J221" s="25" t="s">
        <v>973</v>
      </c>
      <c r="K221" s="25" t="s">
        <v>974</v>
      </c>
      <c r="L221" s="25" t="s">
        <v>975</v>
      </c>
      <c r="M221" s="25" t="s">
        <v>220</v>
      </c>
      <c r="N221" s="27" t="s">
        <v>64</v>
      </c>
      <c r="O221" s="25" t="s">
        <v>64</v>
      </c>
      <c r="P221" s="27" t="s">
        <v>3014</v>
      </c>
      <c r="Q221" s="26" t="str">
        <f>IF(S221="","",LEN(S221)-LEN(SUBSTITUTE(S221,"/",""))+IF(ISNUMBER(SEARCH("@",S221)),0,1))</f>
        <v>2</v>
      </c>
      <c r="R221" s="42" t="s">
        <v>976</v>
      </c>
      <c r="S221" s="25" t="s">
        <v>976</v>
      </c>
      <c r="T221" s="20"/>
      <c r="U221" s="20"/>
      <c r="V221" s="25"/>
      <c r="W221" s="25" t="s">
        <v>681</v>
      </c>
      <c r="X221" s="46"/>
      <c r="Y221" s="20"/>
      <c r="Z221" s="20"/>
      <c r="AA221" s="25" t="s">
        <v>222</v>
      </c>
      <c r="AB221" s="20" t="str">
        <f>IF(ISBLANK(S221),"是","否")</f>
        <v>否</v>
      </c>
      <c r="AC221" s="20"/>
      <c r="AD221" s="25"/>
      <c r="AE221" s="25"/>
      <c r="AH221" s="20" t="s">
        <v>76</v>
      </c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</row>
    <row r="222" ht="39.879699248120296" customHeight="1" spans="1:57" x14ac:dyDescent="0.25">
      <c r="A222" s="20" t="s">
        <v>682</v>
      </c>
      <c r="B222" s="19" t="s">
        <v>977</v>
      </c>
      <c r="C222" s="20" t="s">
        <v>57</v>
      </c>
      <c r="D222" s="21"/>
      <c r="E222" s="22"/>
      <c r="F222" s="21" t="s">
        <v>978</v>
      </c>
      <c r="G222" s="29" t="s">
        <v>979</v>
      </c>
      <c r="H222" s="20" t="str">
        <f>SUBSTITUTE(SUBSTITUTE(SUBSTITUTE(S222,"/@","_"),"/cac:","_"),"/cbc:","_")</f>
        <v>Invoice_TaxExchangeRate_SourceCurrencyCode</v>
      </c>
      <c r="I222" s="20" t="str">
        <f>SUBSTITUTE(SUBSTITUTE(SUBSTITUTE(T222,"/@","_"),"/cac:","_"),"/cbc:","_")</f>
        <v/>
      </c>
      <c r="J222" s="25" t="s">
        <v>981</v>
      </c>
      <c r="K222" s="25" t="s">
        <v>982</v>
      </c>
      <c r="L222" s="25" t="s">
        <v>983</v>
      </c>
      <c r="M222" s="25" t="s">
        <v>243</v>
      </c>
      <c r="N222" s="27" t="s">
        <v>165</v>
      </c>
      <c r="O222" s="25">
        <v>1</v>
      </c>
      <c r="P222" s="27" t="s">
        <v>50</v>
      </c>
      <c r="Q222" s="26" t="str">
        <f>IF(S222="","",LEN(S222)-LEN(SUBSTITUTE(S222,"/",""))+IF(ISNUMBER(SEARCH("@",S222)),0,1))</f>
        <v>3</v>
      </c>
      <c r="R222" s="42" t="s">
        <v>984</v>
      </c>
      <c r="S222" s="25" t="s">
        <v>984</v>
      </c>
      <c r="T222" s="20"/>
      <c r="U222" s="20"/>
      <c r="V222" s="25"/>
      <c r="W222" s="25" t="s">
        <v>985</v>
      </c>
      <c r="X222" s="46"/>
      <c r="Y222" s="20"/>
      <c r="Z222" s="20"/>
      <c r="AA222" s="25" t="s">
        <v>68</v>
      </c>
      <c r="AB222" s="20" t="str">
        <f>IF(ISBLANK(S222),"是","否")</f>
        <v>否</v>
      </c>
      <c r="AC222" s="20"/>
      <c r="AD222" s="25"/>
      <c r="AE222" s="25"/>
      <c r="AH222" s="20" t="s">
        <v>76</v>
      </c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</row>
    <row r="223" ht="39.879699248120296" customHeight="1" spans="1:57" x14ac:dyDescent="0.25">
      <c r="A223" s="20" t="s">
        <v>682</v>
      </c>
      <c r="B223" s="19" t="s">
        <v>977</v>
      </c>
      <c r="C223" s="20" t="s">
        <v>57</v>
      </c>
      <c r="D223" s="21"/>
      <c r="E223" s="22"/>
      <c r="F223" s="21" t="s">
        <v>986</v>
      </c>
      <c r="G223" s="29" t="s">
        <v>987</v>
      </c>
      <c r="H223" s="20" t="str">
        <f>SUBSTITUTE(SUBSTITUTE(SUBSTITUTE(S223,"/@","_"),"/cac:","_"),"/cbc:","_")</f>
        <v>Invoice_TaxExchangeRate_TargetCurrencyCode</v>
      </c>
      <c r="I223" s="20" t="str">
        <f>SUBSTITUTE(SUBSTITUTE(SUBSTITUTE(T223,"/@","_"),"/cac:","_"),"/cbc:","_")</f>
        <v/>
      </c>
      <c r="J223" s="25" t="s">
        <v>989</v>
      </c>
      <c r="K223" s="25" t="s">
        <v>990</v>
      </c>
      <c r="L223" s="25" t="s">
        <v>991</v>
      </c>
      <c r="M223" s="25" t="s">
        <v>243</v>
      </c>
      <c r="N223" s="27" t="s">
        <v>165</v>
      </c>
      <c r="O223" s="25">
        <v>1</v>
      </c>
      <c r="P223" s="27" t="s">
        <v>50</v>
      </c>
      <c r="Q223" s="26" t="str">
        <f>IF(S223="","",LEN(S223)-LEN(SUBSTITUTE(S223,"/",""))+IF(ISNUMBER(SEARCH("@",S223)),0,1))</f>
        <v>3</v>
      </c>
      <c r="R223" s="42" t="s">
        <v>992</v>
      </c>
      <c r="S223" s="25" t="s">
        <v>992</v>
      </c>
      <c r="T223" s="20"/>
      <c r="U223" s="20"/>
      <c r="V223" s="25"/>
      <c r="W223" s="25" t="s">
        <v>993</v>
      </c>
      <c r="X223" s="46"/>
      <c r="Y223" s="20"/>
      <c r="Z223" s="20"/>
      <c r="AA223" s="25" t="s">
        <v>68</v>
      </c>
      <c r="AB223" s="20" t="str">
        <f>IF(ISBLANK(S223),"是","否")</f>
        <v>否</v>
      </c>
      <c r="AC223" s="20"/>
      <c r="AD223" s="25"/>
      <c r="AE223" s="25"/>
      <c r="AH223" s="20" t="s">
        <v>76</v>
      </c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</row>
    <row r="224" ht="29.59398496240601" customHeight="1" spans="1:57" x14ac:dyDescent="0.25">
      <c r="A224" s="20" t="s">
        <v>682</v>
      </c>
      <c r="B224" s="19" t="s">
        <v>977</v>
      </c>
      <c r="C224" s="20" t="s">
        <v>57</v>
      </c>
      <c r="D224" s="21"/>
      <c r="E224" s="22"/>
      <c r="F224" s="21" t="s">
        <v>994</v>
      </c>
      <c r="G224" s="29" t="s">
        <v>995</v>
      </c>
      <c r="H224" s="20" t="str">
        <f>SUBSTITUTE(SUBSTITUTE(SUBSTITUTE(S224,"/@","_"),"/cac:","_"),"/cbc:","_")</f>
        <v>Invoice_TaxExchangeRate_CalculationRate</v>
      </c>
      <c r="I224" s="20" t="str">
        <f>SUBSTITUTE(SUBSTITUTE(SUBSTITUTE(T224,"/@","_"),"/cac:","_"),"/cbc:","_")</f>
        <v/>
      </c>
      <c r="J224" s="25" t="s">
        <v>997</v>
      </c>
      <c r="K224" s="25" t="s">
        <v>998</v>
      </c>
      <c r="L224" s="25" t="s">
        <v>999</v>
      </c>
      <c r="M224" s="25" t="s">
        <v>1000</v>
      </c>
      <c r="N224" s="27" t="s">
        <v>165</v>
      </c>
      <c r="O224" s="25" t="s">
        <v>64</v>
      </c>
      <c r="P224" s="27" t="s">
        <v>50</v>
      </c>
      <c r="Q224" s="26" t="str">
        <f>IF(S224="","",LEN(S224)-LEN(SUBSTITUTE(S224,"/",""))+IF(ISNUMBER(SEARCH("@",S224)),0,1))</f>
        <v>3</v>
      </c>
      <c r="R224" s="42" t="s">
        <v>1001</v>
      </c>
      <c r="S224" s="25" t="s">
        <v>1001</v>
      </c>
      <c r="T224" s="20"/>
      <c r="U224" s="20"/>
      <c r="V224" s="25"/>
      <c r="W224" s="25">
        <v>7.1234</v>
      </c>
      <c r="X224" s="46"/>
      <c r="Y224" s="20"/>
      <c r="Z224" s="20"/>
      <c r="AA224" s="25" t="s">
        <v>68</v>
      </c>
      <c r="AB224" s="20" t="str">
        <f>IF(ISBLANK(S224),"是","否")</f>
        <v>否</v>
      </c>
      <c r="AC224" s="20"/>
      <c r="AD224" s="25"/>
      <c r="AE224" s="25"/>
      <c r="AH224" s="20" t="s">
        <v>76</v>
      </c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</row>
    <row r="225" ht="39.879699248120296" customHeight="1" spans="1:57" x14ac:dyDescent="0.25">
      <c r="A225" s="20" t="s">
        <v>682</v>
      </c>
      <c r="B225" s="19" t="s">
        <v>977</v>
      </c>
      <c r="C225" s="20" t="s">
        <v>57</v>
      </c>
      <c r="D225" s="21"/>
      <c r="E225" s="22"/>
      <c r="F225" s="21" t="s">
        <v>1002</v>
      </c>
      <c r="G225" s="29" t="s">
        <v>1003</v>
      </c>
      <c r="H225" s="20" t="str">
        <f>SUBSTITUTE(SUBSTITUTE(SUBSTITUTE(S225,"/@","_"),"/cac:","_"),"/cbc:","_")</f>
        <v>Invoice_TaxExchangeRate_MathematicOperatorCode</v>
      </c>
      <c r="I225" s="20" t="str">
        <f>SUBSTITUTE(SUBSTITUTE(SUBSTITUTE(T225,"/@","_"),"/cac:","_"),"/cbc:","_")</f>
        <v/>
      </c>
      <c r="J225" s="25" t="s">
        <v>1005</v>
      </c>
      <c r="K225" s="25" t="s">
        <v>1006</v>
      </c>
      <c r="L225" s="25" t="s">
        <v>1007</v>
      </c>
      <c r="M225" s="25" t="s">
        <v>243</v>
      </c>
      <c r="N225" s="27" t="s">
        <v>165</v>
      </c>
      <c r="O225" s="25" t="s">
        <v>64</v>
      </c>
      <c r="P225" s="27" t="s">
        <v>50</v>
      </c>
      <c r="Q225" s="26" t="str">
        <f>IF(S225="","",LEN(S225)-LEN(SUBSTITUTE(S225,"/",""))+IF(ISNUMBER(SEARCH("@",S225)),0,1))</f>
        <v>3</v>
      </c>
      <c r="R225" s="42" t="s">
        <v>1008</v>
      </c>
      <c r="S225" s="25" t="s">
        <v>1008</v>
      </c>
      <c r="T225" s="20"/>
      <c r="U225" s="20"/>
      <c r="V225" s="25"/>
      <c r="W225" s="25" t="s">
        <v>1009</v>
      </c>
      <c r="X225" s="46"/>
      <c r="Y225" s="20"/>
      <c r="Z225" s="20"/>
      <c r="AA225" s="25" t="s">
        <v>68</v>
      </c>
      <c r="AB225" s="20" t="str">
        <f>IF(ISBLANK(S225),"是","否")</f>
        <v>否</v>
      </c>
      <c r="AC225" s="20"/>
      <c r="AD225" s="25"/>
      <c r="AE225" s="25"/>
      <c r="AH225" s="20" t="s">
        <v>76</v>
      </c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</row>
    <row r="226" ht="29.59398496240601" customHeight="1" spans="1:57" x14ac:dyDescent="0.25">
      <c r="A226" s="20" t="s">
        <v>682</v>
      </c>
      <c r="B226" s="19" t="s">
        <v>977</v>
      </c>
      <c r="C226" s="20" t="s">
        <v>57</v>
      </c>
      <c r="D226" s="21"/>
      <c r="E226" s="22"/>
      <c r="F226" s="21" t="s">
        <v>1010</v>
      </c>
      <c r="G226" s="29" t="s">
        <v>1011</v>
      </c>
      <c r="H226" s="20" t="str">
        <f>SUBSTITUTE(SUBSTITUTE(SUBSTITUTE(S226,"/@","_"),"/cac:","_"),"/cbc:","_")</f>
        <v>Invoice_TaxExchangeRate_Date</v>
      </c>
      <c r="I226" s="20" t="str">
        <f>SUBSTITUTE(SUBSTITUTE(SUBSTITUTE(T226,"/@","_"),"/cac:","_"),"/cbc:","_")</f>
        <v/>
      </c>
      <c r="J226" s="25" t="s">
        <v>1013</v>
      </c>
      <c r="K226" s="25" t="s">
        <v>1014</v>
      </c>
      <c r="L226" s="25" t="s">
        <v>1015</v>
      </c>
      <c r="M226" s="25" t="s">
        <v>1016</v>
      </c>
      <c r="N226" s="27" t="s">
        <v>64</v>
      </c>
      <c r="O226" s="25" t="s">
        <v>64</v>
      </c>
      <c r="P226" s="27" t="s">
        <v>50</v>
      </c>
      <c r="Q226" s="26" t="str">
        <f>IF(S226="","",LEN(S226)-LEN(SUBSTITUTE(S226,"/",""))+IF(ISNUMBER(SEARCH("@",S226)),0,1))</f>
        <v>3</v>
      </c>
      <c r="R226" s="42" t="s">
        <v>1017</v>
      </c>
      <c r="S226" s="25" t="s">
        <v>1017</v>
      </c>
      <c r="T226" s="20"/>
      <c r="U226" s="20"/>
      <c r="V226" s="25"/>
      <c r="W226" s="20" t="s">
        <v>1018</v>
      </c>
      <c r="X226" s="46"/>
      <c r="Y226" s="20"/>
      <c r="Z226" s="20"/>
      <c r="AA226" s="25" t="s">
        <v>68</v>
      </c>
      <c r="AB226" s="20" t="str">
        <f>IF(ISBLANK(S226),"是","否")</f>
        <v>否</v>
      </c>
      <c r="AC226" s="20"/>
      <c r="AD226" s="25"/>
      <c r="AE226" s="25"/>
      <c r="AF226" s="24">
        <v>258</v>
      </c>
      <c r="AG226" s="25" t="s">
        <v>1019</v>
      </c>
      <c r="AH226" s="20" t="s">
        <v>76</v>
      </c>
      <c r="AI226" s="24"/>
      <c r="AJ226" s="25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</row>
    <row r="227" ht="39.879699248120296" customHeight="1" spans="1:57" x14ac:dyDescent="0.25">
      <c r="A227" s="20" t="s">
        <v>682</v>
      </c>
      <c r="B227" s="19" t="s">
        <v>41</v>
      </c>
      <c r="C227" s="20" t="s">
        <v>57</v>
      </c>
      <c r="D227" s="21"/>
      <c r="E227" s="22"/>
      <c r="F227" s="21" t="s">
        <v>109</v>
      </c>
      <c r="G227" s="29" t="s">
        <v>109</v>
      </c>
      <c r="H227" s="20" t="str">
        <f>SUBSTITUTE(SUBSTITUTE(SUBSTITUTE(S227,"/@","_"),"/cac:","_"),"/cbc:","_")</f>
        <v>Invoice_TaxTotal</v>
      </c>
      <c r="I227" s="20" t="str">
        <f>SUBSTITUTE(SUBSTITUTE(SUBSTITUTE(T227,"/@","_"),"/cac:","_"),"/cbc:","_")</f>
        <v/>
      </c>
      <c r="J227" s="25" t="s">
        <v>1021</v>
      </c>
      <c r="K227" s="25" t="s">
        <v>1022</v>
      </c>
      <c r="L227" s="25" t="s">
        <v>1023</v>
      </c>
      <c r="M227" s="25" t="s">
        <v>220</v>
      </c>
      <c r="N227" s="27" t="s">
        <v>165</v>
      </c>
      <c r="O227" s="25" t="s">
        <v>1024</v>
      </c>
      <c r="P227" s="27" t="s">
        <v>3014</v>
      </c>
      <c r="Q227" s="26" t="str">
        <f>IF(S227="","",LEN(S227)-LEN(SUBSTITUTE(S227,"/",""))+IF(ISNUMBER(SEARCH("@",S227)),0,1))</f>
        <v>2</v>
      </c>
      <c r="R227" s="42" t="s">
        <v>1025</v>
      </c>
      <c r="S227" s="25" t="s">
        <v>1025</v>
      </c>
      <c r="T227" s="20"/>
      <c r="U227" s="20"/>
      <c r="V227" s="25"/>
      <c r="W227" s="25" t="s">
        <v>681</v>
      </c>
      <c r="X227" s="46"/>
      <c r="Y227" s="20"/>
      <c r="Z227" s="20"/>
      <c r="AA227" s="25" t="s">
        <v>222</v>
      </c>
      <c r="AB227" s="20" t="str">
        <f>IF(ISBLANK(S227),"是","否")</f>
        <v>否</v>
      </c>
      <c r="AC227" s="20"/>
      <c r="AD227" s="25"/>
      <c r="AE227" s="25"/>
      <c r="AH227" s="20" t="s">
        <v>76</v>
      </c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</row>
    <row r="228" ht="39.879699248120296" customHeight="1" spans="1:57" x14ac:dyDescent="0.25">
      <c r="A228" s="20" t="s">
        <v>682</v>
      </c>
      <c r="B228" s="19" t="s">
        <v>109</v>
      </c>
      <c r="C228" s="20" t="s">
        <v>57</v>
      </c>
      <c r="D228" s="21"/>
      <c r="E228" s="22"/>
      <c r="F228" s="21" t="s">
        <v>1026</v>
      </c>
      <c r="G228" s="29" t="s">
        <v>1027</v>
      </c>
      <c r="H228" s="20" t="str">
        <f>SUBSTITUTE(SUBSTITUTE(SUBSTITUTE(S228,"/@","_"),"/cac:","_"),"/cbc:","_")</f>
        <v>Invoice_TaxTotal_TaxAmount</v>
      </c>
      <c r="I228" s="20" t="str">
        <f>SUBSTITUTE(SUBSTITUTE(SUBSTITUTE(T228,"/@","_"),"/cac:","_"),"/cbc:","_")</f>
        <v/>
      </c>
      <c r="J228" s="25" t="s">
        <v>1028</v>
      </c>
      <c r="K228" s="25" t="s">
        <v>1029</v>
      </c>
      <c r="L228" s="25" t="s">
        <v>1030</v>
      </c>
      <c r="M228" s="25" t="s">
        <v>1000</v>
      </c>
      <c r="N228" s="27" t="s">
        <v>165</v>
      </c>
      <c r="O228" s="25">
        <v>1</v>
      </c>
      <c r="P228" s="27" t="s">
        <v>50</v>
      </c>
      <c r="Q228" s="26" t="str">
        <f>IF(S228="","",LEN(S228)-LEN(SUBSTITUTE(S228,"/",""))+IF(ISNUMBER(SEARCH("@",S228)),0,1))</f>
        <v>3</v>
      </c>
      <c r="R228" s="42" t="s">
        <v>113</v>
      </c>
      <c r="S228" s="25" t="s">
        <v>113</v>
      </c>
      <c r="T228" s="20"/>
      <c r="U228" s="20"/>
      <c r="V228" s="25"/>
      <c r="W228" s="25">
        <v>130</v>
      </c>
      <c r="X228" s="46"/>
      <c r="Y228" s="20"/>
      <c r="Z228" s="20"/>
      <c r="AA228" s="25" t="s">
        <v>68</v>
      </c>
      <c r="AB228" s="20" t="str">
        <f>IF(ISBLANK(S228),"是","否")</f>
        <v>否</v>
      </c>
      <c r="AC228" s="20"/>
      <c r="AD228" s="25"/>
      <c r="AE228" s="25"/>
      <c r="AH228" s="20" t="s">
        <v>76</v>
      </c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</row>
    <row r="229" ht="29.59398496240601" customHeight="1" spans="1:57" x14ac:dyDescent="0.25">
      <c r="A229" s="20" t="s">
        <v>682</v>
      </c>
      <c r="B229" s="19" t="s">
        <v>109</v>
      </c>
      <c r="C229" s="20" t="s">
        <v>57</v>
      </c>
      <c r="D229" s="21"/>
      <c r="E229" s="22"/>
      <c r="F229" s="21" t="s">
        <v>1031</v>
      </c>
      <c r="G229" s="29" t="s">
        <v>1032</v>
      </c>
      <c r="H229" s="20" t="str">
        <f>SUBSTITUTE(SUBSTITUTE(SUBSTITUTE(S229,"/@","_"),"/cac:","_"),"/cbc:","_")</f>
        <v>Invoice_TaxTotal_TaxAmount_currencyID</v>
      </c>
      <c r="I229" s="20" t="str">
        <f>SUBSTITUTE(SUBSTITUTE(SUBSTITUTE(T229,"/@","_"),"/cac:","_"),"/cbc:","_")</f>
        <v/>
      </c>
      <c r="J229" s="25" t="s">
        <v>1034</v>
      </c>
      <c r="K229" s="25" t="s">
        <v>1035</v>
      </c>
      <c r="L229" s="25" t="s">
        <v>1036</v>
      </c>
      <c r="M229" s="25" t="s">
        <v>243</v>
      </c>
      <c r="N229" s="27" t="s">
        <v>165</v>
      </c>
      <c r="O229" s="25" t="s">
        <v>64</v>
      </c>
      <c r="P229" s="27" t="s">
        <v>50</v>
      </c>
      <c r="Q229" s="26" t="str">
        <f>IF(S229="","",LEN(S229)-LEN(SUBSTITUTE(S229,"/",""))+IF(ISNUMBER(SEARCH("@",S229)),0,1))</f>
        <v>3</v>
      </c>
      <c r="R229" s="42" t="s">
        <v>1037</v>
      </c>
      <c r="S229" s="25" t="s">
        <v>1037</v>
      </c>
      <c r="T229" s="20"/>
      <c r="U229" s="20"/>
      <c r="V229" s="25"/>
      <c r="W229" s="25" t="s">
        <v>993</v>
      </c>
      <c r="X229" s="46"/>
      <c r="Y229" s="20"/>
      <c r="Z229" s="20"/>
      <c r="AA229" s="25" t="s">
        <v>68</v>
      </c>
      <c r="AB229" s="20" t="str">
        <f>IF(ISBLANK(S229),"是","否")</f>
        <v>否</v>
      </c>
      <c r="AC229" s="20"/>
      <c r="AD229" s="25"/>
      <c r="AE229" s="25"/>
      <c r="AH229" s="20" t="s">
        <v>76</v>
      </c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</row>
    <row r="230" ht="39.879699248120296" customHeight="1" spans="1:57" x14ac:dyDescent="0.25">
      <c r="A230" s="20" t="s">
        <v>682</v>
      </c>
      <c r="B230" s="19" t="s">
        <v>109</v>
      </c>
      <c r="C230" s="20" t="s">
        <v>57</v>
      </c>
      <c r="D230" s="21"/>
      <c r="E230" s="22"/>
      <c r="F230" s="21" t="s">
        <v>1038</v>
      </c>
      <c r="G230" s="29" t="s">
        <v>1039</v>
      </c>
      <c r="H230" s="20" t="str">
        <f>SUBSTITUTE(SUBSTITUTE(SUBSTITUTE(S230,"/@","_"),"/cac:","_"),"/cbc:","_")</f>
        <v>Invoice_TaxTotal_TaxSubtotal</v>
      </c>
      <c r="I230" s="20" t="str">
        <f>SUBSTITUTE(SUBSTITUTE(SUBSTITUTE(T230,"/@","_"),"/cac:","_"),"/cbc:","_")</f>
        <v/>
      </c>
      <c r="J230" s="25" t="s">
        <v>1041</v>
      </c>
      <c r="K230" s="25" t="s">
        <v>1042</v>
      </c>
      <c r="L230" s="25" t="s">
        <v>1043</v>
      </c>
      <c r="M230" s="25" t="s">
        <v>220</v>
      </c>
      <c r="N230" s="27" t="s">
        <v>165</v>
      </c>
      <c r="O230" s="25" t="s">
        <v>1024</v>
      </c>
      <c r="P230" s="27" t="s">
        <v>50</v>
      </c>
      <c r="Q230" s="26" t="str">
        <f>IF(S230="","",LEN(S230)-LEN(SUBSTITUTE(S230,"/",""))+IF(ISNUMBER(SEARCH("@",S230)),0,1))</f>
        <v>3</v>
      </c>
      <c r="R230" s="42" t="s">
        <v>1044</v>
      </c>
      <c r="S230" s="25" t="s">
        <v>1044</v>
      </c>
      <c r="T230" s="20"/>
      <c r="U230" s="20"/>
      <c r="V230" s="25"/>
      <c r="W230" s="25" t="s">
        <v>681</v>
      </c>
      <c r="X230" s="46"/>
      <c r="Y230" s="20"/>
      <c r="Z230" s="20"/>
      <c r="AA230" s="25" t="s">
        <v>222</v>
      </c>
      <c r="AB230" s="20" t="str">
        <f>IF(ISBLANK(S230),"是","否")</f>
        <v>否</v>
      </c>
      <c r="AC230" s="20"/>
      <c r="AD230" s="25"/>
      <c r="AE230" s="25"/>
      <c r="AH230" s="20" t="s">
        <v>76</v>
      </c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</row>
    <row r="231" ht="29.59398496240601" customHeight="1" spans="1:57" x14ac:dyDescent="0.25">
      <c r="A231" s="20" t="s">
        <v>682</v>
      </c>
      <c r="B231" s="19" t="s">
        <v>1038</v>
      </c>
      <c r="C231" s="20" t="s">
        <v>57</v>
      </c>
      <c r="D231" s="21"/>
      <c r="E231" s="22"/>
      <c r="F231" s="21" t="s">
        <v>1045</v>
      </c>
      <c r="G231" s="29" t="s">
        <v>1046</v>
      </c>
      <c r="H231" s="20" t="str">
        <f>SUBSTITUTE(SUBSTITUTE(SUBSTITUTE(S231,"/@","_"),"/cac:","_"),"/cbc:","_")</f>
        <v>Invoice_TaxTotal_TaxSubtotal_TaxableAmount</v>
      </c>
      <c r="I231" s="20" t="str">
        <f>SUBSTITUTE(SUBSTITUTE(SUBSTITUTE(T231,"/@","_"),"/cac:","_"),"/cbc:","_")</f>
        <v/>
      </c>
      <c r="J231" s="25" t="s">
        <v>1048</v>
      </c>
      <c r="K231" s="25" t="s">
        <v>1049</v>
      </c>
      <c r="L231" s="25" t="s">
        <v>1050</v>
      </c>
      <c r="M231" s="25" t="s">
        <v>1000</v>
      </c>
      <c r="N231" s="27" t="s">
        <v>165</v>
      </c>
      <c r="O231" s="25">
        <v>1</v>
      </c>
      <c r="P231" s="27" t="s">
        <v>3015</v>
      </c>
      <c r="Q231" s="26" t="str">
        <f>IF(S231="","",LEN(S231)-LEN(SUBSTITUTE(S231,"/",""))+IF(ISNUMBER(SEARCH("@",S231)),0,1))</f>
        <v>4</v>
      </c>
      <c r="R231" s="42" t="s">
        <v>1051</v>
      </c>
      <c r="S231" s="25" t="s">
        <v>1051</v>
      </c>
      <c r="T231" s="20"/>
      <c r="U231" s="20"/>
      <c r="V231" s="25"/>
      <c r="W231" s="25">
        <v>1000</v>
      </c>
      <c r="X231" s="46"/>
      <c r="Y231" s="20"/>
      <c r="Z231" s="20"/>
      <c r="AA231" s="25" t="s">
        <v>68</v>
      </c>
      <c r="AB231" s="20" t="str">
        <f>IF(ISBLANK(S231),"是","否")</f>
        <v>否</v>
      </c>
      <c r="AC231" s="20"/>
      <c r="AD231" s="25"/>
      <c r="AE231" s="25"/>
      <c r="AH231" s="20" t="s">
        <v>76</v>
      </c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</row>
    <row r="232" ht="29.59398496240601" customHeight="1" spans="1:57" x14ac:dyDescent="0.25">
      <c r="A232" s="20" t="s">
        <v>682</v>
      </c>
      <c r="B232" s="19" t="s">
        <v>1038</v>
      </c>
      <c r="C232" s="20" t="s">
        <v>57</v>
      </c>
      <c r="D232" s="21"/>
      <c r="E232" s="22"/>
      <c r="F232" s="21" t="s">
        <v>1052</v>
      </c>
      <c r="G232" s="29" t="s">
        <v>1053</v>
      </c>
      <c r="H232" s="20" t="str">
        <f>SUBSTITUTE(SUBSTITUTE(SUBSTITUTE(S232,"/@","_"),"/cac:","_"),"/cbc:","_")</f>
        <v>Invoice_TaxTotal_TaxSubtotal_TaxableAmount_currencyID</v>
      </c>
      <c r="I232" s="20" t="str">
        <f>SUBSTITUTE(SUBSTITUTE(SUBSTITUTE(T232,"/@","_"),"/cac:","_"),"/cbc:","_")</f>
        <v/>
      </c>
      <c r="J232" s="25" t="s">
        <v>1055</v>
      </c>
      <c r="K232" s="25" t="s">
        <v>1056</v>
      </c>
      <c r="L232" s="25" t="s">
        <v>1057</v>
      </c>
      <c r="M232" s="25" t="s">
        <v>243</v>
      </c>
      <c r="N232" s="27" t="s">
        <v>165</v>
      </c>
      <c r="O232" s="25" t="s">
        <v>64</v>
      </c>
      <c r="P232" s="27" t="s">
        <v>3015</v>
      </c>
      <c r="Q232" s="26" t="str">
        <f>IF(S232="","",LEN(S232)-LEN(SUBSTITUTE(S232,"/",""))+IF(ISNUMBER(SEARCH("@",S232)),0,1))</f>
        <v>4</v>
      </c>
      <c r="R232" s="42" t="s">
        <v>1058</v>
      </c>
      <c r="S232" s="25" t="s">
        <v>1058</v>
      </c>
      <c r="T232" s="20"/>
      <c r="U232" s="20"/>
      <c r="V232" s="25"/>
      <c r="W232" s="25" t="s">
        <v>993</v>
      </c>
      <c r="X232" s="46"/>
      <c r="Y232" s="20"/>
      <c r="Z232" s="20"/>
      <c r="AA232" s="25" t="s">
        <v>68</v>
      </c>
      <c r="AB232" s="20" t="str">
        <f>IF(ISBLANK(S232),"是","否")</f>
        <v>否</v>
      </c>
      <c r="AC232" s="20"/>
      <c r="AD232" s="25"/>
      <c r="AE232" s="25"/>
      <c r="AH232" s="20" t="s">
        <v>76</v>
      </c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</row>
    <row r="233" ht="39.879699248120296" customHeight="1" spans="1:57" x14ac:dyDescent="0.25">
      <c r="A233" s="20" t="s">
        <v>682</v>
      </c>
      <c r="B233" s="19" t="s">
        <v>1038</v>
      </c>
      <c r="C233" s="20" t="s">
        <v>57</v>
      </c>
      <c r="D233" s="21"/>
      <c r="E233" s="22"/>
      <c r="F233" s="21" t="s">
        <v>1059</v>
      </c>
      <c r="G233" s="29" t="s">
        <v>1060</v>
      </c>
      <c r="H233" s="20" t="str">
        <f>SUBSTITUTE(SUBSTITUTE(SUBSTITUTE(S233,"/@","_"),"/cac:","_"),"/cbc:","_")</f>
        <v>Invoice_TaxTotal_TaxSubtotal_TaxAmount</v>
      </c>
      <c r="I233" s="20" t="str">
        <f>SUBSTITUTE(SUBSTITUTE(SUBSTITUTE(T233,"/@","_"),"/cac:","_"),"/cbc:","_")</f>
        <v/>
      </c>
      <c r="J233" s="25" t="s">
        <v>1062</v>
      </c>
      <c r="K233" s="25" t="s">
        <v>1063</v>
      </c>
      <c r="L233" s="25" t="s">
        <v>1064</v>
      </c>
      <c r="M233" s="25" t="s">
        <v>1000</v>
      </c>
      <c r="N233" s="27" t="s">
        <v>165</v>
      </c>
      <c r="O233" s="25">
        <v>1</v>
      </c>
      <c r="P233" s="27" t="s">
        <v>3015</v>
      </c>
      <c r="Q233" s="26" t="str">
        <f>IF(S233="","",LEN(S233)-LEN(SUBSTITUTE(S233,"/",""))+IF(ISNUMBER(SEARCH("@",S233)),0,1))</f>
        <v>4</v>
      </c>
      <c r="R233" s="42" t="s">
        <v>1065</v>
      </c>
      <c r="S233" s="25" t="s">
        <v>1065</v>
      </c>
      <c r="T233" s="20"/>
      <c r="U233" s="20"/>
      <c r="V233" s="25"/>
      <c r="W233" s="25">
        <v>130</v>
      </c>
      <c r="X233" s="46"/>
      <c r="Y233" s="20"/>
      <c r="Z233" s="20"/>
      <c r="AA233" s="25" t="s">
        <v>68</v>
      </c>
      <c r="AB233" s="20" t="str">
        <f>IF(ISBLANK(S233),"是","否")</f>
        <v>否</v>
      </c>
      <c r="AC233" s="20"/>
      <c r="AD233" s="25"/>
      <c r="AE233" s="25"/>
      <c r="AH233" s="20" t="s">
        <v>76</v>
      </c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</row>
    <row r="234" ht="39.879699248120296" customHeight="1" spans="1:57" x14ac:dyDescent="0.25">
      <c r="A234" s="20" t="s">
        <v>682</v>
      </c>
      <c r="B234" s="19" t="s">
        <v>1038</v>
      </c>
      <c r="C234" s="20" t="s">
        <v>57</v>
      </c>
      <c r="D234" s="21"/>
      <c r="E234" s="22"/>
      <c r="F234" s="21" t="s">
        <v>1066</v>
      </c>
      <c r="G234" s="29" t="s">
        <v>1067</v>
      </c>
      <c r="H234" s="20" t="str">
        <f>SUBSTITUTE(SUBSTITUTE(SUBSTITUTE(S234,"/@","_"),"/cac:","_"),"/cbc:","_")</f>
        <v>Invoice_TaxTotal_TaxSubtotal_TaxAmount_currencyID</v>
      </c>
      <c r="I234" s="20" t="str">
        <f>SUBSTITUTE(SUBSTITUTE(SUBSTITUTE(T234,"/@","_"),"/cac:","_"),"/cbc:","_")</f>
        <v/>
      </c>
      <c r="J234" s="25" t="s">
        <v>1055</v>
      </c>
      <c r="K234" s="25" t="s">
        <v>1069</v>
      </c>
      <c r="L234" s="25" t="s">
        <v>1057</v>
      </c>
      <c r="M234" s="25" t="s">
        <v>243</v>
      </c>
      <c r="N234" s="27" t="s">
        <v>165</v>
      </c>
      <c r="O234" s="25" t="s">
        <v>64</v>
      </c>
      <c r="P234" s="27" t="s">
        <v>3015</v>
      </c>
      <c r="Q234" s="26" t="str">
        <f>IF(S234="","",LEN(S234)-LEN(SUBSTITUTE(S234,"/",""))+IF(ISNUMBER(SEARCH("@",S234)),0,1))</f>
        <v>4</v>
      </c>
      <c r="R234" s="42" t="s">
        <v>1070</v>
      </c>
      <c r="S234" s="25" t="s">
        <v>1070</v>
      </c>
      <c r="T234" s="20"/>
      <c r="U234" s="20"/>
      <c r="V234" s="25"/>
      <c r="W234" s="25" t="s">
        <v>993</v>
      </c>
      <c r="X234" s="46"/>
      <c r="Y234" s="20"/>
      <c r="Z234" s="20"/>
      <c r="AA234" s="25" t="s">
        <v>68</v>
      </c>
      <c r="AB234" s="20" t="str">
        <f>IF(ISBLANK(S234),"是","否")</f>
        <v>否</v>
      </c>
      <c r="AC234" s="20"/>
      <c r="AD234" s="25"/>
      <c r="AE234" s="25"/>
      <c r="AH234" s="20" t="s">
        <v>76</v>
      </c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</row>
    <row r="235" ht="29.59398496240601" customHeight="1" spans="1:57" x14ac:dyDescent="0.25">
      <c r="A235" s="20" t="s">
        <v>682</v>
      </c>
      <c r="B235" s="19" t="s">
        <v>1071</v>
      </c>
      <c r="C235" s="20" t="s">
        <v>57</v>
      </c>
      <c r="D235" s="21"/>
      <c r="E235" s="22"/>
      <c r="F235" s="21" t="s">
        <v>1072</v>
      </c>
      <c r="G235" s="29" t="s">
        <v>1073</v>
      </c>
      <c r="H235" s="20" t="str">
        <f>SUBSTITUTE(SUBSTITUTE(SUBSTITUTE(S235,"/@","_"),"/cac:","_"),"/cbc:","_")</f>
        <v>Invoice_TaxTotal_TaxSubtotal_TaxCategory_ID</v>
      </c>
      <c r="I235" s="20" t="str">
        <f>SUBSTITUTE(SUBSTITUTE(SUBSTITUTE(T235,"/@","_"),"/cac:","_"),"/cbc:","_")</f>
        <v/>
      </c>
      <c r="J235" s="25" t="s">
        <v>1075</v>
      </c>
      <c r="K235" s="25" t="s">
        <v>1076</v>
      </c>
      <c r="L235" s="25" t="s">
        <v>1077</v>
      </c>
      <c r="M235" s="25" t="s">
        <v>243</v>
      </c>
      <c r="N235" s="27" t="s">
        <v>165</v>
      </c>
      <c r="O235" s="25">
        <v>1</v>
      </c>
      <c r="P235" s="27" t="s">
        <v>3015</v>
      </c>
      <c r="Q235" s="26" t="str">
        <f>IF(S235="","",LEN(S235)-LEN(SUBSTITUTE(S235,"/",""))+IF(ISNUMBER(SEARCH("@",S235)),0,1))</f>
        <v>5</v>
      </c>
      <c r="R235" s="42" t="s">
        <v>1078</v>
      </c>
      <c r="S235" s="25" t="s">
        <v>1078</v>
      </c>
      <c r="T235" s="20"/>
      <c r="U235" s="20"/>
      <c r="V235" s="25"/>
      <c r="W235" s="25" t="s">
        <v>1079</v>
      </c>
      <c r="X235" s="46"/>
      <c r="Y235" s="20"/>
      <c r="Z235" s="20"/>
      <c r="AA235" s="25" t="s">
        <v>68</v>
      </c>
      <c r="AB235" s="20" t="str">
        <f>IF(ISBLANK(S235),"是","否")</f>
        <v>否</v>
      </c>
      <c r="AC235" s="20"/>
      <c r="AD235" s="25"/>
      <c r="AE235" s="25"/>
      <c r="AH235" s="20" t="s">
        <v>76</v>
      </c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</row>
    <row r="236" ht="39.879699248120296" customHeight="1" spans="1:57" x14ac:dyDescent="0.25">
      <c r="A236" s="20" t="s">
        <v>682</v>
      </c>
      <c r="B236" s="19" t="s">
        <v>1071</v>
      </c>
      <c r="C236" s="20" t="s">
        <v>57</v>
      </c>
      <c r="D236" s="21"/>
      <c r="E236" s="22"/>
      <c r="F236" s="21" t="s">
        <v>1080</v>
      </c>
      <c r="G236" s="29" t="s">
        <v>1081</v>
      </c>
      <c r="H236" s="20" t="str">
        <f>SUBSTITUTE(SUBSTITUTE(SUBSTITUTE(S236,"/@","_"),"/cac:","_"),"/cbc:","_")</f>
        <v>Invoice_TaxTotal_TaxSubtotal_TaxCategory_Percent</v>
      </c>
      <c r="I236" s="20" t="str">
        <f>SUBSTITUTE(SUBSTITUTE(SUBSTITUTE(T236,"/@","_"),"/cac:","_"),"/cbc:","_")</f>
        <v/>
      </c>
      <c r="J236" s="25" t="s">
        <v>1083</v>
      </c>
      <c r="K236" s="25" t="s">
        <v>1084</v>
      </c>
      <c r="L236" s="25" t="s">
        <v>1085</v>
      </c>
      <c r="M236" s="25" t="s">
        <v>1000</v>
      </c>
      <c r="N236" s="27" t="s">
        <v>165</v>
      </c>
      <c r="O236" s="25" t="s">
        <v>64</v>
      </c>
      <c r="P236" s="27" t="s">
        <v>3015</v>
      </c>
      <c r="Q236" s="26" t="str">
        <f>IF(S236="","",LEN(S236)-LEN(SUBSTITUTE(S236,"/",""))+IF(ISNUMBER(SEARCH("@",S236)),0,1))</f>
        <v>5</v>
      </c>
      <c r="R236" s="42" t="s">
        <v>1086</v>
      </c>
      <c r="S236" s="25" t="s">
        <v>1086</v>
      </c>
      <c r="T236" s="20"/>
      <c r="U236" s="20"/>
      <c r="V236" s="25"/>
      <c r="W236" s="25">
        <v>13</v>
      </c>
      <c r="X236" s="46"/>
      <c r="Y236" s="20"/>
      <c r="Z236" s="20"/>
      <c r="AA236" s="25" t="s">
        <v>68</v>
      </c>
      <c r="AB236" s="20" t="str">
        <f>IF(ISBLANK(S236),"是","否")</f>
        <v>否</v>
      </c>
      <c r="AC236" s="20"/>
      <c r="AD236" s="25"/>
      <c r="AE236" s="25"/>
      <c r="AF236" s="24">
        <v>165</v>
      </c>
      <c r="AG236" s="25" t="s">
        <v>1087</v>
      </c>
      <c r="AH236" s="20" t="s">
        <v>76</v>
      </c>
      <c r="AI236" s="24"/>
      <c r="AJ236" s="25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</row>
    <row r="237" ht="50.16541353383458" customHeight="1" spans="1:57" x14ac:dyDescent="0.25">
      <c r="A237" s="20" t="s">
        <v>682</v>
      </c>
      <c r="B237" s="19" t="s">
        <v>1071</v>
      </c>
      <c r="C237" s="20" t="s">
        <v>57</v>
      </c>
      <c r="D237" s="21"/>
      <c r="E237" s="22"/>
      <c r="F237" s="21" t="s">
        <v>1088</v>
      </c>
      <c r="G237" s="29" t="s">
        <v>1089</v>
      </c>
      <c r="H237" s="20" t="str">
        <f>SUBSTITUTE(SUBSTITUTE(SUBSTITUTE(S237,"/@","_"),"/cac:","_"),"/cbc:","_")</f>
        <v>Invoice_TaxTotal_TaxSubtotal_TaxCategory_TaxExemptionReasonCode</v>
      </c>
      <c r="I237" s="20" t="str">
        <f>SUBSTITUTE(SUBSTITUTE(SUBSTITUTE(T237,"/@","_"),"/cac:","_"),"/cbc:","_")</f>
        <v/>
      </c>
      <c r="J237" s="25" t="s">
        <v>1091</v>
      </c>
      <c r="K237" s="25" t="s">
        <v>1092</v>
      </c>
      <c r="L237" s="25" t="s">
        <v>1093</v>
      </c>
      <c r="M237" s="25" t="s">
        <v>243</v>
      </c>
      <c r="N237" s="27" t="s">
        <v>64</v>
      </c>
      <c r="O237" s="25" t="s">
        <v>64</v>
      </c>
      <c r="P237" s="27" t="s">
        <v>3015</v>
      </c>
      <c r="Q237" s="26" t="str">
        <f>IF(S237="","",LEN(S237)-LEN(SUBSTITUTE(S237,"/",""))+IF(ISNUMBER(SEARCH("@",S237)),0,1))</f>
        <v>5</v>
      </c>
      <c r="R237" s="42" t="s">
        <v>1094</v>
      </c>
      <c r="S237" s="25" t="s">
        <v>1094</v>
      </c>
      <c r="T237" s="20"/>
      <c r="U237" s="20"/>
      <c r="V237" s="25"/>
      <c r="W237" s="25" t="s">
        <v>1095</v>
      </c>
      <c r="X237" s="46"/>
      <c r="Y237" s="20"/>
      <c r="Z237" s="20"/>
      <c r="AA237" s="25" t="s">
        <v>68</v>
      </c>
      <c r="AB237" s="20" t="str">
        <f>IF(ISBLANK(S237),"是","否")</f>
        <v>否</v>
      </c>
      <c r="AC237" s="20"/>
      <c r="AD237" s="25"/>
      <c r="AE237" s="25"/>
      <c r="AH237" s="20" t="s">
        <v>76</v>
      </c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</row>
    <row r="238" ht="50.16541353383458" customHeight="1" spans="1:57" x14ac:dyDescent="0.25">
      <c r="A238" s="20" t="s">
        <v>682</v>
      </c>
      <c r="B238" s="19" t="s">
        <v>1071</v>
      </c>
      <c r="C238" s="20" t="s">
        <v>57</v>
      </c>
      <c r="D238" s="21"/>
      <c r="E238" s="22"/>
      <c r="F238" s="21" t="s">
        <v>1096</v>
      </c>
      <c r="G238" s="29" t="s">
        <v>1097</v>
      </c>
      <c r="H238" s="20" t="str">
        <f>SUBSTITUTE(SUBSTITUTE(SUBSTITUTE(S238,"/@","_"),"/cac:","_"),"/cbc:","_")</f>
        <v>Invoice_TaxTotal_TaxSubtotal_TaxCategory_TaxExemptionReason</v>
      </c>
      <c r="I238" s="20" t="str">
        <f>SUBSTITUTE(SUBSTITUTE(SUBSTITUTE(T238,"/@","_"),"/cac:","_"),"/cbc:","_")</f>
        <v/>
      </c>
      <c r="J238" s="25" t="s">
        <v>1099</v>
      </c>
      <c r="K238" s="25" t="s">
        <v>1100</v>
      </c>
      <c r="L238" s="25" t="s">
        <v>1101</v>
      </c>
      <c r="M238" s="25" t="s">
        <v>228</v>
      </c>
      <c r="N238" s="27" t="s">
        <v>165</v>
      </c>
      <c r="O238" s="25" t="s">
        <v>64</v>
      </c>
      <c r="P238" s="27" t="s">
        <v>3015</v>
      </c>
      <c r="Q238" s="26" t="str">
        <f>IF(S238="","",LEN(S238)-LEN(SUBSTITUTE(S238,"/",""))+IF(ISNUMBER(SEARCH("@",S238)),0,1))</f>
        <v>5</v>
      </c>
      <c r="R238" s="42" t="s">
        <v>1102</v>
      </c>
      <c r="S238" s="25" t="s">
        <v>1102</v>
      </c>
      <c r="T238" s="20"/>
      <c r="U238" s="20"/>
      <c r="V238" s="25"/>
      <c r="W238" s="25" t="s">
        <v>1103</v>
      </c>
      <c r="X238" s="46"/>
      <c r="Y238" s="20"/>
      <c r="Z238" s="20"/>
      <c r="AA238" s="25" t="s">
        <v>68</v>
      </c>
      <c r="AB238" s="20" t="str">
        <f>IF(ISBLANK(S238),"是","否")</f>
        <v>否</v>
      </c>
      <c r="AC238" s="20"/>
      <c r="AD238" s="25"/>
      <c r="AE238" s="25"/>
      <c r="AH238" s="20" t="s">
        <v>76</v>
      </c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</row>
    <row r="239" ht="39.879699248120296" customHeight="1" spans="1:57" x14ac:dyDescent="0.25">
      <c r="A239" s="20" t="s">
        <v>682</v>
      </c>
      <c r="B239" s="19" t="s">
        <v>349</v>
      </c>
      <c r="C239" s="20" t="s">
        <v>57</v>
      </c>
      <c r="D239" s="21"/>
      <c r="E239" s="22"/>
      <c r="F239" s="21" t="s">
        <v>1104</v>
      </c>
      <c r="G239" s="29" t="s">
        <v>1105</v>
      </c>
      <c r="H239" s="20" t="str">
        <f>SUBSTITUTE(SUBSTITUTE(SUBSTITUTE(S239,"/@","_"),"/cac:","_"),"/cbc:","_")</f>
        <v>Invoice_TaxTotal_TaxSubtotal_TaxCategory_TaxScheme_ID</v>
      </c>
      <c r="I239" s="20" t="str">
        <f>SUBSTITUTE(SUBSTITUTE(SUBSTITUTE(T239,"/@","_"),"/cac:","_"),"/cbc:","_")</f>
        <v/>
      </c>
      <c r="J239" s="25" t="s">
        <v>1106</v>
      </c>
      <c r="K239" s="25" t="s">
        <v>1107</v>
      </c>
      <c r="L239" s="25" t="s">
        <v>1108</v>
      </c>
      <c r="M239" s="25" t="s">
        <v>243</v>
      </c>
      <c r="N239" s="27" t="s">
        <v>165</v>
      </c>
      <c r="O239" s="25" t="s">
        <v>64</v>
      </c>
      <c r="P239" s="27" t="s">
        <v>3015</v>
      </c>
      <c r="Q239" s="26" t="str">
        <f>IF(S239="","",LEN(S239)-LEN(SUBSTITUTE(S239,"/",""))+IF(ISNUMBER(SEARCH("@",S239)),0,1))</f>
        <v>6</v>
      </c>
      <c r="R239" s="42" t="s">
        <v>1109</v>
      </c>
      <c r="S239" s="25" t="s">
        <v>1109</v>
      </c>
      <c r="T239" s="20"/>
      <c r="U239" s="20"/>
      <c r="V239" s="25"/>
      <c r="W239" s="25" t="s">
        <v>791</v>
      </c>
      <c r="X239" s="46"/>
      <c r="Y239" s="20"/>
      <c r="Z239" s="20"/>
      <c r="AA239" s="25" t="s">
        <v>68</v>
      </c>
      <c r="AB239" s="20" t="str">
        <f>IF(ISBLANK(S239),"是","否")</f>
        <v>否</v>
      </c>
      <c r="AC239" s="20"/>
      <c r="AD239" s="25"/>
      <c r="AE239" s="25"/>
      <c r="AH239" s="20" t="s">
        <v>76</v>
      </c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</row>
    <row r="240" ht="39.879699248120296" customHeight="1" spans="1:57" x14ac:dyDescent="0.25">
      <c r="A240" s="20" t="s">
        <v>682</v>
      </c>
      <c r="B240" s="19" t="s">
        <v>349</v>
      </c>
      <c r="C240" s="20" t="s">
        <v>57</v>
      </c>
      <c r="D240" s="21"/>
      <c r="E240" s="22"/>
      <c r="F240" s="21" t="s">
        <v>1110</v>
      </c>
      <c r="G240" s="29" t="s">
        <v>1111</v>
      </c>
      <c r="H240" s="20" t="str">
        <f>SUBSTITUTE(SUBSTITUTE(SUBSTITUTE(S240,"/@","_"),"/cac:","_"),"/cbc:","_")</f>
        <v>Invoice_TaxTotal_TaxSubtotal_TaxCategory_TaxScheme_Name</v>
      </c>
      <c r="I240" s="20" t="str">
        <f>SUBSTITUTE(SUBSTITUTE(SUBSTITUTE(T240,"/@","_"),"/cac:","_"),"/cbc:","_")</f>
        <v/>
      </c>
      <c r="J240" s="25" t="s">
        <v>1113</v>
      </c>
      <c r="K240" s="25" t="s">
        <v>1114</v>
      </c>
      <c r="L240" s="25" t="s">
        <v>1115</v>
      </c>
      <c r="M240" s="25" t="s">
        <v>228</v>
      </c>
      <c r="N240" s="27"/>
      <c r="O240" s="25" t="s">
        <v>64</v>
      </c>
      <c r="P240" s="27" t="s">
        <v>3015</v>
      </c>
      <c r="Q240" s="26" t="str">
        <f>IF(S240="","",LEN(S240)-LEN(SUBSTITUTE(S240,"/",""))+IF(ISNUMBER(SEARCH("@",S240)),0,1))</f>
        <v>6</v>
      </c>
      <c r="R240" s="42" t="s">
        <v>1116</v>
      </c>
      <c r="S240" s="25" t="s">
        <v>1116</v>
      </c>
      <c r="T240" s="20"/>
      <c r="U240" s="20"/>
      <c r="V240" s="25"/>
      <c r="W240" s="25" t="s">
        <v>1117</v>
      </c>
      <c r="X240" s="46"/>
      <c r="Y240" s="20"/>
      <c r="Z240" s="20"/>
      <c r="AA240" s="25" t="s">
        <v>68</v>
      </c>
      <c r="AB240" s="20" t="str">
        <f>IF(ISBLANK(S240),"是","否")</f>
        <v>否</v>
      </c>
      <c r="AC240" s="20"/>
      <c r="AD240" s="25"/>
      <c r="AE240" s="25"/>
      <c r="AH240" s="20" t="s">
        <v>76</v>
      </c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</row>
    <row r="241" ht="29.59398496240601" customHeight="1" spans="1:57" x14ac:dyDescent="0.25">
      <c r="A241" s="20" t="s">
        <v>682</v>
      </c>
      <c r="B241" s="19" t="s">
        <v>41</v>
      </c>
      <c r="C241" s="20" t="s">
        <v>57</v>
      </c>
      <c r="D241" s="21"/>
      <c r="E241" s="22"/>
      <c r="F241" s="21" t="s">
        <v>1118</v>
      </c>
      <c r="G241" s="29" t="s">
        <v>1119</v>
      </c>
      <c r="H241" s="20" t="str">
        <f>SUBSTITUTE(SUBSTITUTE(SUBSTITUTE(S241,"/@","_"),"/cac:","_"),"/cbc:","_")</f>
        <v>Invoice_WithholdingTaxTotal</v>
      </c>
      <c r="I241" s="20" t="str">
        <f>SUBSTITUTE(SUBSTITUTE(SUBSTITUTE(T241,"/@","_"),"/cac:","_"),"/cbc:","_")</f>
        <v/>
      </c>
      <c r="J241" s="25" t="s">
        <v>1121</v>
      </c>
      <c r="K241" s="25" t="s">
        <v>1122</v>
      </c>
      <c r="L241" s="25" t="s">
        <v>1123</v>
      </c>
      <c r="M241" s="25" t="s">
        <v>220</v>
      </c>
      <c r="N241" s="27"/>
      <c r="O241" s="25" t="s">
        <v>49</v>
      </c>
      <c r="P241" s="27" t="s">
        <v>3014</v>
      </c>
      <c r="Q241" s="26" t="str">
        <f>IF(S241="","",LEN(S241)-LEN(SUBSTITUTE(S241,"/",""))+IF(ISNUMBER(SEARCH("@",S241)),0,1))</f>
        <v>2</v>
      </c>
      <c r="R241" s="42" t="s">
        <v>1124</v>
      </c>
      <c r="S241" s="25" t="s">
        <v>1124</v>
      </c>
      <c r="T241" s="20"/>
      <c r="U241" s="20"/>
      <c r="V241" s="25"/>
      <c r="W241" s="25" t="s">
        <v>681</v>
      </c>
      <c r="X241" s="46"/>
      <c r="Y241" s="20"/>
      <c r="Z241" s="20"/>
      <c r="AA241" s="25" t="s">
        <v>222</v>
      </c>
      <c r="AB241" s="20" t="str">
        <f>IF(ISBLANK(S241),"是","否")</f>
        <v>否</v>
      </c>
      <c r="AC241" s="20"/>
      <c r="AD241" s="25"/>
      <c r="AE241" s="25"/>
      <c r="AH241" s="20" t="s">
        <v>76</v>
      </c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</row>
    <row r="242" ht="29.59398496240601" customHeight="1" spans="1:57" x14ac:dyDescent="0.25">
      <c r="A242" s="20" t="s">
        <v>682</v>
      </c>
      <c r="B242" s="19" t="s">
        <v>109</v>
      </c>
      <c r="C242" s="20" t="s">
        <v>57</v>
      </c>
      <c r="D242" s="21"/>
      <c r="E242" s="22"/>
      <c r="F242" s="21" t="s">
        <v>1026</v>
      </c>
      <c r="G242" s="29" t="s">
        <v>1125</v>
      </c>
      <c r="H242" s="20" t="str">
        <f>SUBSTITUTE(SUBSTITUTE(SUBSTITUTE(S242,"/@","_"),"/cac:","_"),"/cbc:","_")</f>
        <v>Invoice_WithholdingTaxTotal_TaxAmount</v>
      </c>
      <c r="I242" s="20" t="str">
        <f>SUBSTITUTE(SUBSTITUTE(SUBSTITUTE(T242,"/@","_"),"/cac:","_"),"/cbc:","_")</f>
        <v/>
      </c>
      <c r="J242" s="25" t="s">
        <v>1126</v>
      </c>
      <c r="K242" s="25" t="s">
        <v>1127</v>
      </c>
      <c r="L242" s="25" t="s">
        <v>1128</v>
      </c>
      <c r="M242" s="25" t="s">
        <v>1000</v>
      </c>
      <c r="N242" s="27"/>
      <c r="O242" s="25">
        <v>1</v>
      </c>
      <c r="P242" s="27" t="s">
        <v>50</v>
      </c>
      <c r="Q242" s="26" t="str">
        <f>IF(S242="","",LEN(S242)-LEN(SUBSTITUTE(S242,"/",""))+IF(ISNUMBER(SEARCH("@",S242)),0,1))</f>
        <v>3</v>
      </c>
      <c r="R242" s="42" t="s">
        <v>1129</v>
      </c>
      <c r="S242" s="25" t="s">
        <v>1129</v>
      </c>
      <c r="T242" s="20"/>
      <c r="U242" s="20"/>
      <c r="V242" s="25"/>
      <c r="W242" s="25">
        <v>50</v>
      </c>
      <c r="X242" s="46"/>
      <c r="Y242" s="20"/>
      <c r="Z242" s="20"/>
      <c r="AA242" s="25" t="s">
        <v>68</v>
      </c>
      <c r="AB242" s="20" t="str">
        <f>IF(ISBLANK(S242),"是","否")</f>
        <v>否</v>
      </c>
      <c r="AC242" s="20"/>
      <c r="AD242" s="25"/>
      <c r="AE242" s="25"/>
      <c r="AH242" s="20" t="s">
        <v>76</v>
      </c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</row>
    <row r="243" ht="29.59398496240601" customHeight="1" spans="1:57" x14ac:dyDescent="0.25">
      <c r="A243" s="20" t="s">
        <v>682</v>
      </c>
      <c r="B243" s="19" t="s">
        <v>109</v>
      </c>
      <c r="C243" s="20" t="s">
        <v>57</v>
      </c>
      <c r="D243" s="21"/>
      <c r="E243" s="22"/>
      <c r="F243" s="21" t="s">
        <v>1031</v>
      </c>
      <c r="G243" s="29" t="s">
        <v>1130</v>
      </c>
      <c r="H243" s="20" t="str">
        <f>SUBSTITUTE(SUBSTITUTE(SUBSTITUTE(S243,"/@","_"),"/cac:","_"),"/cbc:","_")</f>
        <v>Invoice_WithholdingTaxTotal_TaxAmount_currencyID</v>
      </c>
      <c r="I243" s="20" t="str">
        <f>SUBSTITUTE(SUBSTITUTE(SUBSTITUTE(T243,"/@","_"),"/cac:","_"),"/cbc:","_")</f>
        <v/>
      </c>
      <c r="J243" s="25" t="s">
        <v>1055</v>
      </c>
      <c r="K243" s="25" t="s">
        <v>1132</v>
      </c>
      <c r="L243" s="25" t="s">
        <v>1036</v>
      </c>
      <c r="M243" s="25" t="s">
        <v>243</v>
      </c>
      <c r="N243" s="27"/>
      <c r="O243" s="25" t="s">
        <v>64</v>
      </c>
      <c r="P243" s="27" t="s">
        <v>50</v>
      </c>
      <c r="Q243" s="26" t="str">
        <f>IF(S243="","",LEN(S243)-LEN(SUBSTITUTE(S243,"/",""))+IF(ISNUMBER(SEARCH("@",S243)),0,1))</f>
        <v>3</v>
      </c>
      <c r="R243" s="42" t="s">
        <v>1133</v>
      </c>
      <c r="S243" s="25" t="s">
        <v>1133</v>
      </c>
      <c r="T243" s="20"/>
      <c r="U243" s="20"/>
      <c r="V243" s="25"/>
      <c r="W243" s="25" t="s">
        <v>993</v>
      </c>
      <c r="X243" s="46"/>
      <c r="Y243" s="20"/>
      <c r="Z243" s="20"/>
      <c r="AA243" s="25" t="s">
        <v>68</v>
      </c>
      <c r="AB243" s="20" t="str">
        <f>IF(ISBLANK(S243),"是","否")</f>
        <v>否</v>
      </c>
      <c r="AC243" s="20"/>
      <c r="AD243" s="25"/>
      <c r="AE243" s="25"/>
      <c r="AH243" s="20" t="s">
        <v>76</v>
      </c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</row>
    <row r="244" ht="29.59398496240601" customHeight="1" spans="1:57" x14ac:dyDescent="0.25">
      <c r="A244" s="20" t="s">
        <v>682</v>
      </c>
      <c r="B244" s="19" t="s">
        <v>1038</v>
      </c>
      <c r="C244" s="20" t="s">
        <v>57</v>
      </c>
      <c r="D244" s="21"/>
      <c r="E244" s="22"/>
      <c r="F244" s="21" t="s">
        <v>1134</v>
      </c>
      <c r="G244" s="29" t="s">
        <v>1135</v>
      </c>
      <c r="H244" s="20" t="str">
        <f>SUBSTITUTE(SUBSTITUTE(SUBSTITUTE(S244,"/@","_"),"/cac:","_"),"/cbc:","_")</f>
        <v>Invoice_WithholdingTaxTotal_TaxSubtotal_TaxableAmount</v>
      </c>
      <c r="I244" s="20" t="str">
        <f>SUBSTITUTE(SUBSTITUTE(SUBSTITUTE(T244,"/@","_"),"/cac:","_"),"/cbc:","_")</f>
        <v/>
      </c>
      <c r="J244" s="25" t="s">
        <v>1137</v>
      </c>
      <c r="K244" s="25" t="s">
        <v>1138</v>
      </c>
      <c r="L244" s="25" t="s">
        <v>1139</v>
      </c>
      <c r="M244" s="25" t="s">
        <v>1000</v>
      </c>
      <c r="N244" s="27"/>
      <c r="O244" s="25">
        <v>1</v>
      </c>
      <c r="P244" s="27" t="s">
        <v>50</v>
      </c>
      <c r="Q244" s="26" t="str">
        <f>IF(S244="","",LEN(S244)-LEN(SUBSTITUTE(S244,"/",""))+IF(ISNUMBER(SEARCH("@",S244)),0,1))</f>
        <v>4</v>
      </c>
      <c r="R244" s="42" t="s">
        <v>1140</v>
      </c>
      <c r="S244" s="25" t="s">
        <v>1140</v>
      </c>
      <c r="T244" s="20"/>
      <c r="U244" s="20"/>
      <c r="V244" s="25"/>
      <c r="W244" s="25">
        <v>1000</v>
      </c>
      <c r="X244" s="46"/>
      <c r="Y244" s="20"/>
      <c r="Z244" s="20"/>
      <c r="AA244" s="25" t="s">
        <v>68</v>
      </c>
      <c r="AB244" s="20" t="str">
        <f>IF(ISBLANK(S244),"是","否")</f>
        <v>否</v>
      </c>
      <c r="AC244" s="20"/>
      <c r="AD244" s="25"/>
      <c r="AE244" s="25"/>
      <c r="AH244" s="20" t="s">
        <v>76</v>
      </c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</row>
    <row r="245" ht="29.59398496240601" customHeight="1" spans="1:57" x14ac:dyDescent="0.25">
      <c r="A245" s="20" t="s">
        <v>682</v>
      </c>
      <c r="B245" s="19" t="s">
        <v>1038</v>
      </c>
      <c r="C245" s="20" t="s">
        <v>57</v>
      </c>
      <c r="D245" s="21"/>
      <c r="E245" s="22"/>
      <c r="F245" s="21" t="s">
        <v>1059</v>
      </c>
      <c r="G245" s="29" t="s">
        <v>1141</v>
      </c>
      <c r="H245" s="20" t="str">
        <f>SUBSTITUTE(SUBSTITUTE(SUBSTITUTE(S245,"/@","_"),"/cac:","_"),"/cbc:","_")</f>
        <v>Invoice_WithholdingTaxTotal_TaxSubtotal_TaxAmount</v>
      </c>
      <c r="I245" s="20" t="str">
        <f>SUBSTITUTE(SUBSTITUTE(SUBSTITUTE(T245,"/@","_"),"/cac:","_"),"/cbc:","_")</f>
        <v/>
      </c>
      <c r="J245" s="25" t="s">
        <v>1143</v>
      </c>
      <c r="K245" s="25" t="s">
        <v>1144</v>
      </c>
      <c r="L245" s="25" t="s">
        <v>1139</v>
      </c>
      <c r="M245" s="25" t="s">
        <v>1000</v>
      </c>
      <c r="N245" s="27"/>
      <c r="O245" s="25">
        <v>1</v>
      </c>
      <c r="P245" s="27" t="s">
        <v>50</v>
      </c>
      <c r="Q245" s="26" t="str">
        <f>IF(S245="","",LEN(S245)-LEN(SUBSTITUTE(S245,"/",""))+IF(ISNUMBER(SEARCH("@",S245)),0,1))</f>
        <v>4</v>
      </c>
      <c r="R245" s="42" t="s">
        <v>1145</v>
      </c>
      <c r="S245" s="25" t="s">
        <v>1145</v>
      </c>
      <c r="T245" s="20"/>
      <c r="U245" s="20"/>
      <c r="V245" s="25"/>
      <c r="W245" s="25">
        <v>50</v>
      </c>
      <c r="X245" s="46"/>
      <c r="Y245" s="20"/>
      <c r="Z245" s="20"/>
      <c r="AA245" s="25" t="s">
        <v>68</v>
      </c>
      <c r="AB245" s="20" t="str">
        <f>IF(ISBLANK(S245),"是","否")</f>
        <v>否</v>
      </c>
      <c r="AC245" s="20"/>
      <c r="AD245" s="25"/>
      <c r="AE245" s="25"/>
      <c r="AH245" s="20" t="s">
        <v>76</v>
      </c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</row>
    <row r="246" ht="29.59398496240601" customHeight="1" spans="1:57" x14ac:dyDescent="0.25">
      <c r="A246" s="20" t="s">
        <v>682</v>
      </c>
      <c r="B246" s="19" t="s">
        <v>1071</v>
      </c>
      <c r="C246" s="20" t="s">
        <v>57</v>
      </c>
      <c r="D246" s="21"/>
      <c r="E246" s="22"/>
      <c r="F246" s="21" t="s">
        <v>1072</v>
      </c>
      <c r="G246" s="29" t="s">
        <v>1146</v>
      </c>
      <c r="H246" s="20" t="str">
        <f>SUBSTITUTE(SUBSTITUTE(SUBSTITUTE(S246,"/@","_"),"/cac:","_"),"/cbc:","_")</f>
        <v>Invoice_WithholdingTaxTotal_TaxSubtotal_TaxCategory_ID</v>
      </c>
      <c r="I246" s="20" t="str">
        <f>SUBSTITUTE(SUBSTITUTE(SUBSTITUTE(T246,"/@","_"),"/cac:","_"),"/cbc:","_")</f>
        <v/>
      </c>
      <c r="J246" s="25" t="s">
        <v>1147</v>
      </c>
      <c r="K246" s="25" t="s">
        <v>1148</v>
      </c>
      <c r="L246" s="25" t="s">
        <v>1149</v>
      </c>
      <c r="M246" s="25" t="s">
        <v>228</v>
      </c>
      <c r="N246" s="27"/>
      <c r="O246" s="25">
        <v>1</v>
      </c>
      <c r="P246" s="27" t="s">
        <v>50</v>
      </c>
      <c r="Q246" s="26" t="str">
        <f>IF(S246="","",LEN(S246)-LEN(SUBSTITUTE(S246,"/",""))+IF(ISNUMBER(SEARCH("@",S246)),0,1))</f>
        <v>5</v>
      </c>
      <c r="R246" s="42" t="s">
        <v>1150</v>
      </c>
      <c r="S246" s="25" t="s">
        <v>1150</v>
      </c>
      <c r="T246" s="20"/>
      <c r="U246" s="20"/>
      <c r="V246" s="25"/>
      <c r="W246" s="25" t="s">
        <v>1151</v>
      </c>
      <c r="X246" s="46"/>
      <c r="Y246" s="20"/>
      <c r="Z246" s="20"/>
      <c r="AA246" s="25" t="s">
        <v>68</v>
      </c>
      <c r="AB246" s="20" t="str">
        <f>IF(ISBLANK(S246),"是","否")</f>
        <v>否</v>
      </c>
      <c r="AC246" s="20"/>
      <c r="AD246" s="25"/>
      <c r="AE246" s="25"/>
      <c r="AH246" s="20" t="s">
        <v>76</v>
      </c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</row>
    <row r="247" ht="39.879699248120296" customHeight="1" spans="1:57" x14ac:dyDescent="0.25">
      <c r="A247" s="20" t="s">
        <v>682</v>
      </c>
      <c r="B247" s="19" t="s">
        <v>1071</v>
      </c>
      <c r="C247" s="20" t="s">
        <v>57</v>
      </c>
      <c r="D247" s="21"/>
      <c r="E247" s="22"/>
      <c r="F247" s="21" t="s">
        <v>1080</v>
      </c>
      <c r="G247" s="29" t="s">
        <v>1152</v>
      </c>
      <c r="H247" s="20" t="str">
        <f>SUBSTITUTE(SUBSTITUTE(SUBSTITUTE(S247,"/@","_"),"/cac:","_"),"/cbc:","_")</f>
        <v>Invoice_WithholdingTaxTotal_TaxSubtotal_TaxCategory_Percent</v>
      </c>
      <c r="I247" s="20" t="str">
        <f>SUBSTITUTE(SUBSTITUTE(SUBSTITUTE(T247,"/@","_"),"/cac:","_"),"/cbc:","_")</f>
        <v/>
      </c>
      <c r="J247" s="25" t="s">
        <v>1153</v>
      </c>
      <c r="K247" s="25" t="s">
        <v>1154</v>
      </c>
      <c r="L247" s="25" t="s">
        <v>1155</v>
      </c>
      <c r="M247" s="25" t="s">
        <v>1000</v>
      </c>
      <c r="N247" s="27"/>
      <c r="O247" s="25" t="s">
        <v>64</v>
      </c>
      <c r="P247" s="27" t="s">
        <v>50</v>
      </c>
      <c r="Q247" s="26" t="str">
        <f>IF(S247="","",LEN(S247)-LEN(SUBSTITUTE(S247,"/",""))+IF(ISNUMBER(SEARCH("@",S247)),0,1))</f>
        <v>5</v>
      </c>
      <c r="R247" s="42" t="s">
        <v>1156</v>
      </c>
      <c r="S247" s="25" t="s">
        <v>1156</v>
      </c>
      <c r="T247" s="20"/>
      <c r="U247" s="20"/>
      <c r="V247" s="25"/>
      <c r="W247" s="25">
        <v>5</v>
      </c>
      <c r="X247" s="46"/>
      <c r="Y247" s="20"/>
      <c r="Z247" s="20"/>
      <c r="AA247" s="25" t="s">
        <v>68</v>
      </c>
      <c r="AB247" s="20" t="str">
        <f>IF(ISBLANK(S247),"是","否")</f>
        <v>否</v>
      </c>
      <c r="AC247" s="20"/>
      <c r="AD247" s="25"/>
      <c r="AE247" s="25"/>
      <c r="AH247" s="20" t="s">
        <v>76</v>
      </c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</row>
    <row r="248" ht="39.879699248120296" customHeight="1" spans="1:57" x14ac:dyDescent="0.25">
      <c r="A248" s="20" t="s">
        <v>682</v>
      </c>
      <c r="B248" s="19" t="s">
        <v>349</v>
      </c>
      <c r="C248" s="20" t="s">
        <v>57</v>
      </c>
      <c r="D248" s="21"/>
      <c r="E248" s="22"/>
      <c r="F248" s="21" t="s">
        <v>1104</v>
      </c>
      <c r="G248" s="29" t="s">
        <v>1157</v>
      </c>
      <c r="H248" s="20" t="str">
        <f>SUBSTITUTE(SUBSTITUTE(SUBSTITUTE(S248,"/@","_"),"/cac:","_"),"/cbc:","_")</f>
        <v>Invoice_WithholdingTaxTotal_TaxSubtotal_TaxCategory_TaxScheme_ID</v>
      </c>
      <c r="I248" s="20" t="str">
        <f>SUBSTITUTE(SUBSTITUTE(SUBSTITUTE(T248,"/@","_"),"/cac:","_"),"/cbc:","_")</f>
        <v/>
      </c>
      <c r="J248" s="25" t="s">
        <v>1158</v>
      </c>
      <c r="K248" s="25" t="s">
        <v>1159</v>
      </c>
      <c r="L248" s="25" t="s">
        <v>1160</v>
      </c>
      <c r="M248" s="25" t="s">
        <v>228</v>
      </c>
      <c r="N248" s="27"/>
      <c r="O248" s="25" t="s">
        <v>64</v>
      </c>
      <c r="P248" s="27" t="s">
        <v>50</v>
      </c>
      <c r="Q248" s="26" t="str">
        <f>IF(S248="","",LEN(S248)-LEN(SUBSTITUTE(S248,"/",""))+IF(ISNUMBER(SEARCH("@",S248)),0,1))</f>
        <v>6</v>
      </c>
      <c r="R248" s="42" t="s">
        <v>1161</v>
      </c>
      <c r="S248" s="25" t="s">
        <v>1161</v>
      </c>
      <c r="T248" s="20"/>
      <c r="U248" s="20"/>
      <c r="V248" s="25"/>
      <c r="W248" s="25" t="s">
        <v>1162</v>
      </c>
      <c r="X248" s="46"/>
      <c r="Y248" s="20"/>
      <c r="Z248" s="20"/>
      <c r="AA248" s="25" t="s">
        <v>68</v>
      </c>
      <c r="AB248" s="20" t="str">
        <f>IF(ISBLANK(S248),"是","否")</f>
        <v>否</v>
      </c>
      <c r="AC248" s="20"/>
      <c r="AD248" s="25"/>
      <c r="AE248" s="25"/>
      <c r="AH248" s="20" t="s">
        <v>76</v>
      </c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</row>
    <row r="249" ht="39.879699248120296" customHeight="1" spans="1:57" x14ac:dyDescent="0.25">
      <c r="A249" s="20" t="s">
        <v>682</v>
      </c>
      <c r="B249" s="19" t="s">
        <v>349</v>
      </c>
      <c r="C249" s="20" t="s">
        <v>57</v>
      </c>
      <c r="D249" s="21"/>
      <c r="E249" s="22"/>
      <c r="F249" s="21" t="s">
        <v>1110</v>
      </c>
      <c r="G249" s="29" t="s">
        <v>1163</v>
      </c>
      <c r="H249" s="20" t="str">
        <f>SUBSTITUTE(SUBSTITUTE(SUBSTITUTE(S249,"/@","_"),"/cac:","_"),"/cbc:","_")</f>
        <v>Invoice_WithholdingTaxTotal_TaxSubtotal_TaxCategory_TaxScheme_Name</v>
      </c>
      <c r="I249" s="20" t="str">
        <f>SUBSTITUTE(SUBSTITUTE(SUBSTITUTE(T249,"/@","_"),"/cac:","_"),"/cbc:","_")</f>
        <v/>
      </c>
      <c r="J249" s="25" t="s">
        <v>1164</v>
      </c>
      <c r="K249" s="25" t="s">
        <v>1165</v>
      </c>
      <c r="L249" s="25" t="s">
        <v>1166</v>
      </c>
      <c r="M249" s="25" t="s">
        <v>228</v>
      </c>
      <c r="N249" s="27"/>
      <c r="O249" s="25" t="s">
        <v>64</v>
      </c>
      <c r="P249" s="27" t="s">
        <v>50</v>
      </c>
      <c r="Q249" s="26" t="str">
        <f>IF(S249="","",LEN(S249)-LEN(SUBSTITUTE(S249,"/",""))+IF(ISNUMBER(SEARCH("@",S249)),0,1))</f>
        <v>6</v>
      </c>
      <c r="R249" s="42" t="s">
        <v>1167</v>
      </c>
      <c r="S249" s="25" t="s">
        <v>1167</v>
      </c>
      <c r="T249" s="20"/>
      <c r="U249" s="20"/>
      <c r="V249" s="25"/>
      <c r="W249" s="25" t="s">
        <v>1168</v>
      </c>
      <c r="X249" s="46"/>
      <c r="Y249" s="20"/>
      <c r="Z249" s="20"/>
      <c r="AA249" s="25" t="s">
        <v>68</v>
      </c>
      <c r="AB249" s="20" t="str">
        <f>IF(ISBLANK(S249),"是","否")</f>
        <v>否</v>
      </c>
      <c r="AC249" s="20"/>
      <c r="AD249" s="25"/>
      <c r="AE249" s="25"/>
      <c r="AH249" s="20" t="s">
        <v>76</v>
      </c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</row>
    <row r="250" ht="29.59398496240601" customHeight="1" spans="1:57" x14ac:dyDescent="0.25">
      <c r="A250" s="20" t="s">
        <v>682</v>
      </c>
      <c r="B250" s="19" t="s">
        <v>41</v>
      </c>
      <c r="C250" s="20" t="s">
        <v>57</v>
      </c>
      <c r="D250" s="21"/>
      <c r="E250" s="22"/>
      <c r="F250" s="21" t="s">
        <v>1169</v>
      </c>
      <c r="G250" s="29" t="s">
        <v>1170</v>
      </c>
      <c r="H250" s="20" t="str">
        <f>SUBSTITUTE(SUBSTITUTE(SUBSTITUTE(S250,"/@","_"),"/cac:","_"),"/cbc:","_")</f>
        <v>Invoice_AllowanceCharge</v>
      </c>
      <c r="I250" s="20" t="str">
        <f>SUBSTITUTE(SUBSTITUTE(SUBSTITUTE(T250,"/@","_"),"/cac:","_"),"/cbc:","_")</f>
        <v/>
      </c>
      <c r="J250" s="25" t="s">
        <v>1172</v>
      </c>
      <c r="K250" s="25" t="s">
        <v>1173</v>
      </c>
      <c r="L250" s="35" t="s">
        <v>1174</v>
      </c>
      <c r="M250" s="25" t="s">
        <v>220</v>
      </c>
      <c r="N250" s="27" t="s">
        <v>49</v>
      </c>
      <c r="O250" s="25" t="s">
        <v>49</v>
      </c>
      <c r="P250" s="27" t="s">
        <v>3014</v>
      </c>
      <c r="Q250" s="26" t="str">
        <f>IF(S250="","",LEN(S250)-LEN(SUBSTITUTE(S250,"/",""))+IF(ISNUMBER(SEARCH("@",S250)),0,1))</f>
        <v>2</v>
      </c>
      <c r="R250" s="42" t="s">
        <v>1175</v>
      </c>
      <c r="S250" s="25" t="s">
        <v>1175</v>
      </c>
      <c r="T250" s="36"/>
      <c r="V250" s="25"/>
      <c r="W250" s="25" t="s">
        <v>681</v>
      </c>
      <c r="X250" s="46"/>
      <c r="Y250" s="20"/>
      <c r="Z250" s="20"/>
      <c r="AA250" s="25" t="s">
        <v>222</v>
      </c>
      <c r="AB250" s="20" t="str">
        <f>IF(ISBLANK(S250),"是","否")</f>
        <v>否</v>
      </c>
      <c r="AD250" s="35"/>
      <c r="AE250" s="35"/>
      <c r="AH250" s="20" t="s">
        <v>76</v>
      </c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</row>
    <row r="251" ht="29.59398496240601" customHeight="1" spans="1:57" x14ac:dyDescent="0.25">
      <c r="A251" s="20" t="s">
        <v>682</v>
      </c>
      <c r="B251" s="19" t="s">
        <v>1169</v>
      </c>
      <c r="C251" s="20" t="s">
        <v>57</v>
      </c>
      <c r="D251" s="21"/>
      <c r="E251" s="22"/>
      <c r="F251" s="21" t="s">
        <v>1176</v>
      </c>
      <c r="G251" s="29" t="s">
        <v>1177</v>
      </c>
      <c r="H251" s="20" t="str">
        <f>SUBSTITUTE(SUBSTITUTE(SUBSTITUTE(S251,"/@","_"),"/cac:","_"),"/cbc:","_")</f>
        <v>Invoice_AllowanceCharge_ChargeIndicator</v>
      </c>
      <c r="I251" s="20" t="str">
        <f>SUBSTITUTE(SUBSTITUTE(SUBSTITUTE(T251,"/@","_"),"/cac:","_"),"/cbc:","_")</f>
        <v/>
      </c>
      <c r="J251" s="25" t="s">
        <v>1179</v>
      </c>
      <c r="K251" s="25" t="s">
        <v>1180</v>
      </c>
      <c r="L251" s="35" t="s">
        <v>1181</v>
      </c>
      <c r="M251" s="25" t="s">
        <v>1182</v>
      </c>
      <c r="N251" s="27" t="s">
        <v>165</v>
      </c>
      <c r="O251" s="25">
        <v>1</v>
      </c>
      <c r="P251" s="27" t="s">
        <v>50</v>
      </c>
      <c r="Q251" s="26" t="str">
        <f>IF(S251="","",LEN(S251)-LEN(SUBSTITUTE(S251,"/",""))+IF(ISNUMBER(SEARCH("@",S251)),0,1))</f>
        <v>3</v>
      </c>
      <c r="R251" s="42" t="s">
        <v>1183</v>
      </c>
      <c r="S251" s="25" t="s">
        <v>1183</v>
      </c>
      <c r="T251" s="36"/>
      <c r="V251" s="25"/>
      <c r="W251" s="25" t="s">
        <v>1184</v>
      </c>
      <c r="X251" s="46"/>
      <c r="Y251" s="20"/>
      <c r="Z251" s="20"/>
      <c r="AA251" s="25" t="s">
        <v>68</v>
      </c>
      <c r="AB251" s="20" t="str">
        <f>IF(ISBLANK(S251),"是","否")</f>
        <v>否</v>
      </c>
      <c r="AD251" s="35"/>
      <c r="AE251" s="35"/>
      <c r="AH251" s="20" t="s">
        <v>76</v>
      </c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</row>
    <row r="252" ht="29.59398496240601" customHeight="1" spans="1:57" x14ac:dyDescent="0.25">
      <c r="A252" s="20" t="s">
        <v>682</v>
      </c>
      <c r="B252" s="19" t="s">
        <v>1169</v>
      </c>
      <c r="C252" s="20" t="s">
        <v>57</v>
      </c>
      <c r="D252" s="21"/>
      <c r="E252" s="22"/>
      <c r="F252" s="21" t="s">
        <v>1185</v>
      </c>
      <c r="G252" s="29" t="s">
        <v>1186</v>
      </c>
      <c r="H252" s="20" t="str">
        <f>SUBSTITUTE(SUBSTITUTE(SUBSTITUTE(S252,"/@","_"),"/cac:","_"),"/cbc:","_")</f>
        <v>Invoice_AllowanceCharge_AllowanceChargeReasonCode</v>
      </c>
      <c r="I252" s="20" t="str">
        <f>SUBSTITUTE(SUBSTITUTE(SUBSTITUTE(T252,"/@","_"),"/cac:","_"),"/cbc:","_")</f>
        <v/>
      </c>
      <c r="J252" s="25" t="s">
        <v>1188</v>
      </c>
      <c r="K252" s="25" t="s">
        <v>1189</v>
      </c>
      <c r="L252" s="35" t="s">
        <v>1190</v>
      </c>
      <c r="M252" s="25" t="s">
        <v>243</v>
      </c>
      <c r="N252" s="27" t="s">
        <v>64</v>
      </c>
      <c r="O252" s="25" t="s">
        <v>64</v>
      </c>
      <c r="P252" s="27" t="s">
        <v>50</v>
      </c>
      <c r="Q252" s="26" t="str">
        <f>IF(S252="","",LEN(S252)-LEN(SUBSTITUTE(S252,"/",""))+IF(ISNUMBER(SEARCH("@",S252)),0,1))</f>
        <v>3</v>
      </c>
      <c r="R252" s="42" t="s">
        <v>1191</v>
      </c>
      <c r="S252" s="25" t="s">
        <v>1191</v>
      </c>
      <c r="T252" s="36"/>
      <c r="V252" s="25"/>
      <c r="W252" s="25">
        <v>95</v>
      </c>
      <c r="X252" s="46"/>
      <c r="Y252" s="20"/>
      <c r="Z252" s="20"/>
      <c r="AA252" s="25" t="s">
        <v>68</v>
      </c>
      <c r="AB252" s="20" t="str">
        <f>IF(ISBLANK(S252),"是","否")</f>
        <v>否</v>
      </c>
      <c r="AD252" s="35"/>
      <c r="AE252" s="35"/>
      <c r="AH252" s="20" t="s">
        <v>76</v>
      </c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</row>
    <row r="253" ht="29.59398496240601" customHeight="1" spans="1:57" x14ac:dyDescent="0.25">
      <c r="A253" s="20" t="s">
        <v>682</v>
      </c>
      <c r="B253" s="19" t="s">
        <v>1169</v>
      </c>
      <c r="C253" s="20" t="s">
        <v>57</v>
      </c>
      <c r="D253" s="21"/>
      <c r="E253" s="22"/>
      <c r="F253" s="21" t="s">
        <v>1192</v>
      </c>
      <c r="G253" s="29" t="s">
        <v>1193</v>
      </c>
      <c r="H253" s="20" t="str">
        <f>SUBSTITUTE(SUBSTITUTE(SUBSTITUTE(S253,"/@","_"),"/cac:","_"),"/cbc:","_")</f>
        <v>Invoice_AllowanceCharge_AllowanceChargeReason</v>
      </c>
      <c r="I253" s="20" t="str">
        <f>SUBSTITUTE(SUBSTITUTE(SUBSTITUTE(T253,"/@","_"),"/cac:","_"),"/cbc:","_")</f>
        <v/>
      </c>
      <c r="J253" s="25" t="s">
        <v>1195</v>
      </c>
      <c r="K253" s="25" t="s">
        <v>1196</v>
      </c>
      <c r="L253" s="35" t="s">
        <v>1197</v>
      </c>
      <c r="M253" s="25" t="s">
        <v>228</v>
      </c>
      <c r="N253" s="27" t="s">
        <v>64</v>
      </c>
      <c r="O253" s="25" t="s">
        <v>64</v>
      </c>
      <c r="P253" s="27" t="s">
        <v>50</v>
      </c>
      <c r="Q253" s="26" t="str">
        <f>IF(S253="","",LEN(S253)-LEN(SUBSTITUTE(S253,"/",""))+IF(ISNUMBER(SEARCH("@",S253)),0,1))</f>
        <v>3</v>
      </c>
      <c r="R253" s="42" t="s">
        <v>1198</v>
      </c>
      <c r="S253" s="25" t="s">
        <v>1198</v>
      </c>
      <c r="T253" s="36"/>
      <c r="V253" s="25"/>
      <c r="W253" s="25" t="s">
        <v>1199</v>
      </c>
      <c r="X253" s="46"/>
      <c r="Y253" s="20"/>
      <c r="Z253" s="20"/>
      <c r="AA253" s="25" t="s">
        <v>68</v>
      </c>
      <c r="AB253" s="20" t="str">
        <f>IF(ISBLANK(S253),"是","否")</f>
        <v>否</v>
      </c>
      <c r="AD253" s="35"/>
      <c r="AE253" s="35"/>
      <c r="AH253" s="20" t="s">
        <v>76</v>
      </c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</row>
    <row r="254" ht="29.59398496240601" customHeight="1" spans="1:57" x14ac:dyDescent="0.25">
      <c r="A254" s="20" t="s">
        <v>682</v>
      </c>
      <c r="B254" s="19" t="s">
        <v>1169</v>
      </c>
      <c r="C254" s="20" t="s">
        <v>57</v>
      </c>
      <c r="D254" s="21"/>
      <c r="E254" s="22"/>
      <c r="F254" s="21" t="s">
        <v>1200</v>
      </c>
      <c r="G254" s="29" t="s">
        <v>1201</v>
      </c>
      <c r="H254" s="20" t="str">
        <f>SUBSTITUTE(SUBSTITUTE(SUBSTITUTE(S254,"/@","_"),"/cac:","_"),"/cbc:","_")</f>
        <v>Invoice_AllowanceCharge_MultiplierFactorNumeric</v>
      </c>
      <c r="I254" s="20" t="str">
        <f>SUBSTITUTE(SUBSTITUTE(SUBSTITUTE(T254,"/@","_"),"/cac:","_"),"/cbc:","_")</f>
        <v/>
      </c>
      <c r="J254" s="25" t="s">
        <v>1203</v>
      </c>
      <c r="K254" s="25" t="s">
        <v>1204</v>
      </c>
      <c r="L254" s="35" t="s">
        <v>1205</v>
      </c>
      <c r="M254" s="25" t="s">
        <v>1000</v>
      </c>
      <c r="N254" s="27" t="s">
        <v>64</v>
      </c>
      <c r="O254" s="25" t="s">
        <v>64</v>
      </c>
      <c r="P254" s="27" t="s">
        <v>50</v>
      </c>
      <c r="Q254" s="26" t="str">
        <f>IF(S254="","",LEN(S254)-LEN(SUBSTITUTE(S254,"/",""))+IF(ISNUMBER(SEARCH("@",S254)),0,1))</f>
        <v>3</v>
      </c>
      <c r="R254" s="42" t="s">
        <v>1206</v>
      </c>
      <c r="S254" s="25" t="s">
        <v>1206</v>
      </c>
      <c r="T254" s="36"/>
      <c r="V254" s="25"/>
      <c r="W254" s="25">
        <v>10</v>
      </c>
      <c r="X254" s="46"/>
      <c r="Y254" s="20"/>
      <c r="Z254" s="20"/>
      <c r="AA254" s="25" t="s">
        <v>68</v>
      </c>
      <c r="AB254" s="20" t="str">
        <f>IF(ISBLANK(S254),"是","否")</f>
        <v>否</v>
      </c>
      <c r="AD254" s="35"/>
      <c r="AE254" s="35"/>
      <c r="AH254" s="20" t="s">
        <v>76</v>
      </c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</row>
    <row r="255" ht="29.59398496240601" customHeight="1" spans="1:57" x14ac:dyDescent="0.25">
      <c r="A255" s="20" t="s">
        <v>682</v>
      </c>
      <c r="B255" s="19" t="s">
        <v>1169</v>
      </c>
      <c r="C255" s="20" t="s">
        <v>57</v>
      </c>
      <c r="D255" s="21"/>
      <c r="E255" s="22"/>
      <c r="F255" s="21" t="s">
        <v>1207</v>
      </c>
      <c r="G255" s="29" t="s">
        <v>1208</v>
      </c>
      <c r="H255" s="20" t="str">
        <f>SUBSTITUTE(SUBSTITUTE(SUBSTITUTE(S255,"/@","_"),"/cac:","_"),"/cbc:","_")</f>
        <v>Invoice_AllowanceCharge_Amount</v>
      </c>
      <c r="I255" s="20" t="str">
        <f>SUBSTITUTE(SUBSTITUTE(SUBSTITUTE(T255,"/@","_"),"/cac:","_"),"/cbc:","_")</f>
        <v/>
      </c>
      <c r="J255" s="25" t="s">
        <v>1210</v>
      </c>
      <c r="K255" s="25" t="s">
        <v>1211</v>
      </c>
      <c r="L255" s="35" t="s">
        <v>1212</v>
      </c>
      <c r="M255" s="25" t="s">
        <v>1000</v>
      </c>
      <c r="N255" s="27" t="s">
        <v>165</v>
      </c>
      <c r="O255" s="25">
        <v>1</v>
      </c>
      <c r="P255" s="27" t="s">
        <v>50</v>
      </c>
      <c r="Q255" s="26" t="str">
        <f>IF(S255="","",LEN(S255)-LEN(SUBSTITUTE(S255,"/",""))+IF(ISNUMBER(SEARCH("@",S255)),0,1))</f>
        <v>3</v>
      </c>
      <c r="R255" s="42" t="s">
        <v>1213</v>
      </c>
      <c r="S255" s="25" t="s">
        <v>1213</v>
      </c>
      <c r="T255" s="36"/>
      <c r="V255" s="25"/>
      <c r="W255" s="25">
        <v>20</v>
      </c>
      <c r="X255" s="46"/>
      <c r="Y255" s="20"/>
      <c r="Z255" s="20"/>
      <c r="AA255" s="25" t="s">
        <v>68</v>
      </c>
      <c r="AB255" s="20" t="str">
        <f>IF(ISBLANK(S255),"是","否")</f>
        <v>否</v>
      </c>
      <c r="AD255" s="35"/>
      <c r="AE255" s="35"/>
      <c r="AF255" s="37">
        <v>156</v>
      </c>
      <c r="AG255" s="25" t="s">
        <v>1214</v>
      </c>
      <c r="AH255" s="20" t="s">
        <v>76</v>
      </c>
      <c r="AI255" s="37"/>
      <c r="AJ255" s="35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</row>
    <row r="256" ht="29.59398496240601" customHeight="1" spans="1:57" x14ac:dyDescent="0.25">
      <c r="A256" s="20" t="s">
        <v>682</v>
      </c>
      <c r="B256" s="19" t="s">
        <v>1169</v>
      </c>
      <c r="C256" s="20" t="s">
        <v>57</v>
      </c>
      <c r="D256" s="21"/>
      <c r="E256" s="22"/>
      <c r="F256" s="21" t="s">
        <v>1215</v>
      </c>
      <c r="G256" s="29" t="s">
        <v>1216</v>
      </c>
      <c r="H256" s="20" t="str">
        <f>SUBSTITUTE(SUBSTITUTE(SUBSTITUTE(S256,"/@","_"),"/cac:","_"),"/cbc:","_")</f>
        <v>Invoice_AllowanceCharge_Amount_currencyID</v>
      </c>
      <c r="I256" s="20" t="str">
        <f>SUBSTITUTE(SUBSTITUTE(SUBSTITUTE(T256,"/@","_"),"/cac:","_"),"/cbc:","_")</f>
        <v/>
      </c>
      <c r="J256" s="25" t="s">
        <v>1055</v>
      </c>
      <c r="K256" s="25" t="s">
        <v>1218</v>
      </c>
      <c r="L256" s="35" t="s">
        <v>1036</v>
      </c>
      <c r="M256" s="25" t="s">
        <v>243</v>
      </c>
      <c r="N256" s="27" t="s">
        <v>64</v>
      </c>
      <c r="O256" s="25" t="s">
        <v>64</v>
      </c>
      <c r="P256" s="27" t="s">
        <v>50</v>
      </c>
      <c r="Q256" s="26" t="str">
        <f>IF(S256="","",LEN(S256)-LEN(SUBSTITUTE(S256,"/",""))+IF(ISNUMBER(SEARCH("@",S256)),0,1))</f>
        <v>3</v>
      </c>
      <c r="R256" s="42" t="s">
        <v>1219</v>
      </c>
      <c r="S256" s="25" t="s">
        <v>1219</v>
      </c>
      <c r="T256" s="36"/>
      <c r="V256" s="25"/>
      <c r="W256" s="25" t="s">
        <v>993</v>
      </c>
      <c r="X256" s="46"/>
      <c r="Y256" s="20"/>
      <c r="Z256" s="20"/>
      <c r="AA256" s="25" t="s">
        <v>68</v>
      </c>
      <c r="AB256" s="20" t="str">
        <f>IF(ISBLANK(S256),"是","否")</f>
        <v>否</v>
      </c>
      <c r="AD256" s="35"/>
      <c r="AE256" s="35"/>
      <c r="AH256" s="20" t="s">
        <v>76</v>
      </c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</row>
    <row r="257" ht="29.59398496240601" customHeight="1" spans="1:57" x14ac:dyDescent="0.25">
      <c r="A257" s="20" t="s">
        <v>682</v>
      </c>
      <c r="B257" s="19" t="s">
        <v>1169</v>
      </c>
      <c r="C257" s="20" t="s">
        <v>57</v>
      </c>
      <c r="D257" s="21"/>
      <c r="E257" s="22"/>
      <c r="F257" s="21" t="s">
        <v>1220</v>
      </c>
      <c r="G257" s="29" t="s">
        <v>1221</v>
      </c>
      <c r="H257" s="20" t="str">
        <f>SUBSTITUTE(SUBSTITUTE(SUBSTITUTE(S257,"/@","_"),"/cac:","_"),"/cbc:","_")</f>
        <v>Invoice_AllowanceCharge_BaseAmount</v>
      </c>
      <c r="I257" s="20" t="str">
        <f>SUBSTITUTE(SUBSTITUTE(SUBSTITUTE(T257,"/@","_"),"/cac:","_"),"/cbc:","_")</f>
        <v/>
      </c>
      <c r="J257" s="25" t="s">
        <v>1223</v>
      </c>
      <c r="K257" s="25" t="s">
        <v>1224</v>
      </c>
      <c r="L257" s="35" t="s">
        <v>1139</v>
      </c>
      <c r="M257" s="25" t="s">
        <v>1000</v>
      </c>
      <c r="N257" s="27" t="s">
        <v>64</v>
      </c>
      <c r="O257" s="25" t="s">
        <v>64</v>
      </c>
      <c r="P257" s="27" t="s">
        <v>50</v>
      </c>
      <c r="Q257" s="26" t="str">
        <f>IF(S257="","",LEN(S257)-LEN(SUBSTITUTE(S257,"/",""))+IF(ISNUMBER(SEARCH("@",S257)),0,1))</f>
        <v>3</v>
      </c>
      <c r="R257" s="42" t="s">
        <v>1225</v>
      </c>
      <c r="S257" s="25" t="s">
        <v>1225</v>
      </c>
      <c r="T257" s="36"/>
      <c r="V257" s="25"/>
      <c r="W257" s="25">
        <v>200</v>
      </c>
      <c r="X257" s="46"/>
      <c r="Y257" s="20"/>
      <c r="Z257" s="20"/>
      <c r="AA257" s="25" t="s">
        <v>68</v>
      </c>
      <c r="AB257" s="20" t="str">
        <f>IF(ISBLANK(S257),"是","否")</f>
        <v>否</v>
      </c>
      <c r="AD257" s="35"/>
      <c r="AE257" s="35"/>
      <c r="AH257" s="20" t="s">
        <v>76</v>
      </c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</row>
    <row r="258" ht="29.59398496240601" customHeight="1" spans="1:57" x14ac:dyDescent="0.25">
      <c r="A258" s="20" t="s">
        <v>682</v>
      </c>
      <c r="B258" s="19" t="s">
        <v>1169</v>
      </c>
      <c r="C258" s="20" t="s">
        <v>57</v>
      </c>
      <c r="D258" s="21"/>
      <c r="E258" s="22"/>
      <c r="F258" s="21" t="s">
        <v>1226</v>
      </c>
      <c r="G258" s="29" t="s">
        <v>1227</v>
      </c>
      <c r="H258" s="20" t="str">
        <f>SUBSTITUTE(SUBSTITUTE(SUBSTITUTE(S258,"/@","_"),"/cac:","_"),"/cbc:","_")</f>
        <v>Invoice_AllowanceCharge_BaseAmount_currencyID</v>
      </c>
      <c r="I258" s="20" t="str">
        <f>SUBSTITUTE(SUBSTITUTE(SUBSTITUTE(T258,"/@","_"),"/cac:","_"),"/cbc:","_")</f>
        <v/>
      </c>
      <c r="J258" s="25" t="s">
        <v>1055</v>
      </c>
      <c r="K258" s="25" t="s">
        <v>1229</v>
      </c>
      <c r="L258" s="35" t="s">
        <v>1036</v>
      </c>
      <c r="M258" s="25" t="s">
        <v>243</v>
      </c>
      <c r="N258" s="27" t="s">
        <v>64</v>
      </c>
      <c r="O258" s="25" t="s">
        <v>64</v>
      </c>
      <c r="P258" s="27" t="s">
        <v>50</v>
      </c>
      <c r="Q258" s="26" t="str">
        <f>IF(S258="","",LEN(S258)-LEN(SUBSTITUTE(S258,"/",""))+IF(ISNUMBER(SEARCH("@",S258)),0,1))</f>
        <v>3</v>
      </c>
      <c r="R258" s="42" t="s">
        <v>1230</v>
      </c>
      <c r="S258" s="25" t="s">
        <v>1230</v>
      </c>
      <c r="T258" s="36"/>
      <c r="V258" s="25"/>
      <c r="W258" s="25" t="s">
        <v>993</v>
      </c>
      <c r="X258" s="46"/>
      <c r="Y258" s="20"/>
      <c r="Z258" s="20"/>
      <c r="AA258" s="25" t="s">
        <v>68</v>
      </c>
      <c r="AB258" s="20" t="str">
        <f>IF(ISBLANK(S258),"是","否")</f>
        <v>否</v>
      </c>
      <c r="AD258" s="35"/>
      <c r="AE258" s="35"/>
      <c r="AH258" s="20" t="s">
        <v>76</v>
      </c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</row>
    <row r="259" ht="29.59398496240601" customHeight="1" spans="1:57" x14ac:dyDescent="0.25">
      <c r="A259" s="20" t="s">
        <v>682</v>
      </c>
      <c r="B259" s="19" t="s">
        <v>1071</v>
      </c>
      <c r="C259" s="20" t="s">
        <v>57</v>
      </c>
      <c r="D259" s="21"/>
      <c r="E259" s="22"/>
      <c r="F259" s="21" t="s">
        <v>1231</v>
      </c>
      <c r="G259" s="29" t="s">
        <v>1232</v>
      </c>
      <c r="H259" s="20" t="str">
        <f>SUBSTITUTE(SUBSTITUTE(SUBSTITUTE(S259,"/@","_"),"/cac:","_"),"/cbc:","_")</f>
        <v>Invoice_AllowanceCharge_TaxCategory_ID</v>
      </c>
      <c r="I259" s="20" t="str">
        <f>SUBSTITUTE(SUBSTITUTE(SUBSTITUTE(T259,"/@","_"),"/cac:","_"),"/cbc:","_")</f>
        <v/>
      </c>
      <c r="J259" s="25" t="s">
        <v>1234</v>
      </c>
      <c r="K259" s="25" t="s">
        <v>1235</v>
      </c>
      <c r="L259" s="35" t="s">
        <v>1077</v>
      </c>
      <c r="M259" s="25" t="s">
        <v>243</v>
      </c>
      <c r="N259" s="27" t="s">
        <v>64</v>
      </c>
      <c r="O259" s="25" t="s">
        <v>64</v>
      </c>
      <c r="P259" s="27" t="s">
        <v>50</v>
      </c>
      <c r="Q259" s="26" t="str">
        <f>IF(S259="","",LEN(S259)-LEN(SUBSTITUTE(S259,"/",""))+IF(ISNUMBER(SEARCH("@",S259)),0,1))</f>
        <v>4</v>
      </c>
      <c r="R259" s="42" t="s">
        <v>1236</v>
      </c>
      <c r="S259" s="25" t="s">
        <v>1236</v>
      </c>
      <c r="T259" s="36"/>
      <c r="V259" s="25"/>
      <c r="W259" s="25" t="s">
        <v>1079</v>
      </c>
      <c r="X259" s="46"/>
      <c r="Y259" s="20"/>
      <c r="Z259" s="20"/>
      <c r="AA259" s="25" t="s">
        <v>68</v>
      </c>
      <c r="AB259" s="20" t="str">
        <f>IF(ISBLANK(S259),"是","否")</f>
        <v>否</v>
      </c>
      <c r="AD259" s="35"/>
      <c r="AE259" s="35"/>
      <c r="AH259" s="20" t="s">
        <v>76</v>
      </c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</row>
    <row r="260" ht="29.59398496240601" customHeight="1" spans="1:57" x14ac:dyDescent="0.25">
      <c r="A260" s="20" t="s">
        <v>682</v>
      </c>
      <c r="B260" s="19" t="s">
        <v>1071</v>
      </c>
      <c r="C260" s="20" t="s">
        <v>57</v>
      </c>
      <c r="D260" s="21"/>
      <c r="E260" s="22"/>
      <c r="F260" s="21" t="s">
        <v>1237</v>
      </c>
      <c r="G260" s="29" t="s">
        <v>1238</v>
      </c>
      <c r="H260" s="20" t="str">
        <f>SUBSTITUTE(SUBSTITUTE(SUBSTITUTE(S260,"/@","_"),"/cac:","_"),"/cbc:","_")</f>
        <v>Invoice_AllowanceCharge_TaxCategory_Percent</v>
      </c>
      <c r="I260" s="20" t="str">
        <f>SUBSTITUTE(SUBSTITUTE(SUBSTITUTE(T260,"/@","_"),"/cac:","_"),"/cbc:","_")</f>
        <v/>
      </c>
      <c r="J260" s="25" t="s">
        <v>1240</v>
      </c>
      <c r="K260" s="25" t="s">
        <v>1241</v>
      </c>
      <c r="L260" s="35" t="s">
        <v>1242</v>
      </c>
      <c r="M260" s="25" t="s">
        <v>1000</v>
      </c>
      <c r="N260" s="27" t="s">
        <v>64</v>
      </c>
      <c r="O260" s="25" t="s">
        <v>64</v>
      </c>
      <c r="P260" s="27" t="s">
        <v>50</v>
      </c>
      <c r="Q260" s="26" t="str">
        <f>IF(S260="","",LEN(S260)-LEN(SUBSTITUTE(S260,"/",""))+IF(ISNUMBER(SEARCH("@",S260)),0,1))</f>
        <v>4</v>
      </c>
      <c r="R260" s="42" t="s">
        <v>1243</v>
      </c>
      <c r="S260" s="25" t="s">
        <v>1243</v>
      </c>
      <c r="T260" s="36"/>
      <c r="V260" s="25"/>
      <c r="W260" s="25">
        <v>13</v>
      </c>
      <c r="X260" s="46"/>
      <c r="Y260" s="20"/>
      <c r="Z260" s="20"/>
      <c r="AA260" s="25" t="s">
        <v>68</v>
      </c>
      <c r="AB260" s="20" t="str">
        <f>IF(ISBLANK(S260),"是","否")</f>
        <v>否</v>
      </c>
      <c r="AD260" s="35"/>
      <c r="AE260" s="35"/>
      <c r="AH260" s="20" t="s">
        <v>76</v>
      </c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</row>
    <row r="261" ht="39.879699248120296" customHeight="1" spans="1:57" x14ac:dyDescent="0.25">
      <c r="A261" s="20" t="s">
        <v>682</v>
      </c>
      <c r="B261" s="19" t="s">
        <v>1071</v>
      </c>
      <c r="C261" s="20" t="s">
        <v>57</v>
      </c>
      <c r="D261" s="21"/>
      <c r="E261" s="22"/>
      <c r="F261" s="21" t="s">
        <v>1244</v>
      </c>
      <c r="G261" s="29" t="s">
        <v>1245</v>
      </c>
      <c r="H261" s="20" t="str">
        <f>SUBSTITUTE(SUBSTITUTE(SUBSTITUTE(S261,"/@","_"),"/cac:","_"),"/cbc:","_")</f>
        <v>Invoice_AllowanceCharge_TaxCategory_TaxExemptionReasonCode</v>
      </c>
      <c r="I261" s="20" t="str">
        <f>SUBSTITUTE(SUBSTITUTE(SUBSTITUTE(T261,"/@","_"),"/cac:","_"),"/cbc:","_")</f>
        <v/>
      </c>
      <c r="J261" s="25" t="s">
        <v>1091</v>
      </c>
      <c r="K261" s="25" t="s">
        <v>1247</v>
      </c>
      <c r="L261" s="35" t="s">
        <v>1248</v>
      </c>
      <c r="M261" s="25" t="s">
        <v>243</v>
      </c>
      <c r="N261" s="27" t="s">
        <v>64</v>
      </c>
      <c r="O261" s="25" t="s">
        <v>64</v>
      </c>
      <c r="P261" s="27" t="s">
        <v>50</v>
      </c>
      <c r="Q261" s="26" t="str">
        <f>IF(S261="","",LEN(S261)-LEN(SUBSTITUTE(S261,"/",""))+IF(ISNUMBER(SEARCH("@",S261)),0,1))</f>
        <v>4</v>
      </c>
      <c r="R261" s="42" t="s">
        <v>1249</v>
      </c>
      <c r="S261" s="25" t="s">
        <v>1249</v>
      </c>
      <c r="T261" s="36"/>
      <c r="V261" s="25"/>
      <c r="W261" s="25" t="s">
        <v>1095</v>
      </c>
      <c r="X261" s="46"/>
      <c r="Y261" s="20"/>
      <c r="Z261" s="20"/>
      <c r="AA261" s="25" t="s">
        <v>68</v>
      </c>
      <c r="AB261" s="20" t="str">
        <f>IF(ISBLANK(S261),"是","否")</f>
        <v>否</v>
      </c>
      <c r="AD261" s="35"/>
      <c r="AE261" s="35"/>
      <c r="AH261" s="20" t="s">
        <v>76</v>
      </c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</row>
    <row r="262" ht="39.879699248120296" customHeight="1" spans="1:57" x14ac:dyDescent="0.25">
      <c r="A262" s="20" t="s">
        <v>682</v>
      </c>
      <c r="B262" s="19" t="s">
        <v>1071</v>
      </c>
      <c r="C262" s="20" t="s">
        <v>57</v>
      </c>
      <c r="D262" s="21"/>
      <c r="E262" s="22"/>
      <c r="F262" s="21" t="s">
        <v>1250</v>
      </c>
      <c r="G262" s="29" t="s">
        <v>1251</v>
      </c>
      <c r="H262" s="20" t="str">
        <f>SUBSTITUTE(SUBSTITUTE(SUBSTITUTE(S262,"/@","_"),"/cac:","_"),"/cbc:","_")</f>
        <v>Invoice_AllowanceCharge_TaxCategory_TaxExemptionReason</v>
      </c>
      <c r="I262" s="20" t="str">
        <f>SUBSTITUTE(SUBSTITUTE(SUBSTITUTE(T262,"/@","_"),"/cac:","_"),"/cbc:","_")</f>
        <v/>
      </c>
      <c r="J262" s="25" t="s">
        <v>1253</v>
      </c>
      <c r="K262" s="25" t="s">
        <v>1254</v>
      </c>
      <c r="L262" s="35" t="s">
        <v>1255</v>
      </c>
      <c r="M262" s="25" t="s">
        <v>228</v>
      </c>
      <c r="N262" s="27" t="s">
        <v>64</v>
      </c>
      <c r="O262" s="25" t="s">
        <v>64</v>
      </c>
      <c r="P262" s="27" t="s">
        <v>50</v>
      </c>
      <c r="Q262" s="26" t="str">
        <f>IF(S262="","",LEN(S262)-LEN(SUBSTITUTE(S262,"/",""))+IF(ISNUMBER(SEARCH("@",S262)),0,1))</f>
        <v>4</v>
      </c>
      <c r="R262" s="42" t="s">
        <v>1256</v>
      </c>
      <c r="S262" s="25" t="s">
        <v>1256</v>
      </c>
      <c r="T262" s="36"/>
      <c r="V262" s="25"/>
      <c r="W262" s="25" t="s">
        <v>1257</v>
      </c>
      <c r="X262" s="46"/>
      <c r="Y262" s="20"/>
      <c r="Z262" s="20"/>
      <c r="AA262" s="25" t="s">
        <v>68</v>
      </c>
      <c r="AB262" s="20" t="str">
        <f>IF(ISBLANK(S262),"是","否")</f>
        <v>否</v>
      </c>
      <c r="AD262" s="35"/>
      <c r="AE262" s="35"/>
      <c r="AH262" s="20" t="s">
        <v>76</v>
      </c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</row>
    <row r="263" ht="29.59398496240601" customHeight="1" spans="1:57" x14ac:dyDescent="0.25">
      <c r="A263" s="20" t="s">
        <v>682</v>
      </c>
      <c r="B263" s="19" t="s">
        <v>349</v>
      </c>
      <c r="C263" s="20" t="s">
        <v>57</v>
      </c>
      <c r="D263" s="21"/>
      <c r="E263" s="22"/>
      <c r="F263" s="21" t="s">
        <v>1258</v>
      </c>
      <c r="G263" s="29" t="s">
        <v>1259</v>
      </c>
      <c r="H263" s="20" t="str">
        <f>SUBSTITUTE(SUBSTITUTE(SUBSTITUTE(S263,"/@","_"),"/cac:","_"),"/cbc:","_")</f>
        <v>Invoice_AllowanceCharge_TaxCategory_TaxScheme_ID</v>
      </c>
      <c r="I263" s="20" t="str">
        <f>SUBSTITUTE(SUBSTITUTE(SUBSTITUTE(T263,"/@","_"),"/cac:","_"),"/cbc:","_")</f>
        <v/>
      </c>
      <c r="J263" s="25" t="s">
        <v>1261</v>
      </c>
      <c r="K263" s="25" t="s">
        <v>1262</v>
      </c>
      <c r="L263" s="35" t="s">
        <v>1263</v>
      </c>
      <c r="M263" s="25" t="s">
        <v>243</v>
      </c>
      <c r="N263" s="27" t="s">
        <v>165</v>
      </c>
      <c r="O263" s="25">
        <v>1</v>
      </c>
      <c r="P263" s="27" t="s">
        <v>50</v>
      </c>
      <c r="Q263" s="26" t="str">
        <f>IF(S263="","",LEN(S263)-LEN(SUBSTITUTE(S263,"/",""))+IF(ISNUMBER(SEARCH("@",S263)),0,1))</f>
        <v>5</v>
      </c>
      <c r="R263" s="42" t="s">
        <v>1264</v>
      </c>
      <c r="S263" s="25" t="s">
        <v>1264</v>
      </c>
      <c r="T263" s="36"/>
      <c r="V263" s="25"/>
      <c r="W263" s="25" t="s">
        <v>791</v>
      </c>
      <c r="X263" s="46"/>
      <c r="Y263" s="20"/>
      <c r="Z263" s="20"/>
      <c r="AA263" s="25" t="s">
        <v>68</v>
      </c>
      <c r="AB263" s="20" t="str">
        <f>IF(ISBLANK(S263),"是","否")</f>
        <v>否</v>
      </c>
      <c r="AD263" s="35"/>
      <c r="AE263" s="35"/>
      <c r="AH263" s="20" t="s">
        <v>76</v>
      </c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</row>
    <row r="264" ht="29.59398496240601" customHeight="1" spans="1:57" x14ac:dyDescent="0.25">
      <c r="A264" s="20" t="s">
        <v>682</v>
      </c>
      <c r="B264" s="19" t="s">
        <v>109</v>
      </c>
      <c r="C264" s="20" t="s">
        <v>57</v>
      </c>
      <c r="D264" s="21"/>
      <c r="E264" s="22"/>
      <c r="F264" s="21" t="s">
        <v>1265</v>
      </c>
      <c r="G264" s="29" t="s">
        <v>1266</v>
      </c>
      <c r="H264" s="20" t="str">
        <f>SUBSTITUTE(SUBSTITUTE(SUBSTITUTE(S264,"/@","_"),"/cac:","_"),"/cbc:","_")</f>
        <v>Invoice_AllowanceCharge_TaxTotal_TaxAmount</v>
      </c>
      <c r="I264" s="20" t="str">
        <f>SUBSTITUTE(SUBSTITUTE(SUBSTITUTE(T264,"/@","_"),"/cac:","_"),"/cbc:","_")</f>
        <v/>
      </c>
      <c r="J264" s="25" t="s">
        <v>1268</v>
      </c>
      <c r="K264" s="25" t="s">
        <v>1269</v>
      </c>
      <c r="L264" s="35" t="s">
        <v>1139</v>
      </c>
      <c r="M264" s="25" t="s">
        <v>1000</v>
      </c>
      <c r="N264" s="27" t="s">
        <v>165</v>
      </c>
      <c r="O264" s="25">
        <v>1</v>
      </c>
      <c r="P264" s="27" t="s">
        <v>50</v>
      </c>
      <c r="Q264" s="26" t="str">
        <f>IF(S264="","",LEN(S264)-LEN(SUBSTITUTE(S264,"/",""))+IF(ISNUMBER(SEARCH("@",S264)),0,1))</f>
        <v>4</v>
      </c>
      <c r="R264" s="42" t="s">
        <v>1270</v>
      </c>
      <c r="S264" s="25" t="s">
        <v>1270</v>
      </c>
      <c r="T264" s="36"/>
      <c r="V264" s="25"/>
      <c r="W264" s="25">
        <v>2.6</v>
      </c>
      <c r="X264" s="46"/>
      <c r="Y264" s="20"/>
      <c r="Z264" s="20"/>
      <c r="AA264" s="25" t="s">
        <v>68</v>
      </c>
      <c r="AB264" s="20" t="str">
        <f>IF(ISBLANK(S264),"是","否")</f>
        <v>否</v>
      </c>
      <c r="AD264" s="35"/>
      <c r="AE264" s="35"/>
      <c r="AH264" s="20" t="s">
        <v>76</v>
      </c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</row>
    <row r="265" ht="39.879699248120296" customHeight="1" spans="1:57" x14ac:dyDescent="0.25">
      <c r="A265" s="20" t="s">
        <v>682</v>
      </c>
      <c r="B265" s="19" t="s">
        <v>109</v>
      </c>
      <c r="C265" s="20" t="s">
        <v>57</v>
      </c>
      <c r="D265" s="21"/>
      <c r="E265" s="22"/>
      <c r="F265" s="21" t="s">
        <v>1271</v>
      </c>
      <c r="G265" s="29" t="s">
        <v>1272</v>
      </c>
      <c r="H265" s="20" t="str">
        <f>SUBSTITUTE(SUBSTITUTE(SUBSTITUTE(S265,"/@","_"),"/cac:","_"),"/cbc:","_")</f>
        <v>Invoice_AllowanceCharge_TaxTotal_TaxAmount_currencyID</v>
      </c>
      <c r="I265" s="20" t="str">
        <f>SUBSTITUTE(SUBSTITUTE(SUBSTITUTE(T265,"/@","_"),"/cac:","_"),"/cbc:","_")</f>
        <v/>
      </c>
      <c r="J265" s="25" t="s">
        <v>1055</v>
      </c>
      <c r="K265" s="25" t="s">
        <v>1274</v>
      </c>
      <c r="L265" s="35" t="s">
        <v>1036</v>
      </c>
      <c r="M265" s="25" t="s">
        <v>243</v>
      </c>
      <c r="N265" s="27" t="s">
        <v>64</v>
      </c>
      <c r="O265" s="25" t="s">
        <v>64</v>
      </c>
      <c r="P265" s="27" t="s">
        <v>50</v>
      </c>
      <c r="Q265" s="26" t="str">
        <f>IF(S265="","",LEN(S265)-LEN(SUBSTITUTE(S265,"/",""))+IF(ISNUMBER(SEARCH("@",S265)),0,1))</f>
        <v>4</v>
      </c>
      <c r="R265" s="42" t="s">
        <v>1275</v>
      </c>
      <c r="S265" s="25" t="s">
        <v>1275</v>
      </c>
      <c r="T265" s="36"/>
      <c r="V265" s="25"/>
      <c r="W265" s="25" t="s">
        <v>993</v>
      </c>
      <c r="X265" s="46"/>
      <c r="Y265" s="20"/>
      <c r="Z265" s="20"/>
      <c r="AA265" s="25" t="s">
        <v>68</v>
      </c>
      <c r="AB265" s="20" t="str">
        <f>IF(ISBLANK(S265),"是","否")</f>
        <v>否</v>
      </c>
      <c r="AD265" s="35"/>
      <c r="AE265" s="35"/>
      <c r="AH265" s="20" t="s">
        <v>76</v>
      </c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</row>
    <row r="266" ht="29.59398496240601" customHeight="1" spans="1:57" x14ac:dyDescent="0.25">
      <c r="A266" s="20" t="s">
        <v>682</v>
      </c>
      <c r="B266" s="27"/>
      <c r="C266" s="20" t="s">
        <v>57</v>
      </c>
      <c r="D266" s="21"/>
      <c r="E266" s="22"/>
      <c r="F266" s="38"/>
      <c r="G266" s="39"/>
      <c r="H266" s="20" t="str">
        <f>SUBSTITUTE(SUBSTITUTE(SUBSTITUTE(S266,"/@","_"),"/cac:","_"),"/cbc:","_")</f>
        <v/>
      </c>
      <c r="I266" s="20" t="str">
        <f>SUBSTITUTE(SUBSTITUTE(SUBSTITUTE(T266,"/@","_"),"/cac:","_"),"/cbc:","_")</f>
        <v/>
      </c>
      <c r="J266" s="25"/>
      <c r="K266" s="25" t="s">
        <v>1277</v>
      </c>
      <c r="L266" s="25" t="s">
        <v>959</v>
      </c>
      <c r="M266" s="25" t="s">
        <v>681</v>
      </c>
      <c r="N266" s="27"/>
      <c r="O266" s="25"/>
      <c r="P266" s="27"/>
      <c r="Q266" s="26" t="str">
        <f>IF(S266="","",LEN(S266)-LEN(SUBSTITUTE(S266,"/",""))+IF(ISNUMBER(SEARCH("@",S266)),0,1))</f>
        <v/>
      </c>
      <c r="R266" s="42"/>
      <c r="S266" s="25"/>
      <c r="T266" s="20"/>
      <c r="U266" s="20"/>
      <c r="V266" s="20"/>
      <c r="W266" s="25"/>
      <c r="X266" s="46"/>
      <c r="Y266" s="20"/>
      <c r="Z266" s="20"/>
      <c r="AA266" s="25"/>
      <c r="AB266" s="20" t="str">
        <f>IF(ISBLANK(S266),"是","否")</f>
        <v>是</v>
      </c>
      <c r="AC266" s="20"/>
      <c r="AD266" s="25"/>
      <c r="AE266" s="25"/>
      <c r="AH266" s="20" t="s">
        <v>653</v>
      </c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</row>
    <row r="267" ht="101.59398496240601" customHeight="1" spans="1:57" x14ac:dyDescent="0.25">
      <c r="A267" s="20" t="s">
        <v>67</v>
      </c>
      <c r="B267" s="19" t="s">
        <v>139</v>
      </c>
      <c r="C267" s="20" t="s">
        <v>57</v>
      </c>
      <c r="D267" s="21"/>
      <c r="E267" s="22"/>
      <c r="F267" s="21"/>
      <c r="G267" s="23"/>
      <c r="H267" s="20" t="str">
        <f>SUBSTITUTE(SUBSTITUTE(SUBSTITUTE(S267,"/@","_"),"/cac:","_"),"/cbc:","_")</f>
        <v>Invoice_AdditionalDocumentReference_ID</v>
      </c>
      <c r="I267" s="20" t="str">
        <f>SUBSTITUTE(SUBSTITUTE(SUBSTITUTE(T267,"/@","_"),"/cac:","_"),"/cbc:","_")</f>
        <v>首选：将“财务凭证”视为与发票关联的“附加文档”，用 AdditionalDocumentReference 引用该凭证，并以 DocumentReference/ID 承载“凭证号”。</v>
      </c>
      <c r="J267" s="19"/>
      <c r="K267" s="19" t="s">
        <v>172</v>
      </c>
      <c r="L267" s="20"/>
      <c r="M267" s="25"/>
      <c r="N267" s="20"/>
      <c r="O267" s="20" t="s">
        <v>165</v>
      </c>
      <c r="P267" s="20"/>
      <c r="Q267" s="26" t="str">
        <f>IF(S267="","",LEN(S267)-LEN(SUBSTITUTE(S267,"/",""))+IF(ISNUMBER(SEARCH("@",S267)),0,1))</f>
        <v>3</v>
      </c>
      <c r="R267" s="26"/>
      <c r="S267" s="19" t="s">
        <v>173</v>
      </c>
      <c r="T267" s="19" t="s">
        <v>1279</v>
      </c>
      <c r="U267" s="20"/>
      <c r="V267" s="20"/>
      <c r="W267" s="20" t="s">
        <v>138</v>
      </c>
      <c r="X267" s="46"/>
      <c r="Y267" s="20"/>
      <c r="Z267" s="20"/>
      <c r="AA267" s="20" t="s">
        <v>68</v>
      </c>
      <c r="AB267" s="20" t="str">
        <f>IF(ISBLANK(S267),"是","否")</f>
        <v>否</v>
      </c>
      <c r="AC267" s="20" t="s">
        <v>76</v>
      </c>
      <c r="AD267" s="25"/>
      <c r="AE267" s="25"/>
      <c r="AF267" s="24"/>
      <c r="AG267" s="25"/>
      <c r="AH267" s="20" t="s">
        <v>1280</v>
      </c>
      <c r="AI267" s="24"/>
      <c r="AJ267" s="25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</row>
    <row r="268" ht="132.45112781954887" customHeight="1" spans="1:57" x14ac:dyDescent="0.25">
      <c r="A268" s="20" t="s">
        <v>67</v>
      </c>
      <c r="B268" s="27"/>
      <c r="C268" s="20" t="s">
        <v>57</v>
      </c>
      <c r="D268" s="21" t="s">
        <v>937</v>
      </c>
      <c r="E268" s="22" t="s">
        <v>938</v>
      </c>
      <c r="F268" s="21" t="s">
        <v>939</v>
      </c>
      <c r="G268" s="23" t="s">
        <v>939</v>
      </c>
      <c r="H268" s="20" t="str">
        <f>SUBSTITUTE(SUBSTITUTE(SUBSTITUTE(S268,"/@","_"),"/cac:","_"),"/cbc:","_")</f>
        <v/>
      </c>
      <c r="I268" s="20" t="str">
        <f>SUBSTITUTE(SUBSTITUTE(SUBSTITUTE(T268,"/@","_"),"/cac:","_"),"/cbc:","_")</f>
        <v>UBL 的税务域可表达税种/税类/免税原因等（如 TaxExemptionReasonCode），但你给的“增值税用途”枚举是企业内部抵扣/勾选/退税流程状态，在标准行中无等价字段；因此不匹配。</v>
      </c>
      <c r="J268" s="19"/>
      <c r="K268" s="19"/>
      <c r="M268" s="25" t="s">
        <v>941</v>
      </c>
      <c r="N268" s="20"/>
      <c r="O268" s="20"/>
      <c r="P268" s="20"/>
      <c r="Q268" s="26" t="str">
        <f>IF(S268="","",LEN(S268)-LEN(SUBSTITUTE(S268,"/",""))+IF(ISNUMBER(SEARCH("@",S268)),0,1))</f>
        <v/>
      </c>
      <c r="R268" s="26"/>
      <c r="S268" s="19"/>
      <c r="T268" s="19" t="s">
        <v>1282</v>
      </c>
      <c r="V268" s="25" t="s">
        <v>1283</v>
      </c>
      <c r="W268" s="20"/>
      <c r="X268" s="46"/>
      <c r="Y268" s="20"/>
      <c r="Z268" s="20"/>
      <c r="AA268" s="20"/>
      <c r="AB268" s="20" t="str">
        <f>IF(ISBLANK(S268),"是","否")</f>
        <v>是</v>
      </c>
      <c r="AC268" s="20" t="s">
        <v>76</v>
      </c>
      <c r="AD268" s="35"/>
      <c r="AE268" s="35"/>
      <c r="AF268" s="37">
        <v>131</v>
      </c>
      <c r="AG268" s="25" t="s">
        <v>939</v>
      </c>
      <c r="AH268" s="20" t="s">
        <v>1280</v>
      </c>
      <c r="AI268" s="37"/>
      <c r="AJ268" s="35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</row>
    <row r="269" ht="122.16541353383457" customHeight="1" spans="1:57" x14ac:dyDescent="0.25">
      <c r="A269" s="20" t="s">
        <v>67</v>
      </c>
      <c r="B269" s="19" t="s">
        <v>139</v>
      </c>
      <c r="C269" s="20" t="s">
        <v>57</v>
      </c>
      <c r="D269" s="21" t="s">
        <v>937</v>
      </c>
      <c r="E269" s="22" t="s">
        <v>938</v>
      </c>
      <c r="F269" s="21" t="s">
        <v>944</v>
      </c>
      <c r="G269" s="23" t="s">
        <v>944</v>
      </c>
      <c r="H269" s="20" t="str">
        <f>SUBSTITUTE(SUBSTITUTE(SUBSTITUTE(S269,"/@","_"),"/cac:","_"),"/cbc:","_")</f>
        <v>Invoice_AdditionalDocumentReference_DocumentStatusCode</v>
      </c>
      <c r="I269" s="20" t="str">
        <f>SUBSTITUTE(SUBSTITUTE(SUBSTITUTE(T269,"/@","_"),"/cac:","_"),"/cbc:","_")</f>
        <v>有条件匹配：若 AdditionalDocumentReference 指向“财务凭证”，则可用 DocumentStatusCode 表达“未入账/已入账/撤销”等（此处语义是“被引用文档的状态”，而非 Invoice 自身状态字段）。</v>
      </c>
      <c r="J269" s="19"/>
      <c r="K269" s="19" t="s">
        <v>1285</v>
      </c>
      <c r="M269" s="25" t="s">
        <v>941</v>
      </c>
      <c r="N269" s="20"/>
      <c r="O269" s="20" t="s">
        <v>64</v>
      </c>
      <c r="P269" s="20"/>
      <c r="Q269" s="26" t="str">
        <f>IF(S269="","",LEN(S269)-LEN(SUBSTITUTE(S269,"/",""))+IF(ISNUMBER(SEARCH("@",S269)),0,1))</f>
        <v>3</v>
      </c>
      <c r="R269" s="26"/>
      <c r="S269" s="19" t="s">
        <v>1286</v>
      </c>
      <c r="T269" s="19" t="s">
        <v>1287</v>
      </c>
      <c r="V269" s="25" t="s">
        <v>1288</v>
      </c>
      <c r="W269" s="20"/>
      <c r="X269" s="46"/>
      <c r="Y269" s="20"/>
      <c r="Z269" s="20"/>
      <c r="AA269" s="20" t="s">
        <v>68</v>
      </c>
      <c r="AB269" s="20" t="str">
        <f>IF(ISBLANK(S269),"是","否")</f>
        <v>否</v>
      </c>
      <c r="AC269" s="20" t="s">
        <v>76</v>
      </c>
      <c r="AD269" s="35"/>
      <c r="AE269" s="35"/>
      <c r="AF269" s="37">
        <v>132</v>
      </c>
      <c r="AG269" s="25" t="s">
        <v>944</v>
      </c>
      <c r="AH269" s="20" t="s">
        <v>1280</v>
      </c>
      <c r="AI269" s="37"/>
      <c r="AJ269" s="35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</row>
    <row r="270" ht="183.8796992481203" customHeight="1" spans="1:57" x14ac:dyDescent="0.25">
      <c r="A270" s="20" t="s">
        <v>67</v>
      </c>
      <c r="B270" s="27"/>
      <c r="C270" s="20" t="s">
        <v>57</v>
      </c>
      <c r="D270" s="21" t="s">
        <v>937</v>
      </c>
      <c r="E270" s="22" t="s">
        <v>938</v>
      </c>
      <c r="F270" s="21" t="s">
        <v>948</v>
      </c>
      <c r="G270" s="23" t="s">
        <v>948</v>
      </c>
      <c r="H270" s="20" t="str">
        <f>SUBSTITUTE(SUBSTITUTE(SUBSTITUTE(S270,"/@","_"),"/cac:","_"),"/cbc:","_")</f>
        <v/>
      </c>
      <c r="I270" s="20" t="str">
        <f>SUBSTITUTE(SUBSTITUTE(SUBSTITUTE(T270,"/@","_"),"/cac:","_"),"/cbc:","_")</f>
        <v>【未匹配】在 Invoice Summary Report 中，税相关语义主要通过 TaxPointDate、TaxCurrencyCode、TaxTotal 等结构表达“计税时点/币种/税额汇总”，未出现与“消费税用途/用途状态码(00/01)”语义一致的字段行；该字段更像企业内部用途归类/勾选状态，不是 UBL Invoice 明确定义的税务业务要素。</v>
      </c>
      <c r="J270" s="19"/>
      <c r="K270" s="19"/>
      <c r="M270" s="25" t="s">
        <v>941</v>
      </c>
      <c r="N270" s="20"/>
      <c r="O270" s="20"/>
      <c r="P270" s="20"/>
      <c r="Q270" s="26" t="str">
        <f>IF(S270="","",LEN(S270)-LEN(SUBSTITUTE(S270,"/",""))+IF(ISNUMBER(SEARCH("@",S270)),0,1))</f>
        <v/>
      </c>
      <c r="R270" s="26"/>
      <c r="S270" s="19"/>
      <c r="T270" s="19" t="s">
        <v>1290</v>
      </c>
      <c r="V270" s="25" t="s">
        <v>1291</v>
      </c>
      <c r="W270" s="20"/>
      <c r="X270" s="46"/>
      <c r="Y270" s="20"/>
      <c r="Z270" s="20"/>
      <c r="AA270" s="20"/>
      <c r="AB270" s="20" t="str">
        <f>IF(ISBLANK(S270),"是","否")</f>
        <v>是</v>
      </c>
      <c r="AC270" s="20" t="s">
        <v>76</v>
      </c>
      <c r="AD270" s="35"/>
      <c r="AE270" s="35"/>
      <c r="AF270" s="37">
        <v>133</v>
      </c>
      <c r="AG270" s="35" t="s">
        <v>948</v>
      </c>
      <c r="AH270" s="20" t="s">
        <v>1280</v>
      </c>
      <c r="AI270" s="37"/>
      <c r="AJ270" s="35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</row>
    <row r="271" ht="122.16541353383457" customHeight="1" spans="1:57" x14ac:dyDescent="0.25">
      <c r="A271" s="20" t="s">
        <v>67</v>
      </c>
      <c r="B271" s="19" t="s">
        <v>41</v>
      </c>
      <c r="C271" s="20" t="s">
        <v>57</v>
      </c>
      <c r="D271" s="21" t="s">
        <v>58</v>
      </c>
      <c r="E271" s="22" t="s">
        <v>59</v>
      </c>
      <c r="F271" s="21" t="s">
        <v>1292</v>
      </c>
      <c r="G271" s="23" t="s">
        <v>1292</v>
      </c>
      <c r="H271" s="20" t="str">
        <f>SUBSTITUTE(SUBSTITUTE(SUBSTITUTE(S271,"/@","_"),"/cac:","_"),"/cbc:","_")</f>
        <v>Invoice_Note</v>
      </c>
      <c r="I271" s="20" t="str">
        <f>SUBSTITUTE(SUBSTITUTE(SUBSTITUTE(T271,"/@","_"),"/cac:","_"),"/cbc:","_")</f>
        <v>语义域=交易单据域（Invoice 本体）。输入为“预留扩展字段/客户化临时信息”，与 Note 的“未被其它结构显式承载的信息的自由文本”可解释一致；且 Card.=0..n 允许多条 Note，用于承载多个备用字段值。</v>
      </c>
      <c r="J271" s="19"/>
      <c r="K271" s="19" t="s">
        <v>153</v>
      </c>
      <c r="L271" s="20"/>
      <c r="M271" s="25" t="s">
        <v>1294</v>
      </c>
      <c r="N271" s="20" t="s">
        <v>3013</v>
      </c>
      <c r="O271" s="20" t="s">
        <v>49</v>
      </c>
      <c r="P271" s="20"/>
      <c r="Q271" s="26" t="str">
        <f>IF(S271="","",LEN(S271)-LEN(SUBSTITUTE(S271,"/",""))+IF(ISNUMBER(SEARCH("@",S271)),0,1))</f>
        <v>2</v>
      </c>
      <c r="R271" s="26"/>
      <c r="S271" s="19" t="s">
        <v>155</v>
      </c>
      <c r="T271" s="19" t="s">
        <v>1295</v>
      </c>
      <c r="U271" s="20"/>
      <c r="V271" s="20"/>
      <c r="W271" s="20"/>
      <c r="X271" s="46"/>
      <c r="Y271" s="33"/>
      <c r="Z271" s="33"/>
      <c r="AA271" s="33" t="s">
        <v>68</v>
      </c>
      <c r="AB271" s="20" t="str">
        <f>IF(ISBLANK(S271),"是","否")</f>
        <v>否</v>
      </c>
      <c r="AC271" s="20" t="s">
        <v>76</v>
      </c>
      <c r="AD271" s="24">
        <v>55</v>
      </c>
      <c r="AE271" s="25" t="s">
        <v>1292</v>
      </c>
      <c r="AH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</row>
    <row r="272" ht="70.73684210526315" customHeight="1" spans="1:57" x14ac:dyDescent="0.25">
      <c r="A272" s="20" t="s">
        <v>67</v>
      </c>
      <c r="B272" s="19" t="s">
        <v>41</v>
      </c>
      <c r="C272" s="20" t="s">
        <v>57</v>
      </c>
      <c r="D272" s="21" t="s">
        <v>58</v>
      </c>
      <c r="E272" s="22" t="s">
        <v>59</v>
      </c>
      <c r="F272" s="21" t="s">
        <v>1296</v>
      </c>
      <c r="G272" s="23" t="s">
        <v>1296</v>
      </c>
      <c r="H272" s="20" t="str">
        <f>SUBSTITUTE(SUBSTITUTE(SUBSTITUTE(S272,"/@","_"),"/cac:","_"),"/cbc:","_")</f>
        <v>Invoice_Note</v>
      </c>
      <c r="I272" s="20" t="str">
        <f>SUBSTITUTE(SUBSTITUTE(SUBSTITUTE(T272,"/@","_"),"/cac:","_"),"/cbc:","_")</f>
        <v>同 fbyzd1：用 Note 承载“预留扩展/临时客户化信息”，与 Rep. Term 含义一致且可重复出现（0..n）。</v>
      </c>
      <c r="J272" s="19"/>
      <c r="K272" s="19" t="s">
        <v>153</v>
      </c>
      <c r="L272" s="20"/>
      <c r="M272" s="25" t="s">
        <v>1294</v>
      </c>
      <c r="N272" s="20" t="s">
        <v>3013</v>
      </c>
      <c r="O272" s="20" t="s">
        <v>49</v>
      </c>
      <c r="P272" s="20"/>
      <c r="Q272" s="26" t="str">
        <f>IF(S272="","",LEN(S272)-LEN(SUBSTITUTE(S272,"/",""))+IF(ISNUMBER(SEARCH("@",S272)),0,1))</f>
        <v>2</v>
      </c>
      <c r="R272" s="26"/>
      <c r="S272" s="19" t="s">
        <v>155</v>
      </c>
      <c r="T272" s="19" t="s">
        <v>1298</v>
      </c>
      <c r="U272" s="20"/>
      <c r="V272" s="20"/>
      <c r="W272" s="20"/>
      <c r="X272" s="46"/>
      <c r="Y272" s="33"/>
      <c r="Z272" s="33"/>
      <c r="AA272" s="33" t="s">
        <v>68</v>
      </c>
      <c r="AB272" s="20" t="str">
        <f>IF(ISBLANK(S272),"是","否")</f>
        <v>否</v>
      </c>
      <c r="AC272" s="20" t="s">
        <v>76</v>
      </c>
      <c r="AD272" s="24">
        <v>56</v>
      </c>
      <c r="AE272" s="25" t="s">
        <v>1296</v>
      </c>
      <c r="AH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</row>
    <row r="273" ht="70.73684210526315" customHeight="1" spans="1:57" x14ac:dyDescent="0.25">
      <c r="A273" s="20" t="s">
        <v>67</v>
      </c>
      <c r="B273" s="19" t="s">
        <v>41</v>
      </c>
      <c r="C273" s="20" t="s">
        <v>57</v>
      </c>
      <c r="D273" s="21" t="s">
        <v>58</v>
      </c>
      <c r="E273" s="22" t="s">
        <v>59</v>
      </c>
      <c r="F273" s="21" t="s">
        <v>1299</v>
      </c>
      <c r="G273" s="23" t="s">
        <v>1299</v>
      </c>
      <c r="H273" s="20" t="str">
        <f>SUBSTITUTE(SUBSTITUTE(SUBSTITUTE(S273,"/@","_"),"/cac:","_"),"/cbc:","_")</f>
        <v>Invoice_Note</v>
      </c>
      <c r="I273" s="20" t="str">
        <f>SUBSTITUTE(SUBSTITUTE(SUBSTITUTE(T273,"/@","_"),"/cac:","_"),"/cbc:","_")</f>
        <v>同 fbyzd1：用 Note 承载“预留扩展/临时客户化信息”，与 Rep. Term 含义一致且可重复出现（0..n）。</v>
      </c>
      <c r="J273" s="19"/>
      <c r="K273" s="19" t="s">
        <v>153</v>
      </c>
      <c r="L273" s="24"/>
      <c r="M273" s="25" t="s">
        <v>1294</v>
      </c>
      <c r="N273" s="20" t="s">
        <v>3013</v>
      </c>
      <c r="O273" s="20" t="s">
        <v>49</v>
      </c>
      <c r="P273" s="20"/>
      <c r="Q273" s="26" t="str">
        <f>IF(S273="","",LEN(S273)-LEN(SUBSTITUTE(S273,"/",""))+IF(ISNUMBER(SEARCH("@",S273)),0,1))</f>
        <v>2</v>
      </c>
      <c r="R273" s="26"/>
      <c r="S273" s="19" t="s">
        <v>155</v>
      </c>
      <c r="T273" s="19" t="s">
        <v>1298</v>
      </c>
      <c r="U273" s="20"/>
      <c r="V273" s="20"/>
      <c r="W273" s="20"/>
      <c r="X273" s="46"/>
      <c r="Y273" s="33"/>
      <c r="Z273" s="33"/>
      <c r="AA273" s="33" t="s">
        <v>68</v>
      </c>
      <c r="AB273" s="20" t="str">
        <f>IF(ISBLANK(S273),"是","否")</f>
        <v>否</v>
      </c>
      <c r="AC273" s="20" t="s">
        <v>76</v>
      </c>
      <c r="AD273" s="24">
        <v>57</v>
      </c>
      <c r="AE273" s="25" t="s">
        <v>1299</v>
      </c>
      <c r="AH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</row>
    <row r="274" ht="70.73684210526315" customHeight="1" spans="1:57" x14ac:dyDescent="0.25">
      <c r="A274" s="20" t="s">
        <v>67</v>
      </c>
      <c r="B274" s="19" t="s">
        <v>41</v>
      </c>
      <c r="C274" s="20" t="s">
        <v>57</v>
      </c>
      <c r="D274" s="21" t="s">
        <v>58</v>
      </c>
      <c r="E274" s="22" t="s">
        <v>59</v>
      </c>
      <c r="F274" s="21" t="s">
        <v>1301</v>
      </c>
      <c r="G274" s="23" t="s">
        <v>1301</v>
      </c>
      <c r="H274" s="20" t="str">
        <f>SUBSTITUTE(SUBSTITUTE(SUBSTITUTE(S274,"/@","_"),"/cac:","_"),"/cbc:","_")</f>
        <v>Invoice_Note</v>
      </c>
      <c r="I274" s="20" t="str">
        <f>SUBSTITUTE(SUBSTITUTE(SUBSTITUTE(T274,"/@","_"),"/cac:","_"),"/cbc:","_")</f>
        <v>同 fbyzd1：用 Note 承载“预留扩展/临时客户化信息”，与 Rep. Term 含义一致且可重复出现（0..n）。</v>
      </c>
      <c r="J274" s="19"/>
      <c r="K274" s="19" t="s">
        <v>153</v>
      </c>
      <c r="L274" s="20"/>
      <c r="M274" s="25" t="s">
        <v>1294</v>
      </c>
      <c r="N274" s="20" t="s">
        <v>3013</v>
      </c>
      <c r="O274" s="20" t="s">
        <v>49</v>
      </c>
      <c r="P274" s="20"/>
      <c r="Q274" s="26" t="str">
        <f>IF(S274="","",LEN(S274)-LEN(SUBSTITUTE(S274,"/",""))+IF(ISNUMBER(SEARCH("@",S274)),0,1))</f>
        <v>2</v>
      </c>
      <c r="R274" s="26"/>
      <c r="S274" s="19" t="s">
        <v>155</v>
      </c>
      <c r="T274" s="19" t="s">
        <v>1298</v>
      </c>
      <c r="U274" s="20"/>
      <c r="V274" s="20"/>
      <c r="W274" s="20"/>
      <c r="X274" s="46"/>
      <c r="Y274" s="20"/>
      <c r="Z274" s="20"/>
      <c r="AA274" s="20" t="s">
        <v>68</v>
      </c>
      <c r="AB274" s="20" t="str">
        <f>IF(ISBLANK(S274),"是","否")</f>
        <v>否</v>
      </c>
      <c r="AC274" s="20" t="s">
        <v>76</v>
      </c>
      <c r="AD274" s="24">
        <v>58</v>
      </c>
      <c r="AE274" s="25" t="s">
        <v>1301</v>
      </c>
      <c r="AH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</row>
    <row r="275" ht="91.30827067669172" customHeight="1" spans="1:57" x14ac:dyDescent="0.25">
      <c r="A275" s="20" t="s">
        <v>67</v>
      </c>
      <c r="B275" s="19" t="s">
        <v>41</v>
      </c>
      <c r="C275" s="20" t="s">
        <v>57</v>
      </c>
      <c r="D275" s="21" t="s">
        <v>58</v>
      </c>
      <c r="E275" s="22" t="s">
        <v>59</v>
      </c>
      <c r="F275" s="21" t="s">
        <v>1303</v>
      </c>
      <c r="G275" s="23" t="s">
        <v>1303</v>
      </c>
      <c r="H275" s="20" t="str">
        <f>SUBSTITUTE(SUBSTITUTE(SUBSTITUTE(S275,"/@","_"),"/cac:","_"),"/cbc:","_")</f>
        <v>Invoice_Note</v>
      </c>
      <c r="I275" s="20" t="str">
        <f>SUBSTITUTE(SUBSTITUTE(SUBSTITUTE(T275,"/@","_"),"/cac:","_"),"/cbc:","_")</f>
        <v>作为“预留扩展信息”的可解释一致落位：Invoice 头级 Note 明确用于承载未在其他结构中显式表达的自由文本，可用于临时/客户化补充信息。</v>
      </c>
      <c r="J275" s="19"/>
      <c r="K275" s="19" t="s">
        <v>153</v>
      </c>
      <c r="L275" s="20"/>
      <c r="M275" s="25" t="s">
        <v>1294</v>
      </c>
      <c r="N275" s="20" t="s">
        <v>3013</v>
      </c>
      <c r="O275" s="20" t="s">
        <v>49</v>
      </c>
      <c r="P275" s="20"/>
      <c r="Q275" s="26" t="str">
        <f>IF(S275="","",LEN(S275)-LEN(SUBSTITUTE(S275,"/",""))+IF(ISNUMBER(SEARCH("@",S275)),0,1))</f>
        <v>2</v>
      </c>
      <c r="R275" s="26"/>
      <c r="S275" s="19" t="s">
        <v>155</v>
      </c>
      <c r="T275" s="19" t="s">
        <v>1305</v>
      </c>
      <c r="U275" s="20"/>
      <c r="V275" s="20"/>
      <c r="W275" s="20"/>
      <c r="X275" s="46"/>
      <c r="Y275" s="20"/>
      <c r="Z275" s="20"/>
      <c r="AA275" s="20" t="s">
        <v>68</v>
      </c>
      <c r="AB275" s="20" t="str">
        <f>IF(ISBLANK(S275),"是","否")</f>
        <v>否</v>
      </c>
      <c r="AC275" s="20" t="s">
        <v>76</v>
      </c>
      <c r="AD275" s="24">
        <v>59</v>
      </c>
      <c r="AE275" s="25" t="s">
        <v>1303</v>
      </c>
      <c r="AH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</row>
    <row r="276" ht="60.45112781954887" customHeight="1" spans="1:57" x14ac:dyDescent="0.25">
      <c r="A276" s="20" t="s">
        <v>67</v>
      </c>
      <c r="B276" s="19" t="s">
        <v>1306</v>
      </c>
      <c r="C276" s="20" t="s">
        <v>57</v>
      </c>
      <c r="D276" s="21" t="s">
        <v>1307</v>
      </c>
      <c r="E276" s="22" t="s">
        <v>1308</v>
      </c>
      <c r="F276" s="21" t="s">
        <v>60</v>
      </c>
      <c r="G276" s="23" t="s">
        <v>60</v>
      </c>
      <c r="H276" s="20" t="str">
        <f>SUBSTITUTE(SUBSTITUTE(SUBSTITUTE(S276,"/@","_"),"/cac:","_"),"/cbc:","_")</f>
        <v>Invoice_InvoiceLine_UUID</v>
      </c>
      <c r="I276" s="20" t="str">
        <f>SUBSTITUTE(SUBSTITUTE(SUBSTITUTE(T276,"/@","_"),"/cac:","_"),"/cbc:","_")</f>
        <v>输入定义强调“系统内唯一记录标识”；InvoiceLine 的 UUID 与“主键/唯一ID”最贴近。</v>
      </c>
      <c r="J276" s="19"/>
      <c r="K276" s="19" t="s">
        <v>1310</v>
      </c>
      <c r="L276" s="20"/>
      <c r="M276" s="25" t="s">
        <v>63</v>
      </c>
      <c r="N276" s="20" t="s">
        <v>1280</v>
      </c>
      <c r="O276" s="20" t="s">
        <v>64</v>
      </c>
      <c r="P276" s="20"/>
      <c r="Q276" s="26" t="str">
        <f>IF(S276="","",LEN(S276)-LEN(SUBSTITUTE(S276,"/",""))+IF(ISNUMBER(SEARCH("@",S276)),0,1))</f>
        <v>3</v>
      </c>
      <c r="R276" s="26"/>
      <c r="S276" s="19" t="s">
        <v>1311</v>
      </c>
      <c r="T276" s="19" t="s">
        <v>1312</v>
      </c>
      <c r="U276" s="20"/>
      <c r="V276" s="20"/>
      <c r="W276" s="20"/>
      <c r="X276" s="46" t="s">
        <v>76</v>
      </c>
      <c r="Y276" s="20"/>
      <c r="Z276" s="20"/>
      <c r="AA276" s="20" t="s">
        <v>68</v>
      </c>
      <c r="AB276" s="20" t="str">
        <f>IF(ISBLANK(S276),"是","否")</f>
        <v>否</v>
      </c>
      <c r="AC276" s="20" t="s">
        <v>76</v>
      </c>
      <c r="AD276" s="24">
        <v>77</v>
      </c>
      <c r="AE276" s="25" t="s">
        <v>60</v>
      </c>
      <c r="AF276" s="37">
        <v>149</v>
      </c>
      <c r="AG276" s="35" t="s">
        <v>1313</v>
      </c>
      <c r="AH276" s="20"/>
      <c r="AI276" s="37"/>
      <c r="AJ276" s="35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</row>
    <row r="277" ht="81.02255639097744" customHeight="1" spans="1:57" x14ac:dyDescent="0.25">
      <c r="A277" s="20" t="s">
        <v>67</v>
      </c>
      <c r="B277" s="19" t="s">
        <v>41</v>
      </c>
      <c r="C277" s="20" t="s">
        <v>57</v>
      </c>
      <c r="D277" s="21" t="s">
        <v>1307</v>
      </c>
      <c r="E277" s="22" t="s">
        <v>1308</v>
      </c>
      <c r="F277" s="21" t="s">
        <v>69</v>
      </c>
      <c r="G277" s="23" t="s">
        <v>69</v>
      </c>
      <c r="H277" s="20" t="str">
        <f>SUBSTITUTE(SUBSTITUTE(SUBSTITUTE(S277,"/@","_"),"/cac:","_"),"/cbc:","_")</f>
        <v>Invoice_ProfileExecutionID</v>
      </c>
      <c r="I277" s="20" t="str">
        <f>SUBSTITUTE(SUBSTITUTE(SUBSTITUTE(T277,"/@","_"),"/cac:","_"),"/cbc:","_")</f>
        <v>输入强调“追踪生成/交付/处理链路”；ProfileExecutionID 明确用于关联同一协作/执行实例下的交易，最像“链路流水号”。</v>
      </c>
      <c r="J277" s="19"/>
      <c r="K277" s="19" t="s">
        <v>71</v>
      </c>
      <c r="L277" s="24"/>
      <c r="M277" s="25" t="s">
        <v>72</v>
      </c>
      <c r="N277" s="20" t="s">
        <v>3013</v>
      </c>
      <c r="O277" s="20" t="s">
        <v>64</v>
      </c>
      <c r="P277" s="20"/>
      <c r="Q277" s="26" t="str">
        <f>IF(S277="","",LEN(S277)-LEN(SUBSTITUTE(S277,"/",""))+IF(ISNUMBER(SEARCH("@",S277)),0,1))</f>
        <v>2</v>
      </c>
      <c r="R277" s="26"/>
      <c r="S277" s="19" t="s">
        <v>73</v>
      </c>
      <c r="T277" s="19" t="s">
        <v>1315</v>
      </c>
      <c r="U277" s="20"/>
      <c r="V277" s="20"/>
      <c r="W277" s="20" t="s">
        <v>75</v>
      </c>
      <c r="X277" s="46"/>
      <c r="Y277" s="20"/>
      <c r="Z277" s="20"/>
      <c r="AA277" s="20" t="s">
        <v>68</v>
      </c>
      <c r="AB277" s="20" t="str">
        <f>IF(ISBLANK(S277),"是","否")</f>
        <v>否</v>
      </c>
      <c r="AC277" s="20" t="s">
        <v>76</v>
      </c>
      <c r="AD277" s="24">
        <v>78</v>
      </c>
      <c r="AE277" s="25" t="s">
        <v>69</v>
      </c>
      <c r="AH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</row>
    <row r="278" ht="29.59398496240601" customHeight="1" spans="1:57" x14ac:dyDescent="0.25">
      <c r="A278" s="20" t="s">
        <v>682</v>
      </c>
      <c r="B278" s="19" t="s">
        <v>1306</v>
      </c>
      <c r="C278" s="20" t="s">
        <v>57</v>
      </c>
      <c r="D278" s="21"/>
      <c r="E278" s="22"/>
      <c r="F278" s="21" t="s">
        <v>81</v>
      </c>
      <c r="G278" s="29" t="s">
        <v>1316</v>
      </c>
      <c r="H278" s="20" t="str">
        <f>SUBSTITUTE(SUBSTITUTE(SUBSTITUTE(S278,"/@","_"),"/cac:","_"),"/cbc:","_")</f>
        <v>Invoice_InvoiceLine_ID</v>
      </c>
      <c r="I278" s="20" t="str">
        <f>SUBSTITUTE(SUBSTITUTE(SUBSTITUTE(T278,"/@","_"),"/cac:","_"),"/cbc:","_")</f>
        <v/>
      </c>
      <c r="J278" s="25" t="s">
        <v>1318</v>
      </c>
      <c r="K278" s="25" t="s">
        <v>1319</v>
      </c>
      <c r="L278" s="25" t="s">
        <v>1320</v>
      </c>
      <c r="M278" s="25" t="s">
        <v>228</v>
      </c>
      <c r="N278" s="27"/>
      <c r="O278" s="25">
        <v>1</v>
      </c>
      <c r="P278" s="27"/>
      <c r="Q278" s="26" t="str">
        <f>IF(S278="","",LEN(S278)-LEN(SUBSTITUTE(S278,"/",""))+IF(ISNUMBER(SEARCH("@",S278)),0,1))</f>
        <v>3</v>
      </c>
      <c r="R278" s="42" t="s">
        <v>3018</v>
      </c>
      <c r="S278" s="19" t="s">
        <v>1321</v>
      </c>
      <c r="T278" s="20"/>
      <c r="U278" s="20"/>
      <c r="V278" s="20"/>
      <c r="W278" s="25">
        <v>1</v>
      </c>
      <c r="X278" s="46"/>
      <c r="Y278" s="20"/>
      <c r="Z278" s="20"/>
      <c r="AA278" s="25" t="s">
        <v>68</v>
      </c>
      <c r="AB278" s="20" t="str">
        <f>IF(ISBLANK(S278),"是","否")</f>
        <v>否</v>
      </c>
      <c r="AC278" s="20"/>
      <c r="AD278" s="25"/>
      <c r="AE278" s="25"/>
      <c r="AH278" s="20" t="s">
        <v>76</v>
      </c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</row>
    <row r="279" ht="29.59398496240601" customHeight="1" spans="1:57" x14ac:dyDescent="0.25">
      <c r="A279" s="20" t="s">
        <v>682</v>
      </c>
      <c r="B279" s="19" t="s">
        <v>1306</v>
      </c>
      <c r="C279" s="20" t="s">
        <v>57</v>
      </c>
      <c r="D279" s="21"/>
      <c r="E279" s="22"/>
      <c r="F279" s="21" t="s">
        <v>151</v>
      </c>
      <c r="G279" s="29" t="s">
        <v>1322</v>
      </c>
      <c r="H279" s="20" t="str">
        <f>SUBSTITUTE(SUBSTITUTE(SUBSTITUTE(S279,"/@","_"),"/cac:","_"),"/cbc:","_")</f>
        <v>Invoice_InvoiceLine_Note</v>
      </c>
      <c r="I279" s="20" t="str">
        <f>SUBSTITUTE(SUBSTITUTE(SUBSTITUTE(T279,"/@","_"),"/cac:","_"),"/cbc:","_")</f>
        <v/>
      </c>
      <c r="J279" s="25" t="s">
        <v>1323</v>
      </c>
      <c r="K279" s="25" t="s">
        <v>1324</v>
      </c>
      <c r="L279" s="25" t="s">
        <v>1325</v>
      </c>
      <c r="M279" s="25" t="s">
        <v>228</v>
      </c>
      <c r="N279" s="27"/>
      <c r="O279" s="25" t="s">
        <v>49</v>
      </c>
      <c r="P279" s="27"/>
      <c r="Q279" s="26" t="str">
        <f>IF(S279="","",LEN(S279)-LEN(SUBSTITUTE(S279,"/",""))+IF(ISNUMBER(SEARCH("@",S279)),0,1))</f>
        <v>3</v>
      </c>
      <c r="R279" s="42" t="s">
        <v>3019</v>
      </c>
      <c r="S279" s="19" t="s">
        <v>1326</v>
      </c>
      <c r="T279" s="20"/>
      <c r="U279" s="20"/>
      <c r="V279" s="20"/>
      <c r="W279" s="25" t="s">
        <v>1327</v>
      </c>
      <c r="X279" s="46"/>
      <c r="Y279" s="20"/>
      <c r="Z279" s="20"/>
      <c r="AA279" s="25" t="s">
        <v>68</v>
      </c>
      <c r="AB279" s="20" t="str">
        <f>IF(ISBLANK(S279),"是","否")</f>
        <v>否</v>
      </c>
      <c r="AC279" s="20"/>
      <c r="AD279" s="25"/>
      <c r="AE279" s="25"/>
      <c r="AH279" s="20" t="s">
        <v>76</v>
      </c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</row>
    <row r="280" ht="50.16541353383458" customHeight="1" spans="1:57" x14ac:dyDescent="0.25">
      <c r="A280" s="20" t="s">
        <v>682</v>
      </c>
      <c r="B280" s="19" t="s">
        <v>1306</v>
      </c>
      <c r="C280" s="20" t="s">
        <v>57</v>
      </c>
      <c r="D280" s="21"/>
      <c r="E280" s="22"/>
      <c r="F280" s="21" t="s">
        <v>1328</v>
      </c>
      <c r="G280" s="29" t="s">
        <v>1329</v>
      </c>
      <c r="H280" s="20" t="str">
        <f>SUBSTITUTE(SUBSTITUTE(SUBSTITUTE(S280,"/@","_"),"/cac:","_"),"/cbc:","_")</f>
        <v>Invoice_InvoiceLine_InvoicedQuantity</v>
      </c>
      <c r="I280" s="20" t="str">
        <f>SUBSTITUTE(SUBSTITUTE(SUBSTITUTE(T280,"/@","_"),"/cac:","_"),"/cbc:","_")</f>
        <v/>
      </c>
      <c r="J280" s="25" t="s">
        <v>1331</v>
      </c>
      <c r="K280" s="25" t="s">
        <v>1332</v>
      </c>
      <c r="L280" s="25" t="s">
        <v>1333</v>
      </c>
      <c r="M280" s="25" t="s">
        <v>1000</v>
      </c>
      <c r="N280" s="27"/>
      <c r="O280" s="25" t="s">
        <v>64</v>
      </c>
      <c r="P280" s="27"/>
      <c r="Q280" s="26" t="str">
        <f>IF(S280="","",LEN(S280)-LEN(SUBSTITUTE(S280,"/",""))+IF(ISNUMBER(SEARCH("@",S280)),0,1))</f>
        <v>3</v>
      </c>
      <c r="R280" s="42" t="s">
        <v>3020</v>
      </c>
      <c r="S280" s="19" t="s">
        <v>1334</v>
      </c>
      <c r="T280" s="20"/>
      <c r="U280" s="20"/>
      <c r="V280" s="20"/>
      <c r="W280" s="25">
        <v>10</v>
      </c>
      <c r="X280" s="46"/>
      <c r="Y280" s="20"/>
      <c r="Z280" s="20"/>
      <c r="AA280" s="25" t="s">
        <v>68</v>
      </c>
      <c r="AB280" s="20" t="str">
        <f>IF(ISBLANK(S280),"是","否")</f>
        <v>否</v>
      </c>
      <c r="AC280" s="20"/>
      <c r="AD280" s="25"/>
      <c r="AE280" s="25"/>
      <c r="AF280" s="24">
        <v>154</v>
      </c>
      <c r="AG280" s="25" t="s">
        <v>1335</v>
      </c>
      <c r="AH280" s="20" t="s">
        <v>76</v>
      </c>
      <c r="AI280" s="24"/>
      <c r="AJ280" s="25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</row>
    <row r="281" ht="50.16541353383458" customHeight="1" spans="1:57" x14ac:dyDescent="0.25">
      <c r="A281" s="20" t="s">
        <v>682</v>
      </c>
      <c r="B281" s="19" t="s">
        <v>1306</v>
      </c>
      <c r="C281" s="20" t="s">
        <v>57</v>
      </c>
      <c r="D281" s="21"/>
      <c r="E281" s="22"/>
      <c r="F281" s="21" t="s">
        <v>1336</v>
      </c>
      <c r="G281" s="29" t="s">
        <v>1337</v>
      </c>
      <c r="H281" s="20" t="str">
        <f>SUBSTITUTE(SUBSTITUTE(SUBSTITUTE(S281,"/@","_"),"/cac:","_"),"/cbc:","_")</f>
        <v>Invoice_InvoiceLine_InvoicedQuantity_unitCode</v>
      </c>
      <c r="I281" s="20" t="str">
        <f>SUBSTITUTE(SUBSTITUTE(SUBSTITUTE(T281,"/@","_"),"/cac:","_"),"/cbc:","_")</f>
        <v/>
      </c>
      <c r="J281" s="25" t="s">
        <v>1339</v>
      </c>
      <c r="K281" s="25" t="s">
        <v>1340</v>
      </c>
      <c r="L281" s="25" t="s">
        <v>1341</v>
      </c>
      <c r="M281" s="25" t="s">
        <v>243</v>
      </c>
      <c r="N281" s="27"/>
      <c r="O281" s="25" t="s">
        <v>64</v>
      </c>
      <c r="P281" s="27"/>
      <c r="Q281" s="26" t="str">
        <f>IF(S281="","",LEN(S281)-LEN(SUBSTITUTE(S281,"/",""))+IF(ISNUMBER(SEARCH("@",S281)),0,1))</f>
        <v>3</v>
      </c>
      <c r="R281" s="42" t="s">
        <v>3021</v>
      </c>
      <c r="S281" s="19" t="s">
        <v>1342</v>
      </c>
      <c r="T281" s="20"/>
      <c r="U281" s="20"/>
      <c r="V281" s="20"/>
      <c r="W281" s="25" t="s">
        <v>1343</v>
      </c>
      <c r="X281" s="46"/>
      <c r="Y281" s="20"/>
      <c r="Z281" s="20"/>
      <c r="AA281" s="25" t="s">
        <v>68</v>
      </c>
      <c r="AB281" s="20" t="str">
        <f>IF(ISBLANK(S281),"是","否")</f>
        <v>否</v>
      </c>
      <c r="AC281" s="20"/>
      <c r="AD281" s="25"/>
      <c r="AE281" s="25"/>
      <c r="AF281" s="37">
        <v>153</v>
      </c>
      <c r="AG281" s="35" t="s">
        <v>1344</v>
      </c>
      <c r="AH281" s="20" t="s">
        <v>76</v>
      </c>
      <c r="AI281" s="37"/>
      <c r="AJ281" s="35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</row>
    <row r="282" ht="39.879699248120296" customHeight="1" spans="1:57" x14ac:dyDescent="0.25">
      <c r="A282" s="20" t="s">
        <v>682</v>
      </c>
      <c r="B282" s="19" t="s">
        <v>1306</v>
      </c>
      <c r="C282" s="20" t="s">
        <v>57</v>
      </c>
      <c r="D282" s="21"/>
      <c r="E282" s="22"/>
      <c r="F282" s="21" t="s">
        <v>1345</v>
      </c>
      <c r="G282" s="29" t="s">
        <v>1346</v>
      </c>
      <c r="H282" s="20" t="str">
        <f>SUBSTITUTE(SUBSTITUTE(SUBSTITUTE(S282,"/@","_"),"/cac:","_"),"/cbc:","_")</f>
        <v>Invoice_InvoiceLine_LineExtensionAmount</v>
      </c>
      <c r="I282" s="20" t="str">
        <f>SUBSTITUTE(SUBSTITUTE(SUBSTITUTE(T282,"/@","_"),"/cac:","_"),"/cbc:","_")</f>
        <v/>
      </c>
      <c r="J282" s="25" t="s">
        <v>1348</v>
      </c>
      <c r="K282" s="25" t="s">
        <v>1349</v>
      </c>
      <c r="L282" s="25" t="s">
        <v>1350</v>
      </c>
      <c r="M282" s="25" t="s">
        <v>1000</v>
      </c>
      <c r="N282" s="27"/>
      <c r="O282" s="25">
        <v>1</v>
      </c>
      <c r="P282" s="27"/>
      <c r="Q282" s="26" t="str">
        <f>IF(S282="","",LEN(S282)-LEN(SUBSTITUTE(S282,"/",""))+IF(ISNUMBER(SEARCH("@",S282)),0,1))</f>
        <v>3</v>
      </c>
      <c r="R282" s="42" t="s">
        <v>3022</v>
      </c>
      <c r="S282" s="19" t="s">
        <v>1351</v>
      </c>
      <c r="T282" s="20"/>
      <c r="U282" s="20"/>
      <c r="V282" s="20"/>
      <c r="W282" s="25">
        <v>1000</v>
      </c>
      <c r="X282" s="46"/>
      <c r="Y282" s="20"/>
      <c r="Z282" s="20"/>
      <c r="AA282" s="25" t="s">
        <v>68</v>
      </c>
      <c r="AB282" s="20" t="str">
        <f>IF(ISBLANK(S282),"是","否")</f>
        <v>否</v>
      </c>
      <c r="AC282" s="20"/>
      <c r="AD282" s="25"/>
      <c r="AE282" s="25"/>
      <c r="AH282" s="20" t="s">
        <v>76</v>
      </c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</row>
    <row r="283" ht="39.879699248120296" customHeight="1" spans="1:57" x14ac:dyDescent="0.25">
      <c r="A283" s="20" t="s">
        <v>682</v>
      </c>
      <c r="B283" s="19" t="s">
        <v>1306</v>
      </c>
      <c r="C283" s="20" t="s">
        <v>57</v>
      </c>
      <c r="D283" s="21"/>
      <c r="E283" s="22"/>
      <c r="F283" s="21" t="s">
        <v>1352</v>
      </c>
      <c r="G283" s="29" t="s">
        <v>1353</v>
      </c>
      <c r="H283" s="20" t="str">
        <f>SUBSTITUTE(SUBSTITUTE(SUBSTITUTE(S283,"/@","_"),"/cac:","_"),"/cbc:","_")</f>
        <v>Invoice_InvoiceLine_LineExtensionAmount_currencyID</v>
      </c>
      <c r="I283" s="20" t="str">
        <f>SUBSTITUTE(SUBSTITUTE(SUBSTITUTE(T283,"/@","_"),"/cac:","_"),"/cbc:","_")</f>
        <v/>
      </c>
      <c r="J283" s="25" t="s">
        <v>1055</v>
      </c>
      <c r="K283" s="25" t="s">
        <v>1355</v>
      </c>
      <c r="L283" s="25" t="s">
        <v>1057</v>
      </c>
      <c r="M283" s="25" t="s">
        <v>243</v>
      </c>
      <c r="N283" s="27"/>
      <c r="O283" s="25" t="s">
        <v>64</v>
      </c>
      <c r="P283" s="27"/>
      <c r="Q283" s="26" t="str">
        <f>IF(S283="","",LEN(S283)-LEN(SUBSTITUTE(S283,"/",""))+IF(ISNUMBER(SEARCH("@",S283)),0,1))</f>
        <v>3</v>
      </c>
      <c r="R283" s="42" t="s">
        <v>3023</v>
      </c>
      <c r="S283" s="19" t="s">
        <v>1356</v>
      </c>
      <c r="T283" s="20"/>
      <c r="U283" s="20"/>
      <c r="V283" s="20"/>
      <c r="W283" s="25" t="s">
        <v>993</v>
      </c>
      <c r="X283" s="46"/>
      <c r="Y283" s="20"/>
      <c r="Z283" s="20"/>
      <c r="AA283" s="25" t="s">
        <v>68</v>
      </c>
      <c r="AB283" s="20" t="str">
        <f>IF(ISBLANK(S283),"是","否")</f>
        <v>否</v>
      </c>
      <c r="AC283" s="20"/>
      <c r="AD283" s="25"/>
      <c r="AE283" s="25"/>
      <c r="AH283" s="20" t="s">
        <v>76</v>
      </c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</row>
    <row r="284" ht="29.59398496240601" customHeight="1" spans="1:57" x14ac:dyDescent="0.25">
      <c r="A284" s="20" t="s">
        <v>682</v>
      </c>
      <c r="B284" s="19" t="s">
        <v>1306</v>
      </c>
      <c r="C284" s="20" t="s">
        <v>57</v>
      </c>
      <c r="D284" s="21"/>
      <c r="E284" s="22"/>
      <c r="F284" s="21" t="s">
        <v>1357</v>
      </c>
      <c r="G284" s="29" t="s">
        <v>1358</v>
      </c>
      <c r="H284" s="20" t="str">
        <f>SUBSTITUTE(SUBSTITUTE(SUBSTITUTE(S284,"/@","_"),"/cac:","_"),"/cbc:","_")</f>
        <v>Invoice_InvoiceLine_Item</v>
      </c>
      <c r="I284" s="20" t="str">
        <f>SUBSTITUTE(SUBSTITUTE(SUBSTITUTE(T284,"/@","_"),"/cac:","_"),"/cbc:","_")</f>
        <v/>
      </c>
      <c r="J284" s="25" t="s">
        <v>1360</v>
      </c>
      <c r="K284" s="25" t="s">
        <v>1361</v>
      </c>
      <c r="L284" s="25" t="s">
        <v>1362</v>
      </c>
      <c r="M284" s="25" t="s">
        <v>220</v>
      </c>
      <c r="N284" s="27"/>
      <c r="O284" s="25">
        <v>1</v>
      </c>
      <c r="P284" s="27"/>
      <c r="Q284" s="26" t="str">
        <f>IF(S284="","",LEN(S284)-LEN(SUBSTITUTE(S284,"/",""))+IF(ISNUMBER(SEARCH("@",S284)),0,1))</f>
        <v>3</v>
      </c>
      <c r="R284" s="42" t="s">
        <v>3024</v>
      </c>
      <c r="S284" s="19" t="s">
        <v>1363</v>
      </c>
      <c r="T284" s="20"/>
      <c r="U284" s="20"/>
      <c r="V284" s="20"/>
      <c r="W284" s="25" t="s">
        <v>681</v>
      </c>
      <c r="X284" s="46"/>
      <c r="Y284" s="20"/>
      <c r="Z284" s="20"/>
      <c r="AA284" s="25" t="s">
        <v>222</v>
      </c>
      <c r="AB284" s="20" t="str">
        <f>IF(ISBLANK(S284),"是","否")</f>
        <v>否</v>
      </c>
      <c r="AC284" s="20"/>
      <c r="AD284" s="25"/>
      <c r="AE284" s="25"/>
      <c r="AH284" s="20" t="s">
        <v>76</v>
      </c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</row>
    <row r="285" ht="39.879699248120296" customHeight="1" spans="1:57" x14ac:dyDescent="0.25">
      <c r="A285" s="20" t="s">
        <v>682</v>
      </c>
      <c r="B285" s="19" t="s">
        <v>1357</v>
      </c>
      <c r="C285" s="20" t="s">
        <v>57</v>
      </c>
      <c r="D285" s="21"/>
      <c r="E285" s="22"/>
      <c r="F285" s="21" t="s">
        <v>1364</v>
      </c>
      <c r="G285" s="29" t="s">
        <v>1365</v>
      </c>
      <c r="H285" s="20" t="str">
        <f>SUBSTITUTE(SUBSTITUTE(SUBSTITUTE(S285,"/@","_"),"/cac:","_"),"/cbc:","_")</f>
        <v>Invoice_InvoiceLine_Item_Description</v>
      </c>
      <c r="I285" s="20" t="str">
        <f>SUBSTITUTE(SUBSTITUTE(SUBSTITUTE(T285,"/@","_"),"/cac:","_"),"/cbc:","_")</f>
        <v/>
      </c>
      <c r="J285" s="25" t="s">
        <v>1367</v>
      </c>
      <c r="K285" s="25" t="s">
        <v>1368</v>
      </c>
      <c r="L285" s="25" t="s">
        <v>1369</v>
      </c>
      <c r="M285" s="25" t="s">
        <v>228</v>
      </c>
      <c r="N285" s="27"/>
      <c r="O285" s="25" t="s">
        <v>49</v>
      </c>
      <c r="P285" s="27"/>
      <c r="Q285" s="26" t="str">
        <f>IF(S285="","",LEN(S285)-LEN(SUBSTITUTE(S285,"/",""))+IF(ISNUMBER(SEARCH("@",S285)),0,1))</f>
        <v>4</v>
      </c>
      <c r="R285" s="42" t="s">
        <v>3025</v>
      </c>
      <c r="S285" s="19" t="s">
        <v>1370</v>
      </c>
      <c r="T285" s="20"/>
      <c r="U285" s="20"/>
      <c r="V285" s="20"/>
      <c r="W285" s="25" t="s">
        <v>1371</v>
      </c>
      <c r="X285" s="46"/>
      <c r="Y285" s="20"/>
      <c r="Z285" s="20"/>
      <c r="AA285" s="25" t="s">
        <v>68</v>
      </c>
      <c r="AB285" s="20" t="str">
        <f>IF(ISBLANK(S285),"是","否")</f>
        <v>否</v>
      </c>
      <c r="AC285" s="20"/>
      <c r="AD285" s="25"/>
      <c r="AE285" s="25"/>
      <c r="AH285" s="20" t="s">
        <v>76</v>
      </c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</row>
    <row r="286" ht="29.59398496240601" customHeight="1" spans="1:57" x14ac:dyDescent="0.25">
      <c r="A286" s="20" t="s">
        <v>682</v>
      </c>
      <c r="B286" s="19" t="s">
        <v>1357</v>
      </c>
      <c r="C286" s="20" t="s">
        <v>57</v>
      </c>
      <c r="D286" s="21"/>
      <c r="E286" s="22"/>
      <c r="F286" s="21" t="s">
        <v>273</v>
      </c>
      <c r="G286" s="29" t="s">
        <v>1372</v>
      </c>
      <c r="H286" s="20" t="str">
        <f>SUBSTITUTE(SUBSTITUTE(SUBSTITUTE(S286,"/@","_"),"/cac:","_"),"/cbc:","_")</f>
        <v>Invoice_InvoiceLine_Item_Name</v>
      </c>
      <c r="I286" s="20" t="str">
        <f>SUBSTITUTE(SUBSTITUTE(SUBSTITUTE(T286,"/@","_"),"/cac:","_"),"/cbc:","_")</f>
        <v/>
      </c>
      <c r="J286" s="25" t="s">
        <v>1374</v>
      </c>
      <c r="K286" s="25" t="s">
        <v>1375</v>
      </c>
      <c r="L286" s="25" t="s">
        <v>1376</v>
      </c>
      <c r="M286" s="25" t="s">
        <v>228</v>
      </c>
      <c r="N286" s="27"/>
      <c r="O286" s="25" t="s">
        <v>64</v>
      </c>
      <c r="P286" s="27"/>
      <c r="Q286" s="26" t="str">
        <f>IF(S286="","",LEN(S286)-LEN(SUBSTITUTE(S286,"/",""))+IF(ISNUMBER(SEARCH("@",S286)),0,1))</f>
        <v>4</v>
      </c>
      <c r="R286" s="42" t="s">
        <v>3026</v>
      </c>
      <c r="S286" s="19" t="s">
        <v>1377</v>
      </c>
      <c r="T286" s="20"/>
      <c r="U286" s="20"/>
      <c r="V286" s="20"/>
      <c r="W286" s="25" t="s">
        <v>1378</v>
      </c>
      <c r="X286" s="46"/>
      <c r="Y286" s="20"/>
      <c r="Z286" s="20"/>
      <c r="AA286" s="25" t="s">
        <v>68</v>
      </c>
      <c r="AB286" s="20" t="str">
        <f>IF(ISBLANK(S286),"是","否")</f>
        <v>否</v>
      </c>
      <c r="AC286" s="20"/>
      <c r="AD286" s="25"/>
      <c r="AE286" s="25"/>
      <c r="AH286" s="20" t="s">
        <v>76</v>
      </c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</row>
    <row r="287" ht="29.59398496240601" customHeight="1" spans="1:57" x14ac:dyDescent="0.25">
      <c r="A287" s="20" t="s">
        <v>682</v>
      </c>
      <c r="B287" s="19" t="s">
        <v>1357</v>
      </c>
      <c r="C287" s="20" t="s">
        <v>57</v>
      </c>
      <c r="D287" s="21"/>
      <c r="E287" s="22"/>
      <c r="F287" s="21" t="s">
        <v>1379</v>
      </c>
      <c r="G287" s="29" t="s">
        <v>1380</v>
      </c>
      <c r="H287" s="20" t="str">
        <f>SUBSTITUTE(SUBSTITUTE(SUBSTITUTE(S287,"/@","_"),"/cac:","_"),"/cbc:","_")</f>
        <v>Invoice_InvoiceLine_Item_BuyersItemIdentification</v>
      </c>
      <c r="I287" s="20" t="str">
        <f>SUBSTITUTE(SUBSTITUTE(SUBSTITUTE(T287,"/@","_"),"/cac:","_"),"/cbc:","_")</f>
        <v/>
      </c>
      <c r="J287" s="25" t="s">
        <v>1382</v>
      </c>
      <c r="K287" s="25" t="s">
        <v>1383</v>
      </c>
      <c r="L287" s="25" t="s">
        <v>1384</v>
      </c>
      <c r="M287" s="25" t="s">
        <v>220</v>
      </c>
      <c r="N287" s="27"/>
      <c r="O287" s="25" t="s">
        <v>64</v>
      </c>
      <c r="P287" s="27"/>
      <c r="Q287" s="26" t="str">
        <f>IF(S287="","",LEN(S287)-LEN(SUBSTITUTE(S287,"/",""))+IF(ISNUMBER(SEARCH("@",S287)),0,1))</f>
        <v>4</v>
      </c>
      <c r="R287" s="42" t="s">
        <v>3027</v>
      </c>
      <c r="S287" s="19" t="s">
        <v>1385</v>
      </c>
      <c r="T287" s="20"/>
      <c r="U287" s="20"/>
      <c r="V287" s="20"/>
      <c r="W287" s="25" t="s">
        <v>681</v>
      </c>
      <c r="X287" s="46"/>
      <c r="Y287" s="20"/>
      <c r="Z287" s="20"/>
      <c r="AA287" s="25" t="s">
        <v>222</v>
      </c>
      <c r="AB287" s="20" t="str">
        <f>IF(ISBLANK(S287),"是","否")</f>
        <v>否</v>
      </c>
      <c r="AC287" s="20"/>
      <c r="AD287" s="25"/>
      <c r="AE287" s="25"/>
      <c r="AH287" s="20" t="s">
        <v>76</v>
      </c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</row>
    <row r="288" ht="29.59398496240601" customHeight="1" spans="1:57" x14ac:dyDescent="0.25">
      <c r="A288" s="20" t="s">
        <v>682</v>
      </c>
      <c r="B288" s="19" t="s">
        <v>1386</v>
      </c>
      <c r="C288" s="20" t="s">
        <v>57</v>
      </c>
      <c r="D288" s="21"/>
      <c r="E288" s="22"/>
      <c r="F288" s="21" t="s">
        <v>1387</v>
      </c>
      <c r="G288" s="29" t="s">
        <v>1388</v>
      </c>
      <c r="H288" s="20" t="str">
        <f>SUBSTITUTE(SUBSTITUTE(SUBSTITUTE(S288,"/@","_"),"/cac:","_"),"/cbc:","_")</f>
        <v>Invoice_InvoiceLine_Item_BuyersItemIdentification_ID</v>
      </c>
      <c r="I288" s="20" t="str">
        <f>SUBSTITUTE(SUBSTITUTE(SUBSTITUTE(T288,"/@","_"),"/cac:","_"),"/cbc:","_")</f>
        <v/>
      </c>
      <c r="J288" s="25" t="s">
        <v>1390</v>
      </c>
      <c r="K288" s="25" t="s">
        <v>1391</v>
      </c>
      <c r="L288" s="25" t="s">
        <v>1392</v>
      </c>
      <c r="M288" s="25" t="s">
        <v>228</v>
      </c>
      <c r="N288" s="27"/>
      <c r="O288" s="25">
        <v>1</v>
      </c>
      <c r="P288" s="27"/>
      <c r="Q288" s="26" t="str">
        <f>IF(S288="","",LEN(S288)-LEN(SUBSTITUTE(S288,"/",""))+IF(ISNUMBER(SEARCH("@",S288)),0,1))</f>
        <v>5</v>
      </c>
      <c r="R288" s="42" t="s">
        <v>3028</v>
      </c>
      <c r="S288" s="19" t="s">
        <v>1393</v>
      </c>
      <c r="T288" s="20"/>
      <c r="U288" s="20"/>
      <c r="V288" s="20"/>
      <c r="W288" s="25" t="s">
        <v>1394</v>
      </c>
      <c r="X288" s="46"/>
      <c r="Y288" s="20"/>
      <c r="Z288" s="20"/>
      <c r="AA288" s="25" t="s">
        <v>68</v>
      </c>
      <c r="AB288" s="20" t="str">
        <f>IF(ISBLANK(S288),"是","否")</f>
        <v>否</v>
      </c>
      <c r="AC288" s="20"/>
      <c r="AD288" s="25"/>
      <c r="AE288" s="25"/>
      <c r="AH288" s="20" t="s">
        <v>76</v>
      </c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</row>
    <row r="289" ht="29.59398496240601" customHeight="1" spans="1:57" x14ac:dyDescent="0.25">
      <c r="A289" s="20" t="s">
        <v>682</v>
      </c>
      <c r="B289" s="19" t="s">
        <v>1357</v>
      </c>
      <c r="C289" s="20" t="s">
        <v>57</v>
      </c>
      <c r="D289" s="21"/>
      <c r="E289" s="22"/>
      <c r="F289" s="21" t="s">
        <v>1395</v>
      </c>
      <c r="G289" s="29" t="s">
        <v>1396</v>
      </c>
      <c r="H289" s="20" t="str">
        <f>SUBSTITUTE(SUBSTITUTE(SUBSTITUTE(S289,"/@","_"),"/cac:","_"),"/cbc:","_")</f>
        <v>Invoice_InvoiceLine_Item_SellersItemIdentification</v>
      </c>
      <c r="I289" s="20" t="str">
        <f>SUBSTITUTE(SUBSTITUTE(SUBSTITUTE(T289,"/@","_"),"/cac:","_"),"/cbc:","_")</f>
        <v/>
      </c>
      <c r="J289" s="25" t="s">
        <v>1398</v>
      </c>
      <c r="K289" s="25" t="s">
        <v>1399</v>
      </c>
      <c r="L289" s="25" t="s">
        <v>1400</v>
      </c>
      <c r="M289" s="25" t="s">
        <v>220</v>
      </c>
      <c r="N289" s="27"/>
      <c r="O289" s="25" t="s">
        <v>64</v>
      </c>
      <c r="P289" s="27"/>
      <c r="Q289" s="26" t="str">
        <f>IF(S289="","",LEN(S289)-LEN(SUBSTITUTE(S289,"/",""))+IF(ISNUMBER(SEARCH("@",S289)),0,1))</f>
        <v>4</v>
      </c>
      <c r="R289" s="42" t="s">
        <v>3029</v>
      </c>
      <c r="S289" s="19" t="s">
        <v>1401</v>
      </c>
      <c r="T289" s="20"/>
      <c r="U289" s="20"/>
      <c r="V289" s="20"/>
      <c r="W289" s="25" t="s">
        <v>681</v>
      </c>
      <c r="X289" s="46"/>
      <c r="Y289" s="20"/>
      <c r="Z289" s="20"/>
      <c r="AA289" s="25" t="s">
        <v>222</v>
      </c>
      <c r="AB289" s="20" t="str">
        <f>IF(ISBLANK(S289),"是","否")</f>
        <v>否</v>
      </c>
      <c r="AC289" s="20"/>
      <c r="AD289" s="25"/>
      <c r="AE289" s="25"/>
      <c r="AH289" s="20" t="s">
        <v>76</v>
      </c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</row>
    <row r="290" ht="29.59398496240601" customHeight="1" spans="1:57" x14ac:dyDescent="0.25">
      <c r="A290" s="20" t="s">
        <v>682</v>
      </c>
      <c r="B290" s="19" t="s">
        <v>1386</v>
      </c>
      <c r="C290" s="20" t="s">
        <v>57</v>
      </c>
      <c r="D290" s="21"/>
      <c r="E290" s="22"/>
      <c r="F290" s="21" t="s">
        <v>1402</v>
      </c>
      <c r="G290" s="29" t="s">
        <v>1403</v>
      </c>
      <c r="H290" s="20" t="str">
        <f>SUBSTITUTE(SUBSTITUTE(SUBSTITUTE(S290,"/@","_"),"/cac:","_"),"/cbc:","_")</f>
        <v>Invoice_InvoiceLine_Item_SellersItemIdentification_ID</v>
      </c>
      <c r="I290" s="20" t="str">
        <f>SUBSTITUTE(SUBSTITUTE(SUBSTITUTE(T290,"/@","_"),"/cac:","_"),"/cbc:","_")</f>
        <v/>
      </c>
      <c r="J290" s="25" t="s">
        <v>1405</v>
      </c>
      <c r="K290" s="25" t="s">
        <v>1406</v>
      </c>
      <c r="L290" s="25" t="s">
        <v>1392</v>
      </c>
      <c r="M290" s="25" t="s">
        <v>228</v>
      </c>
      <c r="N290" s="49"/>
      <c r="O290" s="25">
        <v>1</v>
      </c>
      <c r="P290" s="27"/>
      <c r="Q290" s="26" t="str">
        <f>IF(S290="","",LEN(S290)-LEN(SUBSTITUTE(S290,"/",""))+IF(ISNUMBER(SEARCH("@",S290)),0,1))</f>
        <v>5</v>
      </c>
      <c r="R290" s="42" t="s">
        <v>3030</v>
      </c>
      <c r="S290" s="19" t="s">
        <v>1407</v>
      </c>
      <c r="T290" s="20"/>
      <c r="U290" s="20"/>
      <c r="V290" s="20"/>
      <c r="W290" s="25" t="s">
        <v>1408</v>
      </c>
      <c r="X290" s="46"/>
      <c r="Y290" s="20"/>
      <c r="Z290" s="20"/>
      <c r="AA290" s="25" t="s">
        <v>68</v>
      </c>
      <c r="AB290" s="20" t="str">
        <f>IF(ISBLANK(S290),"是","否")</f>
        <v>否</v>
      </c>
      <c r="AC290" s="20"/>
      <c r="AD290" s="25"/>
      <c r="AE290" s="25"/>
      <c r="AH290" s="20" t="s">
        <v>76</v>
      </c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</row>
    <row r="291" ht="39.879699248120296" customHeight="1" spans="1:57" x14ac:dyDescent="0.25">
      <c r="A291" s="20" t="s">
        <v>682</v>
      </c>
      <c r="B291" s="19" t="s">
        <v>1386</v>
      </c>
      <c r="C291" s="20" t="s">
        <v>57</v>
      </c>
      <c r="D291" s="21"/>
      <c r="E291" s="22"/>
      <c r="F291" s="21" t="s">
        <v>1409</v>
      </c>
      <c r="G291" s="29" t="s">
        <v>1410</v>
      </c>
      <c r="H291" s="20" t="str">
        <f>SUBSTITUTE(SUBSTITUTE(SUBSTITUTE(S291,"/@","_"),"/cac:","_"),"/cbc:","_")</f>
        <v>Invoice_InvoiceLine_Item_SellersItemIdentification_ExtendedID</v>
      </c>
      <c r="I291" s="20" t="str">
        <f>SUBSTITUTE(SUBSTITUTE(SUBSTITUTE(T291,"/@","_"),"/cac:","_"),"/cbc:","_")</f>
        <v/>
      </c>
      <c r="J291" s="25" t="s">
        <v>1412</v>
      </c>
      <c r="K291" s="25" t="s">
        <v>1413</v>
      </c>
      <c r="L291" s="25" t="s">
        <v>1414</v>
      </c>
      <c r="M291" s="25" t="s">
        <v>228</v>
      </c>
      <c r="N291" s="27"/>
      <c r="O291" s="25" t="s">
        <v>64</v>
      </c>
      <c r="P291" s="27"/>
      <c r="Q291" s="26" t="str">
        <f>IF(S291="","",LEN(S291)-LEN(SUBSTITUTE(S291,"/",""))+IF(ISNUMBER(SEARCH("@",S291)),0,1))</f>
        <v>5</v>
      </c>
      <c r="R291" s="42" t="s">
        <v>3031</v>
      </c>
      <c r="S291" s="19" t="s">
        <v>1415</v>
      </c>
      <c r="T291" s="20"/>
      <c r="U291" s="20"/>
      <c r="V291" s="20"/>
      <c r="W291" s="25" t="s">
        <v>1416</v>
      </c>
      <c r="X291" s="46"/>
      <c r="Y291" s="20"/>
      <c r="Z291" s="20"/>
      <c r="AA291" s="25" t="s">
        <v>68</v>
      </c>
      <c r="AB291" s="20" t="str">
        <f>IF(ISBLANK(S291),"是","否")</f>
        <v>否</v>
      </c>
      <c r="AC291" s="20"/>
      <c r="AD291" s="25"/>
      <c r="AE291" s="25"/>
      <c r="AH291" s="20" t="s">
        <v>76</v>
      </c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</row>
    <row r="292" ht="39.879699248120296" customHeight="1" spans="1:57" x14ac:dyDescent="0.25">
      <c r="A292" s="20" t="s">
        <v>682</v>
      </c>
      <c r="B292" s="19" t="s">
        <v>1357</v>
      </c>
      <c r="C292" s="20" t="s">
        <v>57</v>
      </c>
      <c r="D292" s="21"/>
      <c r="E292" s="22"/>
      <c r="F292" s="21" t="s">
        <v>1417</v>
      </c>
      <c r="G292" s="29" t="s">
        <v>1418</v>
      </c>
      <c r="H292" s="20" t="str">
        <f>SUBSTITUTE(SUBSTITUTE(SUBSTITUTE(S292,"/@","_"),"/cac:","_"),"/cbc:","_")</f>
        <v>Invoice_InvoiceLine_Item_ManufacturersItemIdentification</v>
      </c>
      <c r="I292" s="20" t="str">
        <f>SUBSTITUTE(SUBSTITUTE(SUBSTITUTE(T292,"/@","_"),"/cac:","_"),"/cbc:","_")</f>
        <v/>
      </c>
      <c r="J292" s="25" t="s">
        <v>1420</v>
      </c>
      <c r="K292" s="25" t="s">
        <v>1421</v>
      </c>
      <c r="L292" s="25" t="s">
        <v>1422</v>
      </c>
      <c r="M292" s="25" t="s">
        <v>220</v>
      </c>
      <c r="N292" s="27"/>
      <c r="O292" s="25" t="s">
        <v>64</v>
      </c>
      <c r="P292" s="27"/>
      <c r="Q292" s="26" t="str">
        <f>IF(S292="","",LEN(S292)-LEN(SUBSTITUTE(S292,"/",""))+IF(ISNUMBER(SEARCH("@",S292)),0,1))</f>
        <v>4</v>
      </c>
      <c r="R292" s="42" t="s">
        <v>3032</v>
      </c>
      <c r="S292" s="19" t="s">
        <v>1423</v>
      </c>
      <c r="T292" s="20"/>
      <c r="U292" s="20"/>
      <c r="V292" s="20"/>
      <c r="W292" s="25" t="s">
        <v>681</v>
      </c>
      <c r="X292" s="46"/>
      <c r="Y292" s="20"/>
      <c r="Z292" s="20"/>
      <c r="AA292" s="25" t="s">
        <v>222</v>
      </c>
      <c r="AB292" s="20" t="str">
        <f>IF(ISBLANK(S292),"是","否")</f>
        <v>否</v>
      </c>
      <c r="AC292" s="20"/>
      <c r="AD292" s="25"/>
      <c r="AE292" s="25"/>
      <c r="AH292" s="20" t="s">
        <v>76</v>
      </c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</row>
    <row r="293" ht="39.879699248120296" customHeight="1" spans="1:57" x14ac:dyDescent="0.25">
      <c r="A293" s="20" t="s">
        <v>682</v>
      </c>
      <c r="B293" s="19" t="s">
        <v>1386</v>
      </c>
      <c r="C293" s="20" t="s">
        <v>57</v>
      </c>
      <c r="D293" s="21"/>
      <c r="E293" s="22"/>
      <c r="F293" s="21" t="s">
        <v>1424</v>
      </c>
      <c r="G293" s="29" t="s">
        <v>1425</v>
      </c>
      <c r="H293" s="20" t="str">
        <f>SUBSTITUTE(SUBSTITUTE(SUBSTITUTE(S293,"/@","_"),"/cac:","_"),"/cbc:","_")</f>
        <v>Invoice_InvoiceLine_Item_ManufacturersItemIdentification_ID</v>
      </c>
      <c r="I293" s="20" t="str">
        <f>SUBSTITUTE(SUBSTITUTE(SUBSTITUTE(T293,"/@","_"),"/cac:","_"),"/cbc:","_")</f>
        <v/>
      </c>
      <c r="J293" s="25" t="s">
        <v>1427</v>
      </c>
      <c r="K293" s="25" t="s">
        <v>1428</v>
      </c>
      <c r="L293" s="25" t="s">
        <v>1392</v>
      </c>
      <c r="M293" s="25" t="s">
        <v>228</v>
      </c>
      <c r="N293" s="27"/>
      <c r="O293" s="25">
        <v>1</v>
      </c>
      <c r="P293" s="27"/>
      <c r="Q293" s="26" t="str">
        <f>IF(S293="","",LEN(S293)-LEN(SUBSTITUTE(S293,"/",""))+IF(ISNUMBER(SEARCH("@",S293)),0,1))</f>
        <v>5</v>
      </c>
      <c r="R293" s="42" t="s">
        <v>3033</v>
      </c>
      <c r="S293" s="19" t="s">
        <v>1429</v>
      </c>
      <c r="T293" s="20"/>
      <c r="U293" s="20"/>
      <c r="V293" s="20"/>
      <c r="W293" s="25" t="s">
        <v>1430</v>
      </c>
      <c r="X293" s="46"/>
      <c r="Y293" s="20"/>
      <c r="Z293" s="20"/>
      <c r="AA293" s="25" t="s">
        <v>68</v>
      </c>
      <c r="AB293" s="20" t="str">
        <f>IF(ISBLANK(S293),"是","否")</f>
        <v>否</v>
      </c>
      <c r="AC293" s="20"/>
      <c r="AD293" s="25"/>
      <c r="AE293" s="25"/>
      <c r="AH293" s="20" t="s">
        <v>76</v>
      </c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</row>
    <row r="294" ht="29.59398496240601" customHeight="1" spans="1:57" x14ac:dyDescent="0.25">
      <c r="A294" s="20" t="s">
        <v>682</v>
      </c>
      <c r="B294" s="19" t="s">
        <v>1357</v>
      </c>
      <c r="C294" s="20" t="s">
        <v>57</v>
      </c>
      <c r="D294" s="21"/>
      <c r="E294" s="22"/>
      <c r="F294" s="21" t="s">
        <v>1431</v>
      </c>
      <c r="G294" s="29" t="s">
        <v>1432</v>
      </c>
      <c r="H294" s="20" t="str">
        <f>SUBSTITUTE(SUBSTITUTE(SUBSTITUTE(S294,"/@","_"),"/cac:","_"),"/cbc:","_")</f>
        <v>Invoice_InvoiceLine_Item_StandardItemIdentification</v>
      </c>
      <c r="I294" s="20" t="str">
        <f>SUBSTITUTE(SUBSTITUTE(SUBSTITUTE(T294,"/@","_"),"/cac:","_"),"/cbc:","_")</f>
        <v/>
      </c>
      <c r="J294" s="25" t="s">
        <v>1434</v>
      </c>
      <c r="K294" s="25" t="s">
        <v>1435</v>
      </c>
      <c r="L294" s="25" t="s">
        <v>1436</v>
      </c>
      <c r="M294" s="25" t="s">
        <v>220</v>
      </c>
      <c r="N294" s="27"/>
      <c r="O294" s="25" t="s">
        <v>64</v>
      </c>
      <c r="P294" s="27"/>
      <c r="Q294" s="26" t="str">
        <f>IF(S294="","",LEN(S294)-LEN(SUBSTITUTE(S294,"/",""))+IF(ISNUMBER(SEARCH("@",S294)),0,1))</f>
        <v>4</v>
      </c>
      <c r="R294" s="42" t="s">
        <v>3034</v>
      </c>
      <c r="S294" s="19" t="s">
        <v>1437</v>
      </c>
      <c r="T294" s="20"/>
      <c r="U294" s="20"/>
      <c r="V294" s="20"/>
      <c r="W294" s="25" t="s">
        <v>681</v>
      </c>
      <c r="X294" s="46"/>
      <c r="Y294" s="20"/>
      <c r="Z294" s="20"/>
      <c r="AA294" s="25" t="s">
        <v>222</v>
      </c>
      <c r="AB294" s="20" t="str">
        <f>IF(ISBLANK(S294),"是","否")</f>
        <v>否</v>
      </c>
      <c r="AC294" s="20"/>
      <c r="AD294" s="25"/>
      <c r="AE294" s="25"/>
      <c r="AH294" s="20" t="s">
        <v>76</v>
      </c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</row>
    <row r="295" ht="29.59398496240601" customHeight="1" spans="1:57" x14ac:dyDescent="0.25">
      <c r="A295" s="20" t="s">
        <v>682</v>
      </c>
      <c r="B295" s="19" t="s">
        <v>1386</v>
      </c>
      <c r="C295" s="20" t="s">
        <v>57</v>
      </c>
      <c r="D295" s="21"/>
      <c r="E295" s="22"/>
      <c r="F295" s="21" t="s">
        <v>1438</v>
      </c>
      <c r="G295" s="29" t="s">
        <v>1439</v>
      </c>
      <c r="H295" s="20" t="str">
        <f>SUBSTITUTE(SUBSTITUTE(SUBSTITUTE(S295,"/@","_"),"/cac:","_"),"/cbc:","_")</f>
        <v>Invoice_InvoiceLine_Item_StandardItemIdentification_ID</v>
      </c>
      <c r="I295" s="20" t="str">
        <f>SUBSTITUTE(SUBSTITUTE(SUBSTITUTE(T295,"/@","_"),"/cac:","_"),"/cbc:","_")</f>
        <v/>
      </c>
      <c r="J295" s="25" t="s">
        <v>1441</v>
      </c>
      <c r="K295" s="25" t="s">
        <v>1442</v>
      </c>
      <c r="L295" s="25" t="s">
        <v>1443</v>
      </c>
      <c r="M295" s="25" t="s">
        <v>228</v>
      </c>
      <c r="N295" s="27"/>
      <c r="O295" s="25">
        <v>1</v>
      </c>
      <c r="P295" s="27"/>
      <c r="Q295" s="26" t="str">
        <f>IF(S295="","",LEN(S295)-LEN(SUBSTITUTE(S295,"/",""))+IF(ISNUMBER(SEARCH("@",S295)),0,1))</f>
        <v>5</v>
      </c>
      <c r="R295" s="42" t="s">
        <v>3035</v>
      </c>
      <c r="S295" s="19" t="s">
        <v>1444</v>
      </c>
      <c r="T295" s="20"/>
      <c r="U295" s="20"/>
      <c r="V295" s="20"/>
      <c r="W295" s="25">
        <v>6901230000000</v>
      </c>
      <c r="X295" s="46"/>
      <c r="Y295" s="20"/>
      <c r="Z295" s="20"/>
      <c r="AA295" s="25" t="s">
        <v>68</v>
      </c>
      <c r="AB295" s="20" t="str">
        <f>IF(ISBLANK(S295),"是","否")</f>
        <v>否</v>
      </c>
      <c r="AC295" s="20"/>
      <c r="AD295" s="25"/>
      <c r="AE295" s="25"/>
      <c r="AH295" s="20" t="s">
        <v>76</v>
      </c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</row>
    <row r="296" ht="39.879699248120296" customHeight="1" spans="1:57" x14ac:dyDescent="0.25">
      <c r="A296" s="20" t="s">
        <v>682</v>
      </c>
      <c r="B296" s="19" t="s">
        <v>1386</v>
      </c>
      <c r="C296" s="20" t="s">
        <v>57</v>
      </c>
      <c r="D296" s="21"/>
      <c r="E296" s="22"/>
      <c r="F296" s="21" t="s">
        <v>1445</v>
      </c>
      <c r="G296" s="29" t="s">
        <v>1446</v>
      </c>
      <c r="H296" s="20" t="str">
        <f>SUBSTITUTE(SUBSTITUTE(SUBSTITUTE(S296,"/@","_"),"/cac:","_"),"/cbc:","_")</f>
        <v>Invoice_InvoiceLine_Item_StandardItemIdentification_ID_schemeID</v>
      </c>
      <c r="I296" s="20" t="str">
        <f>SUBSTITUTE(SUBSTITUTE(SUBSTITUTE(T296,"/@","_"),"/cac:","_"),"/cbc:","_")</f>
        <v/>
      </c>
      <c r="J296" s="25" t="s">
        <v>1448</v>
      </c>
      <c r="K296" s="25" t="s">
        <v>1449</v>
      </c>
      <c r="L296" s="25" t="s">
        <v>1450</v>
      </c>
      <c r="M296" s="25" t="s">
        <v>243</v>
      </c>
      <c r="N296" s="27"/>
      <c r="O296" s="25" t="s">
        <v>64</v>
      </c>
      <c r="P296" s="27"/>
      <c r="Q296" s="26" t="str">
        <f>IF(S296="","",LEN(S296)-LEN(SUBSTITUTE(S296,"/",""))+IF(ISNUMBER(SEARCH("@",S296)),0,1))</f>
        <v>5</v>
      </c>
      <c r="R296" s="42" t="s">
        <v>3036</v>
      </c>
      <c r="S296" s="19" t="s">
        <v>1451</v>
      </c>
      <c r="T296" s="20"/>
      <c r="U296" s="20"/>
      <c r="V296" s="20"/>
      <c r="W296" s="25" t="s">
        <v>1452</v>
      </c>
      <c r="X296" s="46"/>
      <c r="Y296" s="20"/>
      <c r="Z296" s="20"/>
      <c r="AA296" s="25" t="s">
        <v>68</v>
      </c>
      <c r="AB296" s="20" t="str">
        <f>IF(ISBLANK(S296),"是","否")</f>
        <v>否</v>
      </c>
      <c r="AC296" s="20"/>
      <c r="AD296" s="25"/>
      <c r="AE296" s="25"/>
      <c r="AH296" s="20" t="s">
        <v>76</v>
      </c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</row>
    <row r="297" ht="29.59398496240601" customHeight="1" spans="1:57" x14ac:dyDescent="0.25">
      <c r="A297" s="20" t="s">
        <v>682</v>
      </c>
      <c r="B297" s="19" t="s">
        <v>1357</v>
      </c>
      <c r="C297" s="20" t="s">
        <v>57</v>
      </c>
      <c r="D297" s="21"/>
      <c r="E297" s="22"/>
      <c r="F297" s="21" t="s">
        <v>1453</v>
      </c>
      <c r="G297" s="29" t="s">
        <v>1454</v>
      </c>
      <c r="H297" s="20" t="str">
        <f>SUBSTITUTE(SUBSTITUTE(SUBSTITUTE(S297,"/@","_"),"/cac:","_"),"/cbc:","_")</f>
        <v>Invoice_InvoiceLine_Item_OriginCountry</v>
      </c>
      <c r="I297" s="20" t="str">
        <f>SUBSTITUTE(SUBSTITUTE(SUBSTITUTE(T297,"/@","_"),"/cac:","_"),"/cbc:","_")</f>
        <v/>
      </c>
      <c r="J297" s="25" t="s">
        <v>1456</v>
      </c>
      <c r="K297" s="25" t="s">
        <v>1457</v>
      </c>
      <c r="L297" s="25" t="s">
        <v>1458</v>
      </c>
      <c r="M297" s="25" t="s">
        <v>220</v>
      </c>
      <c r="N297" s="27"/>
      <c r="O297" s="25" t="s">
        <v>64</v>
      </c>
      <c r="P297" s="27"/>
      <c r="Q297" s="26" t="str">
        <f>IF(S297="","",LEN(S297)-LEN(SUBSTITUTE(S297,"/",""))+IF(ISNUMBER(SEARCH("@",S297)),0,1))</f>
        <v>4</v>
      </c>
      <c r="R297" s="42" t="s">
        <v>3037</v>
      </c>
      <c r="S297" s="19" t="s">
        <v>1459</v>
      </c>
      <c r="T297" s="20"/>
      <c r="U297" s="20"/>
      <c r="V297" s="20"/>
      <c r="W297" s="25" t="s">
        <v>681</v>
      </c>
      <c r="X297" s="46"/>
      <c r="Y297" s="20"/>
      <c r="Z297" s="20"/>
      <c r="AA297" s="25" t="s">
        <v>222</v>
      </c>
      <c r="AB297" s="20" t="str">
        <f>IF(ISBLANK(S297),"是","否")</f>
        <v>否</v>
      </c>
      <c r="AC297" s="20"/>
      <c r="AD297" s="25"/>
      <c r="AE297" s="25"/>
      <c r="AH297" s="20" t="s">
        <v>76</v>
      </c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</row>
    <row r="298" ht="39.879699248120296" customHeight="1" spans="1:57" x14ac:dyDescent="0.25">
      <c r="A298" s="20" t="s">
        <v>682</v>
      </c>
      <c r="B298" s="19" t="s">
        <v>328</v>
      </c>
      <c r="C298" s="20" t="s">
        <v>57</v>
      </c>
      <c r="D298" s="21"/>
      <c r="E298" s="22"/>
      <c r="F298" s="21" t="s">
        <v>1460</v>
      </c>
      <c r="G298" s="29" t="s">
        <v>1461</v>
      </c>
      <c r="H298" s="20" t="str">
        <f>SUBSTITUTE(SUBSTITUTE(SUBSTITUTE(S298,"/@","_"),"/cac:","_"),"/cbc:","_")</f>
        <v>Invoice_InvoiceLine_Item_OriginCountry_IdentificationCode</v>
      </c>
      <c r="I298" s="20" t="str">
        <f>SUBSTITUTE(SUBSTITUTE(SUBSTITUTE(T298,"/@","_"),"/cac:","_"),"/cbc:","_")</f>
        <v/>
      </c>
      <c r="J298" s="25" t="s">
        <v>1463</v>
      </c>
      <c r="K298" s="25" t="s">
        <v>1464</v>
      </c>
      <c r="L298" s="25" t="s">
        <v>1465</v>
      </c>
      <c r="M298" s="25" t="s">
        <v>243</v>
      </c>
      <c r="N298" s="27"/>
      <c r="O298" s="25" t="s">
        <v>64</v>
      </c>
      <c r="P298" s="27"/>
      <c r="Q298" s="26" t="str">
        <f>IF(S298="","",LEN(S298)-LEN(SUBSTITUTE(S298,"/",""))+IF(ISNUMBER(SEARCH("@",S298)),0,1))</f>
        <v>5</v>
      </c>
      <c r="R298" s="42" t="s">
        <v>3038</v>
      </c>
      <c r="S298" s="19" t="s">
        <v>1466</v>
      </c>
      <c r="T298" s="20"/>
      <c r="U298" s="20"/>
      <c r="V298" s="20"/>
      <c r="W298" s="25" t="s">
        <v>773</v>
      </c>
      <c r="X298" s="46"/>
      <c r="Y298" s="20"/>
      <c r="Z298" s="20"/>
      <c r="AA298" s="25" t="s">
        <v>68</v>
      </c>
      <c r="AB298" s="20" t="str">
        <f>IF(ISBLANK(S298),"是","否")</f>
        <v>否</v>
      </c>
      <c r="AC298" s="20"/>
      <c r="AD298" s="25"/>
      <c r="AE298" s="25"/>
      <c r="AH298" s="20" t="s">
        <v>76</v>
      </c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</row>
    <row r="299" ht="60.45112781954887" customHeight="1" spans="1:57" x14ac:dyDescent="0.25">
      <c r="A299" s="20" t="s">
        <v>682</v>
      </c>
      <c r="B299" s="19" t="s">
        <v>1357</v>
      </c>
      <c r="C299" s="20" t="s">
        <v>57</v>
      </c>
      <c r="D299" s="21"/>
      <c r="E299" s="22"/>
      <c r="F299" s="21" t="s">
        <v>1467</v>
      </c>
      <c r="G299" s="29" t="s">
        <v>1468</v>
      </c>
      <c r="H299" s="20" t="str">
        <f>SUBSTITUTE(SUBSTITUTE(SUBSTITUTE(S299,"/@","_"),"/cac:","_"),"/cbc:","_")</f>
        <v>Invoice_InvoiceLine_Item_CommodityClassification</v>
      </c>
      <c r="I299" s="20" t="str">
        <f>SUBSTITUTE(SUBSTITUTE(SUBSTITUTE(T299,"/@","_"),"/cac:","_"),"/cbc:","_")</f>
        <v/>
      </c>
      <c r="J299" s="25" t="s">
        <v>1470</v>
      </c>
      <c r="K299" s="25" t="s">
        <v>1471</v>
      </c>
      <c r="L299" s="25" t="s">
        <v>1472</v>
      </c>
      <c r="M299" s="25" t="s">
        <v>220</v>
      </c>
      <c r="N299" s="27"/>
      <c r="O299" s="25" t="s">
        <v>49</v>
      </c>
      <c r="P299" s="27"/>
      <c r="Q299" s="26" t="str">
        <f>IF(S299="","",LEN(S299)-LEN(SUBSTITUTE(S299,"/",""))+IF(ISNUMBER(SEARCH("@",S299)),0,1))</f>
        <v>4</v>
      </c>
      <c r="R299" s="42" t="s">
        <v>3039</v>
      </c>
      <c r="S299" s="19" t="s">
        <v>1473</v>
      </c>
      <c r="T299" s="20"/>
      <c r="U299" s="20"/>
      <c r="V299" s="20"/>
      <c r="W299" s="25" t="s">
        <v>681</v>
      </c>
      <c r="X299" s="46"/>
      <c r="Y299" s="20"/>
      <c r="Z299" s="20"/>
      <c r="AA299" s="25" t="s">
        <v>222</v>
      </c>
      <c r="AB299" s="20" t="str">
        <f>IF(ISBLANK(S299),"是","否")</f>
        <v>否</v>
      </c>
      <c r="AC299" s="20"/>
      <c r="AD299" s="25"/>
      <c r="AE299" s="25"/>
      <c r="AH299" s="20" t="s">
        <v>76</v>
      </c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</row>
    <row r="300" ht="50.16541353383458" customHeight="1" spans="1:57" x14ac:dyDescent="0.25">
      <c r="A300" s="20" t="s">
        <v>682</v>
      </c>
      <c r="B300" s="19" t="s">
        <v>1474</v>
      </c>
      <c r="C300" s="20" t="s">
        <v>57</v>
      </c>
      <c r="D300" s="21"/>
      <c r="E300" s="22"/>
      <c r="F300" s="21" t="s">
        <v>1475</v>
      </c>
      <c r="G300" s="29" t="s">
        <v>1476</v>
      </c>
      <c r="H300" s="20" t="str">
        <f>SUBSTITUTE(SUBSTITUTE(SUBSTITUTE(S300,"/@","_"),"/cac:","_"),"/cbc:","_")</f>
        <v>Invoice_InvoiceLine_Item_CommodityClassification_ItemClassificationCode</v>
      </c>
      <c r="I300" s="20" t="str">
        <f>SUBSTITUTE(SUBSTITUTE(SUBSTITUTE(T300,"/@","_"),"/cac:","_"),"/cbc:","_")</f>
        <v/>
      </c>
      <c r="J300" s="25" t="s">
        <v>1478</v>
      </c>
      <c r="K300" s="25" t="s">
        <v>1479</v>
      </c>
      <c r="L300" s="25" t="s">
        <v>1480</v>
      </c>
      <c r="M300" s="25" t="s">
        <v>228</v>
      </c>
      <c r="N300" s="27"/>
      <c r="O300" s="25" t="s">
        <v>64</v>
      </c>
      <c r="P300" s="27"/>
      <c r="Q300" s="26" t="str">
        <f>IF(S300="","",LEN(S300)-LEN(SUBSTITUTE(S300,"/",""))+IF(ISNUMBER(SEARCH("@",S300)),0,1))</f>
        <v>5</v>
      </c>
      <c r="R300" s="42" t="s">
        <v>3040</v>
      </c>
      <c r="S300" s="19" t="s">
        <v>1481</v>
      </c>
      <c r="T300" s="20"/>
      <c r="U300" s="20"/>
      <c r="V300" s="20"/>
      <c r="W300" s="25">
        <v>1090100000000000000</v>
      </c>
      <c r="X300" s="46"/>
      <c r="Y300" s="20"/>
      <c r="Z300" s="20"/>
      <c r="AA300" s="25" t="s">
        <v>68</v>
      </c>
      <c r="AB300" s="20" t="str">
        <f>IF(ISBLANK(S300),"是","否")</f>
        <v>否</v>
      </c>
      <c r="AC300" s="20"/>
      <c r="AD300" s="25"/>
      <c r="AE300" s="25"/>
      <c r="AH300" s="20" t="s">
        <v>76</v>
      </c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</row>
    <row r="301" ht="50.16541353383458" customHeight="1" spans="1:57" x14ac:dyDescent="0.25">
      <c r="A301" s="20" t="s">
        <v>682</v>
      </c>
      <c r="B301" s="19" t="s">
        <v>1474</v>
      </c>
      <c r="C301" s="20" t="s">
        <v>57</v>
      </c>
      <c r="D301" s="21"/>
      <c r="E301" s="22"/>
      <c r="F301" s="21" t="s">
        <v>1482</v>
      </c>
      <c r="G301" s="29" t="s">
        <v>1483</v>
      </c>
      <c r="H301" s="20" t="str">
        <f>SUBSTITUTE(SUBSTITUTE(SUBSTITUTE(S301,"/@","_"),"/cac:","_"),"/cbc:","_")</f>
        <v>Invoice_InvoiceLine_Item_CommodityClassification_ItemClassificationCode_listID</v>
      </c>
      <c r="I301" s="20" t="str">
        <f>SUBSTITUTE(SUBSTITUTE(SUBSTITUTE(T301,"/@","_"),"/cac:","_"),"/cbc:","_")</f>
        <v/>
      </c>
      <c r="J301" s="25" t="s">
        <v>1485</v>
      </c>
      <c r="K301" s="25" t="s">
        <v>1486</v>
      </c>
      <c r="L301" s="25" t="s">
        <v>1487</v>
      </c>
      <c r="M301" s="25" t="s">
        <v>228</v>
      </c>
      <c r="N301" s="27"/>
      <c r="O301" s="25" t="s">
        <v>64</v>
      </c>
      <c r="P301" s="27"/>
      <c r="Q301" s="26" t="str">
        <f>IF(S301="","",LEN(S301)-LEN(SUBSTITUTE(S301,"/",""))+IF(ISNUMBER(SEARCH("@",S301)),0,1))</f>
        <v>5</v>
      </c>
      <c r="R301" s="42" t="s">
        <v>3041</v>
      </c>
      <c r="S301" s="19" t="s">
        <v>1488</v>
      </c>
      <c r="T301" s="20"/>
      <c r="U301" s="20"/>
      <c r="V301" s="20"/>
      <c r="W301" s="25" t="s">
        <v>1489</v>
      </c>
      <c r="X301" s="46"/>
      <c r="Y301" s="20"/>
      <c r="Z301" s="20"/>
      <c r="AA301" s="25" t="s">
        <v>68</v>
      </c>
      <c r="AB301" s="20" t="str">
        <f>IF(ISBLANK(S301),"是","否")</f>
        <v>否</v>
      </c>
      <c r="AC301" s="20"/>
      <c r="AD301" s="25"/>
      <c r="AE301" s="25"/>
      <c r="AH301" s="20" t="s">
        <v>76</v>
      </c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</row>
    <row r="302" ht="60.45112781954887" customHeight="1" spans="1:57" x14ac:dyDescent="0.25">
      <c r="A302" s="20" t="s">
        <v>682</v>
      </c>
      <c r="B302" s="19" t="s">
        <v>1474</v>
      </c>
      <c r="C302" s="20" t="s">
        <v>57</v>
      </c>
      <c r="D302" s="21"/>
      <c r="E302" s="22"/>
      <c r="F302" s="21" t="s">
        <v>1490</v>
      </c>
      <c r="G302" s="29" t="s">
        <v>1491</v>
      </c>
      <c r="H302" s="20" t="str">
        <f>SUBSTITUTE(SUBSTITUTE(SUBSTITUTE(S302,"/@","_"),"/cac:","_"),"/cbc:","_")</f>
        <v>Invoice_InvoiceLine_Item_CommodityClassification_ItemClassificationCode_listVersionID</v>
      </c>
      <c r="I302" s="20" t="str">
        <f>SUBSTITUTE(SUBSTITUTE(SUBSTITUTE(T302,"/@","_"),"/cac:","_"),"/cbc:","_")</f>
        <v/>
      </c>
      <c r="J302" s="25" t="s">
        <v>1493</v>
      </c>
      <c r="K302" s="25" t="s">
        <v>1494</v>
      </c>
      <c r="L302" s="25" t="s">
        <v>1495</v>
      </c>
      <c r="M302" s="25" t="s">
        <v>228</v>
      </c>
      <c r="N302" s="27"/>
      <c r="O302" s="25" t="s">
        <v>64</v>
      </c>
      <c r="P302" s="27"/>
      <c r="Q302" s="26" t="str">
        <f>IF(S302="","",LEN(S302)-LEN(SUBSTITUTE(S302,"/",""))+IF(ISNUMBER(SEARCH("@",S302)),0,1))</f>
        <v>5</v>
      </c>
      <c r="R302" s="42" t="s">
        <v>3042</v>
      </c>
      <c r="S302" s="19" t="s">
        <v>1496</v>
      </c>
      <c r="T302" s="20"/>
      <c r="U302" s="20"/>
      <c r="V302" s="20"/>
      <c r="W302" s="25">
        <v>35</v>
      </c>
      <c r="X302" s="46"/>
      <c r="Y302" s="20"/>
      <c r="Z302" s="20"/>
      <c r="AA302" s="25" t="s">
        <v>68</v>
      </c>
      <c r="AB302" s="20" t="str">
        <f>IF(ISBLANK(S302),"是","否")</f>
        <v>否</v>
      </c>
      <c r="AC302" s="20"/>
      <c r="AD302" s="25"/>
      <c r="AE302" s="25"/>
      <c r="AH302" s="20" t="s">
        <v>76</v>
      </c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</row>
    <row r="303" ht="29.59398496240601" customHeight="1" spans="1:57" x14ac:dyDescent="0.25">
      <c r="A303" s="20" t="s">
        <v>682</v>
      </c>
      <c r="B303" s="19" t="s">
        <v>1357</v>
      </c>
      <c r="C303" s="20" t="s">
        <v>57</v>
      </c>
      <c r="D303" s="21"/>
      <c r="E303" s="22"/>
      <c r="F303" s="21" t="s">
        <v>1497</v>
      </c>
      <c r="G303" s="29" t="s">
        <v>1498</v>
      </c>
      <c r="H303" s="20" t="str">
        <f>SUBSTITUTE(SUBSTITUTE(SUBSTITUTE(S303,"/@","_"),"/cac:","_"),"/cbc:","_")</f>
        <v>Invoice_InvoiceLine_Item_ClassifiedTaxCategory</v>
      </c>
      <c r="I303" s="20" t="str">
        <f>SUBSTITUTE(SUBSTITUTE(SUBSTITUTE(T303,"/@","_"),"/cac:","_"),"/cbc:","_")</f>
        <v/>
      </c>
      <c r="J303" s="25" t="s">
        <v>1500</v>
      </c>
      <c r="K303" s="25" t="s">
        <v>1501</v>
      </c>
      <c r="L303" s="25" t="s">
        <v>1502</v>
      </c>
      <c r="M303" s="25" t="s">
        <v>220</v>
      </c>
      <c r="N303" s="27"/>
      <c r="O303" s="25" t="s">
        <v>49</v>
      </c>
      <c r="P303" s="27"/>
      <c r="Q303" s="26" t="str">
        <f>IF(S303="","",LEN(S303)-LEN(SUBSTITUTE(S303,"/",""))+IF(ISNUMBER(SEARCH("@",S303)),0,1))</f>
        <v>4</v>
      </c>
      <c r="R303" s="42" t="s">
        <v>3043</v>
      </c>
      <c r="S303" s="19" t="s">
        <v>1503</v>
      </c>
      <c r="T303" s="20"/>
      <c r="U303" s="20"/>
      <c r="V303" s="20"/>
      <c r="W303" s="25" t="s">
        <v>681</v>
      </c>
      <c r="X303" s="46"/>
      <c r="Y303" s="20"/>
      <c r="Z303" s="20"/>
      <c r="AA303" s="25" t="s">
        <v>222</v>
      </c>
      <c r="AB303" s="20" t="str">
        <f>IF(ISBLANK(S303),"是","否")</f>
        <v>否</v>
      </c>
      <c r="AC303" s="20"/>
      <c r="AD303" s="25"/>
      <c r="AE303" s="25"/>
      <c r="AH303" s="20" t="s">
        <v>76</v>
      </c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</row>
    <row r="304" ht="29.59398496240601" customHeight="1" spans="1:57" x14ac:dyDescent="0.25">
      <c r="A304" s="20" t="s">
        <v>682</v>
      </c>
      <c r="B304" s="19" t="s">
        <v>1071</v>
      </c>
      <c r="C304" s="20" t="s">
        <v>57</v>
      </c>
      <c r="D304" s="21"/>
      <c r="E304" s="22"/>
      <c r="F304" s="21" t="s">
        <v>1504</v>
      </c>
      <c r="G304" s="29" t="s">
        <v>1505</v>
      </c>
      <c r="H304" s="20" t="str">
        <f>SUBSTITUTE(SUBSTITUTE(SUBSTITUTE(S304,"/@","_"),"/cac:","_"),"/cbc:","_")</f>
        <v>Invoice_InvoiceLine_Item_ClassifiedTaxCategory_ID</v>
      </c>
      <c r="I304" s="20" t="str">
        <f>SUBSTITUTE(SUBSTITUTE(SUBSTITUTE(T304,"/@","_"),"/cac:","_"),"/cbc:","_")</f>
        <v/>
      </c>
      <c r="J304" s="25" t="s">
        <v>1506</v>
      </c>
      <c r="K304" s="25" t="s">
        <v>1507</v>
      </c>
      <c r="L304" s="25" t="s">
        <v>1077</v>
      </c>
      <c r="M304" s="25" t="s">
        <v>243</v>
      </c>
      <c r="N304" s="27"/>
      <c r="O304" s="25">
        <v>1</v>
      </c>
      <c r="P304" s="27"/>
      <c r="Q304" s="26" t="str">
        <f>IF(S304="","",LEN(S304)-LEN(SUBSTITUTE(S304,"/",""))+IF(ISNUMBER(SEARCH("@",S304)),0,1))</f>
        <v>5</v>
      </c>
      <c r="R304" s="42" t="s">
        <v>3044</v>
      </c>
      <c r="S304" s="19" t="s">
        <v>1508</v>
      </c>
      <c r="T304" s="20"/>
      <c r="U304" s="20"/>
      <c r="V304" s="20"/>
      <c r="W304" s="25" t="s">
        <v>1079</v>
      </c>
      <c r="X304" s="46"/>
      <c r="Y304" s="20"/>
      <c r="Z304" s="20"/>
      <c r="AA304" s="25" t="s">
        <v>68</v>
      </c>
      <c r="AB304" s="20" t="str">
        <f>IF(ISBLANK(S304),"是","否")</f>
        <v>否</v>
      </c>
      <c r="AC304" s="20"/>
      <c r="AD304" s="25"/>
      <c r="AE304" s="25"/>
      <c r="AH304" s="20" t="s">
        <v>76</v>
      </c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</row>
    <row r="305" ht="39.879699248120296" customHeight="1" spans="1:57" x14ac:dyDescent="0.25">
      <c r="A305" s="20" t="s">
        <v>682</v>
      </c>
      <c r="B305" s="19" t="s">
        <v>1071</v>
      </c>
      <c r="C305" s="20" t="s">
        <v>57</v>
      </c>
      <c r="D305" s="21"/>
      <c r="E305" s="22"/>
      <c r="F305" s="21" t="s">
        <v>1509</v>
      </c>
      <c r="G305" s="29" t="s">
        <v>1510</v>
      </c>
      <c r="H305" s="20" t="str">
        <f>SUBSTITUTE(SUBSTITUTE(SUBSTITUTE(S305,"/@","_"),"/cac:","_"),"/cbc:","_")</f>
        <v>Invoice_InvoiceLine_Item_ClassifiedTaxCategory_ID_schemeID</v>
      </c>
      <c r="I305" s="20" t="str">
        <f>SUBSTITUTE(SUBSTITUTE(SUBSTITUTE(T305,"/@","_"),"/cac:","_"),"/cbc:","_")</f>
        <v/>
      </c>
      <c r="J305" s="25" t="s">
        <v>1512</v>
      </c>
      <c r="K305" s="25" t="s">
        <v>1513</v>
      </c>
      <c r="L305" s="25" t="s">
        <v>1514</v>
      </c>
      <c r="M305" s="25" t="s">
        <v>243</v>
      </c>
      <c r="N305" s="27"/>
      <c r="O305" s="25" t="s">
        <v>64</v>
      </c>
      <c r="P305" s="27"/>
      <c r="Q305" s="26" t="str">
        <f>IF(S305="","",LEN(S305)-LEN(SUBSTITUTE(S305,"/",""))+IF(ISNUMBER(SEARCH("@",S305)),0,1))</f>
        <v>5</v>
      </c>
      <c r="R305" s="42" t="s">
        <v>3045</v>
      </c>
      <c r="S305" s="19" t="s">
        <v>1515</v>
      </c>
      <c r="T305" s="20"/>
      <c r="U305" s="20"/>
      <c r="V305" s="20"/>
      <c r="W305" s="25" t="s">
        <v>1516</v>
      </c>
      <c r="X305" s="46"/>
      <c r="Y305" s="20"/>
      <c r="Z305" s="20"/>
      <c r="AA305" s="25" t="s">
        <v>68</v>
      </c>
      <c r="AB305" s="20" t="str">
        <f>IF(ISBLANK(S305),"是","否")</f>
        <v>否</v>
      </c>
      <c r="AC305" s="20"/>
      <c r="AD305" s="25"/>
      <c r="AE305" s="25"/>
      <c r="AH305" s="20" t="s">
        <v>76</v>
      </c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</row>
    <row r="306" ht="39.879699248120296" customHeight="1" spans="1:57" x14ac:dyDescent="0.25">
      <c r="A306" s="20" t="s">
        <v>682</v>
      </c>
      <c r="B306" s="19" t="s">
        <v>1071</v>
      </c>
      <c r="C306" s="20" t="s">
        <v>57</v>
      </c>
      <c r="D306" s="21"/>
      <c r="E306" s="22"/>
      <c r="F306" s="21" t="s">
        <v>1517</v>
      </c>
      <c r="G306" s="29" t="s">
        <v>1518</v>
      </c>
      <c r="H306" s="20" t="str">
        <f>SUBSTITUTE(SUBSTITUTE(SUBSTITUTE(S306,"/@","_"),"/cac:","_"),"/cbc:","_")</f>
        <v>Invoice_InvoiceLine_Item_ClassifiedTaxCategory_Percent</v>
      </c>
      <c r="I306" s="20" t="str">
        <f>SUBSTITUTE(SUBSTITUTE(SUBSTITUTE(T306,"/@","_"),"/cac:","_"),"/cbc:","_")</f>
        <v/>
      </c>
      <c r="J306" s="25" t="s">
        <v>1519</v>
      </c>
      <c r="K306" s="25" t="s">
        <v>1520</v>
      </c>
      <c r="L306" s="25" t="s">
        <v>1242</v>
      </c>
      <c r="M306" s="25" t="s">
        <v>1000</v>
      </c>
      <c r="N306" s="27"/>
      <c r="O306" s="25" t="s">
        <v>64</v>
      </c>
      <c r="P306" s="27"/>
      <c r="Q306" s="26" t="str">
        <f>IF(S306="","",LEN(S306)-LEN(SUBSTITUTE(S306,"/",""))+IF(ISNUMBER(SEARCH("@",S306)),0,1))</f>
        <v>5</v>
      </c>
      <c r="R306" s="42" t="s">
        <v>3046</v>
      </c>
      <c r="S306" s="19" t="s">
        <v>1521</v>
      </c>
      <c r="T306" s="20"/>
      <c r="U306" s="20"/>
      <c r="V306" s="20"/>
      <c r="W306" s="25">
        <v>13</v>
      </c>
      <c r="X306" s="46"/>
      <c r="Y306" s="20"/>
      <c r="Z306" s="20"/>
      <c r="AA306" s="25" t="s">
        <v>68</v>
      </c>
      <c r="AB306" s="20" t="str">
        <f>IF(ISBLANK(S306),"是","否")</f>
        <v>否</v>
      </c>
      <c r="AC306" s="20"/>
      <c r="AD306" s="25"/>
      <c r="AE306" s="25"/>
      <c r="AH306" s="20" t="s">
        <v>76</v>
      </c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</row>
    <row r="307" ht="50.16541353383458" customHeight="1" spans="1:57" x14ac:dyDescent="0.25">
      <c r="A307" s="20" t="s">
        <v>682</v>
      </c>
      <c r="B307" s="19" t="s">
        <v>1071</v>
      </c>
      <c r="C307" s="20" t="s">
        <v>57</v>
      </c>
      <c r="D307" s="21"/>
      <c r="E307" s="22"/>
      <c r="F307" s="21" t="s">
        <v>1522</v>
      </c>
      <c r="G307" s="29" t="s">
        <v>1523</v>
      </c>
      <c r="H307" s="20" t="str">
        <f>SUBSTITUTE(SUBSTITUTE(SUBSTITUTE(S307,"/@","_"),"/cac:","_"),"/cbc:","_")</f>
        <v>Invoice_InvoiceLine_Item_ClassifiedTaxCategory_TaxExemptionReasonCode</v>
      </c>
      <c r="I307" s="20" t="str">
        <f>SUBSTITUTE(SUBSTITUTE(SUBSTITUTE(T307,"/@","_"),"/cac:","_"),"/cbc:","_")</f>
        <v/>
      </c>
      <c r="J307" s="25" t="s">
        <v>1091</v>
      </c>
      <c r="K307" s="25" t="s">
        <v>1246</v>
      </c>
      <c r="L307" s="25" t="s">
        <v>1524</v>
      </c>
      <c r="M307" s="25" t="s">
        <v>243</v>
      </c>
      <c r="N307" s="27"/>
      <c r="O307" s="25" t="s">
        <v>64</v>
      </c>
      <c r="P307" s="27"/>
      <c r="Q307" s="26" t="str">
        <f>IF(S307="","",LEN(S307)-LEN(SUBSTITUTE(S307,"/",""))+IF(ISNUMBER(SEARCH("@",S307)),0,1))</f>
        <v>5</v>
      </c>
      <c r="R307" s="42" t="s">
        <v>3047</v>
      </c>
      <c r="S307" s="19" t="s">
        <v>1525</v>
      </c>
      <c r="T307" s="20"/>
      <c r="U307" s="20"/>
      <c r="V307" s="20"/>
      <c r="W307" s="25" t="s">
        <v>1095</v>
      </c>
      <c r="X307" s="46"/>
      <c r="Y307" s="20"/>
      <c r="Z307" s="20"/>
      <c r="AA307" s="25" t="s">
        <v>68</v>
      </c>
      <c r="AB307" s="20" t="str">
        <f>IF(ISBLANK(S307),"是","否")</f>
        <v>否</v>
      </c>
      <c r="AC307" s="20"/>
      <c r="AD307" s="25"/>
      <c r="AE307" s="25"/>
      <c r="AH307" s="20" t="s">
        <v>76</v>
      </c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</row>
    <row r="308" ht="39.879699248120296" customHeight="1" spans="1:57" x14ac:dyDescent="0.25">
      <c r="A308" s="20" t="s">
        <v>682</v>
      </c>
      <c r="B308" s="19" t="s">
        <v>1071</v>
      </c>
      <c r="C308" s="20" t="s">
        <v>57</v>
      </c>
      <c r="D308" s="21"/>
      <c r="E308" s="22"/>
      <c r="F308" s="21" t="s">
        <v>1526</v>
      </c>
      <c r="G308" s="29" t="s">
        <v>1527</v>
      </c>
      <c r="H308" s="20" t="str">
        <f>SUBSTITUTE(SUBSTITUTE(SUBSTITUTE(S308,"/@","_"),"/cac:","_"),"/cbc:","_")</f>
        <v>Invoice_InvoiceLine_Item_ClassifiedTaxCategory_TaxExemptionReason</v>
      </c>
      <c r="I308" s="20" t="str">
        <f>SUBSTITUTE(SUBSTITUTE(SUBSTITUTE(T308,"/@","_"),"/cac:","_"),"/cbc:","_")</f>
        <v/>
      </c>
      <c r="J308" s="25" t="s">
        <v>1253</v>
      </c>
      <c r="K308" s="25" t="s">
        <v>1252</v>
      </c>
      <c r="L308" s="25" t="s">
        <v>1255</v>
      </c>
      <c r="M308" s="25" t="s">
        <v>228</v>
      </c>
      <c r="N308" s="27"/>
      <c r="O308" s="25" t="s">
        <v>64</v>
      </c>
      <c r="P308" s="27"/>
      <c r="Q308" s="26" t="str">
        <f>IF(S308="","",LEN(S308)-LEN(SUBSTITUTE(S308,"/",""))+IF(ISNUMBER(SEARCH("@",S308)),0,1))</f>
        <v>5</v>
      </c>
      <c r="R308" s="42" t="s">
        <v>3048</v>
      </c>
      <c r="S308" s="19" t="s">
        <v>1528</v>
      </c>
      <c r="T308" s="20"/>
      <c r="U308" s="20"/>
      <c r="V308" s="20"/>
      <c r="W308" s="25" t="s">
        <v>1257</v>
      </c>
      <c r="X308" s="46"/>
      <c r="Y308" s="20"/>
      <c r="Z308" s="20"/>
      <c r="AA308" s="25" t="s">
        <v>68</v>
      </c>
      <c r="AB308" s="20" t="str">
        <f>IF(ISBLANK(S308),"是","否")</f>
        <v>否</v>
      </c>
      <c r="AC308" s="20"/>
      <c r="AD308" s="25"/>
      <c r="AE308" s="25"/>
      <c r="AH308" s="20" t="s">
        <v>76</v>
      </c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</row>
    <row r="309" ht="39.879699248120296" customHeight="1" spans="1:57" x14ac:dyDescent="0.25">
      <c r="A309" s="20" t="s">
        <v>682</v>
      </c>
      <c r="B309" s="19" t="s">
        <v>349</v>
      </c>
      <c r="C309" s="20" t="s">
        <v>57</v>
      </c>
      <c r="D309" s="21"/>
      <c r="E309" s="22"/>
      <c r="F309" s="21" t="s">
        <v>1529</v>
      </c>
      <c r="G309" s="29" t="s">
        <v>1530</v>
      </c>
      <c r="H309" s="20" t="str">
        <f>SUBSTITUTE(SUBSTITUTE(SUBSTITUTE(S309,"/@","_"),"/cac:","_"),"/cbc:","_")</f>
        <v>Invoice_InvoiceLine_Item_ClassifiedTaxCategory_TaxScheme_ID</v>
      </c>
      <c r="I309" s="20" t="str">
        <f>SUBSTITUTE(SUBSTITUTE(SUBSTITUTE(T309,"/@","_"),"/cac:","_"),"/cbc:","_")</f>
        <v/>
      </c>
      <c r="J309" s="25" t="s">
        <v>1531</v>
      </c>
      <c r="K309" s="25" t="s">
        <v>1532</v>
      </c>
      <c r="L309" s="25" t="s">
        <v>1533</v>
      </c>
      <c r="M309" s="25" t="s">
        <v>243</v>
      </c>
      <c r="N309" s="27"/>
      <c r="O309" s="25" t="s">
        <v>64</v>
      </c>
      <c r="P309" s="27"/>
      <c r="Q309" s="26" t="str">
        <f>IF(S309="","",LEN(S309)-LEN(SUBSTITUTE(S309,"/",""))+IF(ISNUMBER(SEARCH("@",S309)),0,1))</f>
        <v>6</v>
      </c>
      <c r="R309" s="42" t="s">
        <v>3049</v>
      </c>
      <c r="S309" s="19" t="s">
        <v>1534</v>
      </c>
      <c r="T309" s="20"/>
      <c r="U309" s="20"/>
      <c r="V309" s="20"/>
      <c r="W309" s="25" t="s">
        <v>791</v>
      </c>
      <c r="X309" s="46"/>
      <c r="Y309" s="20"/>
      <c r="Z309" s="20"/>
      <c r="AA309" s="25" t="s">
        <v>68</v>
      </c>
      <c r="AB309" s="20" t="str">
        <f>IF(ISBLANK(S309),"是","否")</f>
        <v>否</v>
      </c>
      <c r="AC309" s="20"/>
      <c r="AD309" s="25"/>
      <c r="AE309" s="25"/>
      <c r="AH309" s="20" t="s">
        <v>76</v>
      </c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</row>
    <row r="310" ht="39.879699248120296" customHeight="1" spans="1:57" x14ac:dyDescent="0.25">
      <c r="A310" s="20" t="s">
        <v>682</v>
      </c>
      <c r="B310" s="19" t="s">
        <v>1357</v>
      </c>
      <c r="C310" s="20" t="s">
        <v>57</v>
      </c>
      <c r="D310" s="21"/>
      <c r="E310" s="22"/>
      <c r="F310" s="21" t="s">
        <v>1535</v>
      </c>
      <c r="G310" s="29" t="s">
        <v>1536</v>
      </c>
      <c r="H310" s="20" t="str">
        <f>SUBSTITUTE(SUBSTITUTE(SUBSTITUTE(S310,"/@","_"),"/cac:","_"),"/cbc:","_")</f>
        <v>Invoice_InvoiceLine_Item_AdditionalItemProperty</v>
      </c>
      <c r="I310" s="20" t="str">
        <f>SUBSTITUTE(SUBSTITUTE(SUBSTITUTE(T310,"/@","_"),"/cac:","_"),"/cbc:","_")</f>
        <v/>
      </c>
      <c r="J310" s="25" t="s">
        <v>1538</v>
      </c>
      <c r="K310" s="25" t="s">
        <v>1539</v>
      </c>
      <c r="L310" s="25" t="s">
        <v>1540</v>
      </c>
      <c r="M310" s="25" t="s">
        <v>220</v>
      </c>
      <c r="N310" s="27"/>
      <c r="O310" s="25" t="s">
        <v>49</v>
      </c>
      <c r="P310" s="27"/>
      <c r="Q310" s="26" t="str">
        <f>IF(S310="","",LEN(S310)-LEN(SUBSTITUTE(S310,"/",""))+IF(ISNUMBER(SEARCH("@",S310)),0,1))</f>
        <v>4</v>
      </c>
      <c r="R310" s="42" t="s">
        <v>3050</v>
      </c>
      <c r="S310" s="19" t="s">
        <v>1541</v>
      </c>
      <c r="T310" s="20"/>
      <c r="U310" s="20"/>
      <c r="V310" s="20"/>
      <c r="W310" s="25" t="s">
        <v>681</v>
      </c>
      <c r="X310" s="46"/>
      <c r="Y310" s="20"/>
      <c r="Z310" s="20"/>
      <c r="AA310" s="25" t="s">
        <v>222</v>
      </c>
      <c r="AB310" s="20" t="str">
        <f>IF(ISBLANK(S310),"是","否")</f>
        <v>否</v>
      </c>
      <c r="AC310" s="20"/>
      <c r="AD310" s="25"/>
      <c r="AE310" s="25"/>
      <c r="AH310" s="20" t="s">
        <v>76</v>
      </c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</row>
    <row r="311" ht="29.59398496240601" customHeight="1" spans="1:57" x14ac:dyDescent="0.25">
      <c r="A311" s="20" t="s">
        <v>682</v>
      </c>
      <c r="B311" s="19" t="s">
        <v>1542</v>
      </c>
      <c r="C311" s="20" t="s">
        <v>57</v>
      </c>
      <c r="D311" s="21"/>
      <c r="E311" s="22"/>
      <c r="F311" s="21" t="s">
        <v>1543</v>
      </c>
      <c r="G311" s="29" t="s">
        <v>1544</v>
      </c>
      <c r="H311" s="20" t="str">
        <f>SUBSTITUTE(SUBSTITUTE(SUBSTITUTE(S311,"/@","_"),"/cac:","_"),"/cbc:","_")</f>
        <v>Invoice_InvoiceLine_Item_AdditionalItemProperty_Name</v>
      </c>
      <c r="I311" s="20" t="str">
        <f>SUBSTITUTE(SUBSTITUTE(SUBSTITUTE(T311,"/@","_"),"/cac:","_"),"/cbc:","_")</f>
        <v/>
      </c>
      <c r="J311" s="25" t="s">
        <v>1546</v>
      </c>
      <c r="K311" s="25" t="s">
        <v>1547</v>
      </c>
      <c r="L311" s="25" t="s">
        <v>1548</v>
      </c>
      <c r="M311" s="25" t="s">
        <v>228</v>
      </c>
      <c r="N311" s="27"/>
      <c r="O311" s="25">
        <v>1</v>
      </c>
      <c r="P311" s="27"/>
      <c r="Q311" s="26" t="str">
        <f>IF(S311="","",LEN(S311)-LEN(SUBSTITUTE(S311,"/",""))+IF(ISNUMBER(SEARCH("@",S311)),0,1))</f>
        <v>5</v>
      </c>
      <c r="R311" s="42" t="s">
        <v>3051</v>
      </c>
      <c r="S311" s="19" t="s">
        <v>1549</v>
      </c>
      <c r="T311" s="20"/>
      <c r="U311" s="20"/>
      <c r="V311" s="20"/>
      <c r="W311" s="25" t="s">
        <v>1550</v>
      </c>
      <c r="X311" s="46"/>
      <c r="Y311" s="20"/>
      <c r="Z311" s="20"/>
      <c r="AA311" s="25" t="s">
        <v>68</v>
      </c>
      <c r="AB311" s="20" t="str">
        <f>IF(ISBLANK(S311),"是","否")</f>
        <v>否</v>
      </c>
      <c r="AC311" s="20"/>
      <c r="AD311" s="25"/>
      <c r="AE311" s="25"/>
      <c r="AH311" s="20" t="s">
        <v>76</v>
      </c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</row>
    <row r="312" ht="29.59398496240601" customHeight="1" spans="1:57" x14ac:dyDescent="0.25">
      <c r="A312" s="20" t="s">
        <v>682</v>
      </c>
      <c r="B312" s="19" t="s">
        <v>1542</v>
      </c>
      <c r="C312" s="20" t="s">
        <v>57</v>
      </c>
      <c r="D312" s="21"/>
      <c r="E312" s="22"/>
      <c r="F312" s="21" t="s">
        <v>1551</v>
      </c>
      <c r="G312" s="29" t="s">
        <v>1552</v>
      </c>
      <c r="H312" s="20" t="str">
        <f>SUBSTITUTE(SUBSTITUTE(SUBSTITUTE(S312,"/@","_"),"/cac:","_"),"/cbc:","_")</f>
        <v>Invoice_InvoiceLine_Item_AdditionalItemProperty_Value</v>
      </c>
      <c r="I312" s="20" t="str">
        <f>SUBSTITUTE(SUBSTITUTE(SUBSTITUTE(T312,"/@","_"),"/cac:","_"),"/cbc:","_")</f>
        <v/>
      </c>
      <c r="J312" s="25" t="s">
        <v>1554</v>
      </c>
      <c r="K312" s="25" t="s">
        <v>1555</v>
      </c>
      <c r="L312" s="25" t="s">
        <v>1556</v>
      </c>
      <c r="M312" s="25" t="s">
        <v>228</v>
      </c>
      <c r="N312" s="27"/>
      <c r="O312" s="25">
        <v>1</v>
      </c>
      <c r="P312" s="27"/>
      <c r="Q312" s="26" t="str">
        <f>IF(S312="","",LEN(S312)-LEN(SUBSTITUTE(S312,"/",""))+IF(ISNUMBER(SEARCH("@",S312)),0,1))</f>
        <v>5</v>
      </c>
      <c r="R312" s="42" t="s">
        <v>3052</v>
      </c>
      <c r="S312" s="19" t="s">
        <v>1557</v>
      </c>
      <c r="T312" s="20"/>
      <c r="U312" s="20"/>
      <c r="V312" s="20"/>
      <c r="W312" s="25" t="s">
        <v>1558</v>
      </c>
      <c r="X312" s="46"/>
      <c r="Y312" s="20"/>
      <c r="Z312" s="20"/>
      <c r="AA312" s="25" t="s">
        <v>68</v>
      </c>
      <c r="AB312" s="20" t="str">
        <f>IF(ISBLANK(S312),"是","否")</f>
        <v>否</v>
      </c>
      <c r="AC312" s="20"/>
      <c r="AD312" s="25"/>
      <c r="AE312" s="25"/>
      <c r="AH312" s="20" t="s">
        <v>76</v>
      </c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</row>
    <row r="313" ht="29.59398496240601" customHeight="1" spans="1:57" x14ac:dyDescent="0.25">
      <c r="A313" s="20" t="s">
        <v>682</v>
      </c>
      <c r="B313" s="19" t="s">
        <v>1357</v>
      </c>
      <c r="C313" s="20" t="s">
        <v>57</v>
      </c>
      <c r="D313" s="21"/>
      <c r="E313" s="22"/>
      <c r="F313" s="21" t="s">
        <v>1559</v>
      </c>
      <c r="G313" s="29" t="s">
        <v>1560</v>
      </c>
      <c r="H313" s="20" t="str">
        <f>SUBSTITUTE(SUBSTITUTE(SUBSTITUTE(S313,"/@","_"),"/cac:","_"),"/cbc:","_")</f>
        <v>Invoice_InvoiceLine_Item_ItemInstance</v>
      </c>
      <c r="I313" s="20" t="str">
        <f>SUBSTITUTE(SUBSTITUTE(SUBSTITUTE(T313,"/@","_"),"/cac:","_"),"/cbc:","_")</f>
        <v/>
      </c>
      <c r="J313" s="25" t="s">
        <v>1562</v>
      </c>
      <c r="K313" s="25" t="s">
        <v>1563</v>
      </c>
      <c r="L313" s="25" t="s">
        <v>1564</v>
      </c>
      <c r="M313" s="25" t="s">
        <v>220</v>
      </c>
      <c r="N313" s="27"/>
      <c r="O313" s="25" t="s">
        <v>49</v>
      </c>
      <c r="P313" s="27"/>
      <c r="Q313" s="26" t="str">
        <f>IF(S313="","",LEN(S313)-LEN(SUBSTITUTE(S313,"/",""))+IF(ISNUMBER(SEARCH("@",S313)),0,1))</f>
        <v>4</v>
      </c>
      <c r="R313" s="42" t="s">
        <v>3053</v>
      </c>
      <c r="S313" s="19" t="s">
        <v>1565</v>
      </c>
      <c r="T313" s="20"/>
      <c r="U313" s="20"/>
      <c r="V313" s="20"/>
      <c r="W313" s="25" t="s">
        <v>681</v>
      </c>
      <c r="X313" s="46"/>
      <c r="Y313" s="20"/>
      <c r="Z313" s="20"/>
      <c r="AA313" s="25" t="s">
        <v>222</v>
      </c>
      <c r="AB313" s="20" t="str">
        <f>IF(ISBLANK(S313),"是","否")</f>
        <v>否</v>
      </c>
      <c r="AC313" s="20"/>
      <c r="AD313" s="25"/>
      <c r="AE313" s="25"/>
      <c r="AH313" s="20" t="s">
        <v>76</v>
      </c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</row>
    <row r="314" ht="39.879699248120296" customHeight="1" spans="1:57" x14ac:dyDescent="0.25">
      <c r="A314" s="20" t="s">
        <v>682</v>
      </c>
      <c r="B314" s="19" t="s">
        <v>1559</v>
      </c>
      <c r="C314" s="20" t="s">
        <v>57</v>
      </c>
      <c r="D314" s="21"/>
      <c r="E314" s="22"/>
      <c r="F314" s="21" t="s">
        <v>1566</v>
      </c>
      <c r="G314" s="29" t="s">
        <v>1567</v>
      </c>
      <c r="H314" s="20" t="str">
        <f>SUBSTITUTE(SUBSTITUTE(SUBSTITUTE(S314,"/@","_"),"/cac:","_"),"/cbc:","_")</f>
        <v>Invoice_InvoiceLine_Item_ItemInstance_ManufactureDate</v>
      </c>
      <c r="I314" s="20" t="str">
        <f>SUBSTITUTE(SUBSTITUTE(SUBSTITUTE(T314,"/@","_"),"/cac:","_"),"/cbc:","_")</f>
        <v/>
      </c>
      <c r="J314" s="25" t="s">
        <v>1569</v>
      </c>
      <c r="K314" s="25" t="s">
        <v>1570</v>
      </c>
      <c r="L314" s="25" t="s">
        <v>1571</v>
      </c>
      <c r="M314" s="25" t="s">
        <v>1016</v>
      </c>
      <c r="N314" s="27"/>
      <c r="O314" s="25" t="s">
        <v>64</v>
      </c>
      <c r="P314" s="27"/>
      <c r="Q314" s="26" t="str">
        <f>IF(S314="","",LEN(S314)-LEN(SUBSTITUTE(S314,"/",""))+IF(ISNUMBER(SEARCH("@",S314)),0,1))</f>
        <v>5</v>
      </c>
      <c r="R314" s="42" t="s">
        <v>3054</v>
      </c>
      <c r="S314" s="19" t="s">
        <v>1572</v>
      </c>
      <c r="T314" s="20"/>
      <c r="U314" s="20"/>
      <c r="V314" s="20"/>
      <c r="W314" s="20" t="s">
        <v>1573</v>
      </c>
      <c r="X314" s="46"/>
      <c r="Y314" s="20"/>
      <c r="Z314" s="20"/>
      <c r="AA314" s="25" t="s">
        <v>68</v>
      </c>
      <c r="AB314" s="20" t="str">
        <f>IF(ISBLANK(S314),"是","否")</f>
        <v>否</v>
      </c>
      <c r="AC314" s="20"/>
      <c r="AD314" s="25"/>
      <c r="AE314" s="25"/>
      <c r="AH314" s="20" t="s">
        <v>76</v>
      </c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</row>
    <row r="315" ht="29.59398496240601" customHeight="1" spans="1:57" x14ac:dyDescent="0.25">
      <c r="A315" s="20" t="s">
        <v>682</v>
      </c>
      <c r="B315" s="19" t="s">
        <v>1559</v>
      </c>
      <c r="C315" s="20" t="s">
        <v>57</v>
      </c>
      <c r="D315" s="21"/>
      <c r="E315" s="22"/>
      <c r="F315" s="21" t="s">
        <v>1574</v>
      </c>
      <c r="G315" s="29" t="s">
        <v>1575</v>
      </c>
      <c r="H315" s="20" t="str">
        <f>SUBSTITUTE(SUBSTITUTE(SUBSTITUTE(S315,"/@","_"),"/cac:","_"),"/cbc:","_")</f>
        <v>Invoice_InvoiceLine_Item_ItemInstance_BestBeforeDate</v>
      </c>
      <c r="I315" s="20" t="str">
        <f>SUBSTITUTE(SUBSTITUTE(SUBSTITUTE(T315,"/@","_"),"/cac:","_"),"/cbc:","_")</f>
        <v/>
      </c>
      <c r="J315" s="25" t="s">
        <v>1577</v>
      </c>
      <c r="K315" s="25" t="s">
        <v>1578</v>
      </c>
      <c r="L315" s="25" t="s">
        <v>1571</v>
      </c>
      <c r="M315" s="25" t="s">
        <v>1016</v>
      </c>
      <c r="N315" s="27"/>
      <c r="O315" s="25" t="s">
        <v>64</v>
      </c>
      <c r="P315" s="27"/>
      <c r="Q315" s="26" t="str">
        <f>IF(S315="","",LEN(S315)-LEN(SUBSTITUTE(S315,"/",""))+IF(ISNUMBER(SEARCH("@",S315)),0,1))</f>
        <v>5</v>
      </c>
      <c r="R315" s="42" t="s">
        <v>3055</v>
      </c>
      <c r="S315" s="19" t="s">
        <v>1579</v>
      </c>
      <c r="T315" s="20"/>
      <c r="U315" s="20"/>
      <c r="V315" s="20"/>
      <c r="W315" s="20" t="s">
        <v>1580</v>
      </c>
      <c r="X315" s="46"/>
      <c r="Y315" s="20"/>
      <c r="Z315" s="20"/>
      <c r="AA315" s="25" t="s">
        <v>68</v>
      </c>
      <c r="AB315" s="20" t="str">
        <f>IF(ISBLANK(S315),"是","否")</f>
        <v>否</v>
      </c>
      <c r="AC315" s="20"/>
      <c r="AD315" s="25"/>
      <c r="AE315" s="25"/>
      <c r="AH315" s="20" t="s">
        <v>76</v>
      </c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</row>
    <row r="316" ht="29.59398496240601" customHeight="1" spans="1:57" x14ac:dyDescent="0.25">
      <c r="A316" s="20" t="s">
        <v>682</v>
      </c>
      <c r="B316" s="19" t="s">
        <v>1559</v>
      </c>
      <c r="C316" s="20" t="s">
        <v>57</v>
      </c>
      <c r="D316" s="21"/>
      <c r="E316" s="22"/>
      <c r="F316" s="21" t="s">
        <v>1581</v>
      </c>
      <c r="G316" s="29" t="s">
        <v>1582</v>
      </c>
      <c r="H316" s="20" t="str">
        <f>SUBSTITUTE(SUBSTITUTE(SUBSTITUTE(S316,"/@","_"),"/cac:","_"),"/cbc:","_")</f>
        <v>Invoice_InvoiceLine_Item_ItemInstance_SerialID</v>
      </c>
      <c r="I316" s="20" t="str">
        <f>SUBSTITUTE(SUBSTITUTE(SUBSTITUTE(T316,"/@","_"),"/cac:","_"),"/cbc:","_")</f>
        <v/>
      </c>
      <c r="J316" s="25" t="s">
        <v>1584</v>
      </c>
      <c r="K316" s="25" t="s">
        <v>1585</v>
      </c>
      <c r="L316" s="25" t="s">
        <v>1586</v>
      </c>
      <c r="M316" s="25" t="s">
        <v>228</v>
      </c>
      <c r="N316" s="27"/>
      <c r="O316" s="25" t="s">
        <v>64</v>
      </c>
      <c r="P316" s="27"/>
      <c r="Q316" s="26" t="str">
        <f>IF(S316="","",LEN(S316)-LEN(SUBSTITUTE(S316,"/",""))+IF(ISNUMBER(SEARCH("@",S316)),0,1))</f>
        <v>5</v>
      </c>
      <c r="R316" s="42" t="s">
        <v>3056</v>
      </c>
      <c r="S316" s="19" t="s">
        <v>1587</v>
      </c>
      <c r="T316" s="20"/>
      <c r="U316" s="20"/>
      <c r="V316" s="20"/>
      <c r="W316" s="25" t="s">
        <v>1588</v>
      </c>
      <c r="X316" s="46"/>
      <c r="Y316" s="20"/>
      <c r="Z316" s="20"/>
      <c r="AA316" s="25" t="s">
        <v>68</v>
      </c>
      <c r="AB316" s="20" t="str">
        <f>IF(ISBLANK(S316),"是","否")</f>
        <v>否</v>
      </c>
      <c r="AC316" s="20"/>
      <c r="AD316" s="25"/>
      <c r="AE316" s="25"/>
      <c r="AH316" s="20" t="s">
        <v>76</v>
      </c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</row>
    <row r="317" ht="39.879699248120296" customHeight="1" spans="1:57" x14ac:dyDescent="0.25">
      <c r="A317" s="20" t="s">
        <v>682</v>
      </c>
      <c r="B317" s="19" t="s">
        <v>1589</v>
      </c>
      <c r="C317" s="20" t="s">
        <v>57</v>
      </c>
      <c r="D317" s="21"/>
      <c r="E317" s="22"/>
      <c r="F317" s="21" t="s">
        <v>1590</v>
      </c>
      <c r="G317" s="29" t="s">
        <v>1591</v>
      </c>
      <c r="H317" s="20" t="str">
        <f>SUBSTITUTE(SUBSTITUTE(SUBSTITUTE(S317,"/@","_"),"/cac:","_"),"/cbc:","_")</f>
        <v>Invoice_InvoiceLine_Item_ItemInstance_LotIdentification_LotNumberID</v>
      </c>
      <c r="I317" s="20" t="str">
        <f>SUBSTITUTE(SUBSTITUTE(SUBSTITUTE(T317,"/@","_"),"/cac:","_"),"/cbc:","_")</f>
        <v/>
      </c>
      <c r="J317" s="25" t="s">
        <v>1593</v>
      </c>
      <c r="K317" s="25" t="s">
        <v>1594</v>
      </c>
      <c r="L317" s="25" t="s">
        <v>1595</v>
      </c>
      <c r="M317" s="25" t="s">
        <v>228</v>
      </c>
      <c r="N317" s="27"/>
      <c r="O317" s="25" t="s">
        <v>64</v>
      </c>
      <c r="P317" s="27"/>
      <c r="Q317" s="26" t="str">
        <f>IF(S317="","",LEN(S317)-LEN(SUBSTITUTE(S317,"/",""))+IF(ISNUMBER(SEARCH("@",S317)),0,1))</f>
        <v>6</v>
      </c>
      <c r="R317" s="42" t="s">
        <v>3057</v>
      </c>
      <c r="S317" s="19" t="s">
        <v>1596</v>
      </c>
      <c r="T317" s="20"/>
      <c r="U317" s="20"/>
      <c r="V317" s="20"/>
      <c r="W317" s="25" t="s">
        <v>1597</v>
      </c>
      <c r="X317" s="46"/>
      <c r="Y317" s="20"/>
      <c r="Z317" s="20"/>
      <c r="AA317" s="25" t="s">
        <v>68</v>
      </c>
      <c r="AB317" s="20" t="str">
        <f>IF(ISBLANK(S317),"是","否")</f>
        <v>否</v>
      </c>
      <c r="AC317" s="20"/>
      <c r="AD317" s="25"/>
      <c r="AE317" s="25"/>
      <c r="AH317" s="20" t="s">
        <v>76</v>
      </c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</row>
    <row r="318" ht="39.879699248120296" customHeight="1" spans="1:57" x14ac:dyDescent="0.25">
      <c r="A318" s="20" t="s">
        <v>682</v>
      </c>
      <c r="B318" s="19" t="s">
        <v>1589</v>
      </c>
      <c r="C318" s="20" t="s">
        <v>57</v>
      </c>
      <c r="D318" s="21"/>
      <c r="E318" s="22"/>
      <c r="F318" s="21" t="s">
        <v>1598</v>
      </c>
      <c r="G318" s="29" t="s">
        <v>1599</v>
      </c>
      <c r="H318" s="20" t="str">
        <f>SUBSTITUTE(SUBSTITUTE(SUBSTITUTE(S318,"/@","_"),"/cac:","_"),"/cbc:","_")</f>
        <v>Invoice_InvoiceLine_Item_ItemInstance_LotIdentification_ExpiryDate</v>
      </c>
      <c r="I318" s="20" t="str">
        <f>SUBSTITUTE(SUBSTITUTE(SUBSTITUTE(T318,"/@","_"),"/cac:","_"),"/cbc:","_")</f>
        <v/>
      </c>
      <c r="J318" s="25" t="s">
        <v>1601</v>
      </c>
      <c r="K318" s="25" t="s">
        <v>1602</v>
      </c>
      <c r="L318" s="25" t="s">
        <v>1571</v>
      </c>
      <c r="M318" s="25" t="s">
        <v>1016</v>
      </c>
      <c r="N318" s="27"/>
      <c r="O318" s="25" t="s">
        <v>64</v>
      </c>
      <c r="P318" s="27"/>
      <c r="Q318" s="26" t="str">
        <f>IF(S318="","",LEN(S318)-LEN(SUBSTITUTE(S318,"/",""))+IF(ISNUMBER(SEARCH("@",S318)),0,1))</f>
        <v>6</v>
      </c>
      <c r="R318" s="42" t="s">
        <v>3058</v>
      </c>
      <c r="S318" s="19" t="s">
        <v>1603</v>
      </c>
      <c r="T318" s="20"/>
      <c r="U318" s="20"/>
      <c r="V318" s="20"/>
      <c r="W318" s="20" t="s">
        <v>1604</v>
      </c>
      <c r="X318" s="46"/>
      <c r="Y318" s="20"/>
      <c r="Z318" s="20"/>
      <c r="AA318" s="25" t="s">
        <v>68</v>
      </c>
      <c r="AB318" s="20" t="str">
        <f>IF(ISBLANK(S318),"是","否")</f>
        <v>否</v>
      </c>
      <c r="AC318" s="20"/>
      <c r="AD318" s="25"/>
      <c r="AE318" s="25"/>
      <c r="AH318" s="20" t="s">
        <v>76</v>
      </c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</row>
    <row r="319" ht="29.59398496240601" customHeight="1" spans="1:57" x14ac:dyDescent="0.25">
      <c r="A319" s="20" t="s">
        <v>682</v>
      </c>
      <c r="B319" s="19" t="s">
        <v>1306</v>
      </c>
      <c r="C319" s="20" t="s">
        <v>57</v>
      </c>
      <c r="D319" s="21"/>
      <c r="E319" s="22"/>
      <c r="F319" s="21" t="s">
        <v>1605</v>
      </c>
      <c r="G319" s="29" t="s">
        <v>1606</v>
      </c>
      <c r="H319" s="20" t="str">
        <f>SUBSTITUTE(SUBSTITUTE(SUBSTITUTE(S319,"/@","_"),"/cac:","_"),"/cbc:","_")</f>
        <v>Invoice_InvoiceLine_Price</v>
      </c>
      <c r="I319" s="20" t="str">
        <f>SUBSTITUTE(SUBSTITUTE(SUBSTITUTE(T319,"/@","_"),"/cac:","_"),"/cbc:","_")</f>
        <v/>
      </c>
      <c r="J319" s="25" t="s">
        <v>1608</v>
      </c>
      <c r="K319" s="25" t="s">
        <v>1609</v>
      </c>
      <c r="L319" s="25" t="s">
        <v>1610</v>
      </c>
      <c r="M319" s="25" t="s">
        <v>220</v>
      </c>
      <c r="N319" s="27"/>
      <c r="O319" s="25" t="s">
        <v>64</v>
      </c>
      <c r="P319" s="19">
        <v>3</v>
      </c>
      <c r="Q319" s="26" t="str">
        <f>IF(S319="","",LEN(S319)-LEN(SUBSTITUTE(S319,"/",""))+IF(ISNUMBER(SEARCH("@",S319)),0,1))</f>
        <v>3</v>
      </c>
      <c r="R319" s="50" t="s">
        <v>3059</v>
      </c>
      <c r="S319" s="19" t="s">
        <v>1611</v>
      </c>
      <c r="T319" s="20"/>
      <c r="U319" s="20"/>
      <c r="V319" s="20"/>
      <c r="W319" s="25" t="s">
        <v>681</v>
      </c>
      <c r="X319" s="46"/>
      <c r="Y319" s="20"/>
      <c r="Z319" s="20"/>
      <c r="AA319" s="25" t="s">
        <v>222</v>
      </c>
      <c r="AB319" s="20" t="str">
        <f>IF(ISBLANK(S319),"是","否")</f>
        <v>否</v>
      </c>
      <c r="AC319" s="20"/>
      <c r="AD319" s="25"/>
      <c r="AE319" s="25"/>
      <c r="AH319" s="20" t="s">
        <v>76</v>
      </c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</row>
    <row r="320" ht="39.879699248120296" customHeight="1" spans="1:57" x14ac:dyDescent="0.25">
      <c r="A320" s="20" t="s">
        <v>682</v>
      </c>
      <c r="B320" s="19" t="s">
        <v>1605</v>
      </c>
      <c r="C320" s="20" t="s">
        <v>57</v>
      </c>
      <c r="D320" s="21"/>
      <c r="E320" s="22"/>
      <c r="F320" s="21" t="s">
        <v>1612</v>
      </c>
      <c r="G320" s="29" t="s">
        <v>1613</v>
      </c>
      <c r="H320" s="20" t="str">
        <f>SUBSTITUTE(SUBSTITUTE(SUBSTITUTE(S320,"/@","_"),"/cac:","_"),"/cbc:","_")</f>
        <v>Invoice_InvoiceLine_Price_PriceAmount</v>
      </c>
      <c r="I320" s="20" t="str">
        <f>SUBSTITUTE(SUBSTITUTE(SUBSTITUTE(T320,"/@","_"),"/cac:","_"),"/cbc:","_")</f>
        <v/>
      </c>
      <c r="J320" s="25" t="s">
        <v>1615</v>
      </c>
      <c r="K320" s="25" t="s">
        <v>1616</v>
      </c>
      <c r="L320" s="25" t="s">
        <v>1617</v>
      </c>
      <c r="M320" s="25" t="s">
        <v>1000</v>
      </c>
      <c r="N320" s="27"/>
      <c r="O320" s="25">
        <v>1</v>
      </c>
      <c r="P320" s="19">
        <v>4</v>
      </c>
      <c r="Q320" s="26" t="str">
        <f>IF(S320="","",LEN(S320)-LEN(SUBSTITUTE(S320,"/",""))+IF(ISNUMBER(SEARCH("@",S320)),0,1))</f>
        <v>4</v>
      </c>
      <c r="R320" s="50" t="s">
        <v>3060</v>
      </c>
      <c r="S320" s="19" t="s">
        <v>1618</v>
      </c>
      <c r="T320" s="20"/>
      <c r="U320" s="20"/>
      <c r="V320" s="20"/>
      <c r="W320" s="25">
        <v>100</v>
      </c>
      <c r="X320" s="46"/>
      <c r="Y320" s="20"/>
      <c r="Z320" s="20"/>
      <c r="AA320" s="25" t="s">
        <v>68</v>
      </c>
      <c r="AB320" s="20" t="str">
        <f>IF(ISBLANK(S320),"是","否")</f>
        <v>否</v>
      </c>
      <c r="AC320" s="20"/>
      <c r="AD320" s="25"/>
      <c r="AE320" s="25"/>
      <c r="AH320" s="20" t="s">
        <v>76</v>
      </c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</row>
    <row r="321" ht="29.59398496240601" customHeight="1" spans="1:57" x14ac:dyDescent="0.25">
      <c r="A321" s="20" t="s">
        <v>682</v>
      </c>
      <c r="B321" s="19" t="s">
        <v>1605</v>
      </c>
      <c r="C321" s="20" t="s">
        <v>57</v>
      </c>
      <c r="D321" s="21"/>
      <c r="E321" s="22"/>
      <c r="F321" s="21" t="s">
        <v>1619</v>
      </c>
      <c r="G321" s="29" t="s">
        <v>1620</v>
      </c>
      <c r="H321" s="20" t="str">
        <f>SUBSTITUTE(SUBSTITUTE(SUBSTITUTE(S321,"/@","_"),"/cac:","_"),"/cbc:","_")</f>
        <v>Invoice_InvoiceLine_Price_PriceAmount_currencyID</v>
      </c>
      <c r="I321" s="20" t="str">
        <f>SUBSTITUTE(SUBSTITUTE(SUBSTITUTE(T321,"/@","_"),"/cac:","_"),"/cbc:","_")</f>
        <v/>
      </c>
      <c r="J321" s="25" t="s">
        <v>1055</v>
      </c>
      <c r="K321" s="25" t="s">
        <v>1622</v>
      </c>
      <c r="L321" s="25" t="s">
        <v>1057</v>
      </c>
      <c r="M321" s="25" t="s">
        <v>243</v>
      </c>
      <c r="N321" s="27"/>
      <c r="O321" s="25" t="s">
        <v>64</v>
      </c>
      <c r="P321" s="19">
        <v>4</v>
      </c>
      <c r="Q321" s="26" t="str">
        <f>IF(S321="","",LEN(S321)-LEN(SUBSTITUTE(S321,"/",""))+IF(ISNUMBER(SEARCH("@",S321)),0,1))</f>
        <v>4</v>
      </c>
      <c r="R321" s="50" t="s">
        <v>3061</v>
      </c>
      <c r="S321" s="19" t="s">
        <v>1623</v>
      </c>
      <c r="T321" s="20"/>
      <c r="U321" s="20"/>
      <c r="V321" s="20"/>
      <c r="W321" s="25" t="s">
        <v>993</v>
      </c>
      <c r="X321" s="46"/>
      <c r="Y321" s="20"/>
      <c r="Z321" s="20"/>
      <c r="AA321" s="25" t="s">
        <v>68</v>
      </c>
      <c r="AB321" s="20" t="str">
        <f>IF(ISBLANK(S321),"是","否")</f>
        <v>否</v>
      </c>
      <c r="AC321" s="20"/>
      <c r="AD321" s="25"/>
      <c r="AE321" s="25"/>
      <c r="AH321" s="20" t="s">
        <v>76</v>
      </c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</row>
    <row r="322" ht="39.879699248120296" customHeight="1" spans="1:57" x14ac:dyDescent="0.25">
      <c r="A322" s="20" t="s">
        <v>682</v>
      </c>
      <c r="B322" s="19" t="s">
        <v>1605</v>
      </c>
      <c r="C322" s="20" t="s">
        <v>57</v>
      </c>
      <c r="D322" s="21"/>
      <c r="E322" s="22"/>
      <c r="F322" s="21" t="s">
        <v>1624</v>
      </c>
      <c r="G322" s="29" t="s">
        <v>1625</v>
      </c>
      <c r="H322" s="20" t="str">
        <f>SUBSTITUTE(SUBSTITUTE(SUBSTITUTE(S322,"/@","_"),"/cac:","_"),"/cbc:","_")</f>
        <v>Invoice_InvoiceLine_Price_BaseQuantity</v>
      </c>
      <c r="I322" s="20" t="str">
        <f>SUBSTITUTE(SUBSTITUTE(SUBSTITUTE(T322,"/@","_"),"/cac:","_"),"/cbc:","_")</f>
        <v/>
      </c>
      <c r="J322" s="25" t="s">
        <v>1627</v>
      </c>
      <c r="K322" s="25" t="s">
        <v>1628</v>
      </c>
      <c r="L322" s="25" t="s">
        <v>1629</v>
      </c>
      <c r="M322" s="25" t="s">
        <v>1000</v>
      </c>
      <c r="N322" s="27"/>
      <c r="O322" s="25" t="s">
        <v>64</v>
      </c>
      <c r="P322" s="19">
        <v>4</v>
      </c>
      <c r="Q322" s="26" t="str">
        <f>IF(S322="","",LEN(S322)-LEN(SUBSTITUTE(S322,"/",""))+IF(ISNUMBER(SEARCH("@",S322)),0,1))</f>
        <v>4</v>
      </c>
      <c r="R322" s="50" t="s">
        <v>3062</v>
      </c>
      <c r="S322" s="19" t="s">
        <v>1630</v>
      </c>
      <c r="T322" s="20"/>
      <c r="U322" s="20"/>
      <c r="V322" s="20"/>
      <c r="W322" s="25">
        <v>1</v>
      </c>
      <c r="X322" s="46"/>
      <c r="Y322" s="20"/>
      <c r="Z322" s="20"/>
      <c r="AA322" s="25" t="s">
        <v>68</v>
      </c>
      <c r="AB322" s="20" t="str">
        <f>IF(ISBLANK(S322),"是","否")</f>
        <v>否</v>
      </c>
      <c r="AC322" s="20"/>
      <c r="AD322" s="25"/>
      <c r="AE322" s="25"/>
      <c r="AH322" s="20" t="s">
        <v>76</v>
      </c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</row>
    <row r="323" ht="29.59398496240601" customHeight="1" spans="1:57" x14ac:dyDescent="0.25">
      <c r="A323" s="20" t="s">
        <v>682</v>
      </c>
      <c r="B323" s="19" t="s">
        <v>1605</v>
      </c>
      <c r="C323" s="20" t="s">
        <v>57</v>
      </c>
      <c r="D323" s="21"/>
      <c r="E323" s="22"/>
      <c r="F323" s="21" t="s">
        <v>1631</v>
      </c>
      <c r="G323" s="29" t="s">
        <v>1632</v>
      </c>
      <c r="H323" s="20" t="str">
        <f>SUBSTITUTE(SUBSTITUTE(SUBSTITUTE(S323,"/@","_"),"/cac:","_"),"/cbc:","_")</f>
        <v>Invoice_InvoiceLine_Price_BaseQuantity_unitCode</v>
      </c>
      <c r="I323" s="20" t="str">
        <f>SUBSTITUTE(SUBSTITUTE(SUBSTITUTE(T323,"/@","_"),"/cac:","_"),"/cbc:","_")</f>
        <v/>
      </c>
      <c r="J323" s="25" t="s">
        <v>1634</v>
      </c>
      <c r="K323" s="25" t="s">
        <v>1635</v>
      </c>
      <c r="L323" s="25" t="s">
        <v>1636</v>
      </c>
      <c r="M323" s="25" t="s">
        <v>243</v>
      </c>
      <c r="N323" s="27"/>
      <c r="O323" s="25" t="s">
        <v>64</v>
      </c>
      <c r="P323" s="19">
        <v>4</v>
      </c>
      <c r="Q323" s="26" t="str">
        <f>IF(S323="","",LEN(S323)-LEN(SUBSTITUTE(S323,"/",""))+IF(ISNUMBER(SEARCH("@",S323)),0,1))</f>
        <v>4</v>
      </c>
      <c r="R323" s="50" t="s">
        <v>3063</v>
      </c>
      <c r="S323" s="19" t="s">
        <v>1637</v>
      </c>
      <c r="T323" s="20"/>
      <c r="U323" s="20"/>
      <c r="V323" s="20"/>
      <c r="W323" s="25" t="s">
        <v>1343</v>
      </c>
      <c r="X323" s="46"/>
      <c r="Y323" s="20"/>
      <c r="Z323" s="20"/>
      <c r="AA323" s="25" t="s">
        <v>68</v>
      </c>
      <c r="AB323" s="20" t="str">
        <f>IF(ISBLANK(S323),"是","否")</f>
        <v>否</v>
      </c>
      <c r="AC323" s="20"/>
      <c r="AD323" s="25"/>
      <c r="AE323" s="25"/>
      <c r="AH323" s="20" t="s">
        <v>76</v>
      </c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</row>
    <row r="324" ht="39.879699248120296" customHeight="1" spans="1:57" x14ac:dyDescent="0.25">
      <c r="A324" s="20" t="s">
        <v>682</v>
      </c>
      <c r="B324" s="19" t="s">
        <v>1605</v>
      </c>
      <c r="C324" s="20" t="s">
        <v>57</v>
      </c>
      <c r="D324" s="21"/>
      <c r="E324" s="22"/>
      <c r="F324" s="21" t="s">
        <v>1169</v>
      </c>
      <c r="G324" s="29" t="s">
        <v>1638</v>
      </c>
      <c r="H324" s="20" t="str">
        <f>SUBSTITUTE(SUBSTITUTE(SUBSTITUTE(S324,"/@","_"),"/cac:","_"),"/cbc:","_")</f>
        <v>Invoice_InvoiceLine_Price_AllowanceCharge</v>
      </c>
      <c r="I324" s="20" t="str">
        <f>SUBSTITUTE(SUBSTITUTE(SUBSTITUTE(T324,"/@","_"),"/cac:","_"),"/cbc:","_")</f>
        <v/>
      </c>
      <c r="J324" s="25" t="s">
        <v>1640</v>
      </c>
      <c r="K324" s="25" t="s">
        <v>1641</v>
      </c>
      <c r="L324" s="25" t="s">
        <v>1642</v>
      </c>
      <c r="M324" s="25" t="s">
        <v>220</v>
      </c>
      <c r="N324" s="27"/>
      <c r="O324" s="25" t="s">
        <v>49</v>
      </c>
      <c r="P324" s="19">
        <v>4</v>
      </c>
      <c r="Q324" s="26" t="str">
        <f>IF(S324="","",LEN(S324)-LEN(SUBSTITUTE(S324,"/",""))+IF(ISNUMBER(SEARCH("@",S324)),0,1))</f>
        <v>4</v>
      </c>
      <c r="R324" s="50" t="s">
        <v>3064</v>
      </c>
      <c r="S324" s="19" t="s">
        <v>1643</v>
      </c>
      <c r="T324" s="20"/>
      <c r="U324" s="20"/>
      <c r="V324" s="20"/>
      <c r="W324" s="25" t="s">
        <v>681</v>
      </c>
      <c r="X324" s="46"/>
      <c r="Y324" s="20"/>
      <c r="Z324" s="20"/>
      <c r="AA324" s="25" t="s">
        <v>222</v>
      </c>
      <c r="AB324" s="20" t="str">
        <f>IF(ISBLANK(S324),"是","否")</f>
        <v>否</v>
      </c>
      <c r="AC324" s="20"/>
      <c r="AD324" s="25"/>
      <c r="AE324" s="25"/>
      <c r="AH324" s="20" t="s">
        <v>76</v>
      </c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</row>
    <row r="325" ht="39.879699248120296" customHeight="1" spans="1:57" x14ac:dyDescent="0.25">
      <c r="A325" s="20" t="s">
        <v>682</v>
      </c>
      <c r="B325" s="19" t="s">
        <v>1169</v>
      </c>
      <c r="C325" s="20" t="s">
        <v>57</v>
      </c>
      <c r="D325" s="21"/>
      <c r="E325" s="22"/>
      <c r="F325" s="21" t="s">
        <v>1644</v>
      </c>
      <c r="G325" s="29" t="s">
        <v>1645</v>
      </c>
      <c r="H325" s="20" t="str">
        <f>SUBSTITUTE(SUBSTITUTE(SUBSTITUTE(S325,"/@","_"),"/cac:","_"),"/cbc:","_")</f>
        <v>Invoice_InvoiceLine_Price_AllowanceCharge_ChargeIndicator</v>
      </c>
      <c r="I325" s="20" t="str">
        <f>SUBSTITUTE(SUBSTITUTE(SUBSTITUTE(T325,"/@","_"),"/cac:","_"),"/cbc:","_")</f>
        <v/>
      </c>
      <c r="J325" s="25" t="s">
        <v>1647</v>
      </c>
      <c r="K325" s="25" t="s">
        <v>1648</v>
      </c>
      <c r="L325" s="25" t="s">
        <v>1649</v>
      </c>
      <c r="M325" s="25" t="s">
        <v>1182</v>
      </c>
      <c r="N325" s="27"/>
      <c r="O325" s="25">
        <v>1</v>
      </c>
      <c r="P325" s="19">
        <v>5</v>
      </c>
      <c r="Q325" s="26" t="str">
        <f>IF(S325="","",LEN(S325)-LEN(SUBSTITUTE(S325,"/",""))+IF(ISNUMBER(SEARCH("@",S325)),0,1))</f>
        <v>5</v>
      </c>
      <c r="R325" s="50" t="s">
        <v>3065</v>
      </c>
      <c r="S325" s="19" t="s">
        <v>1650</v>
      </c>
      <c r="T325" s="20"/>
      <c r="U325" s="20"/>
      <c r="V325" s="20"/>
      <c r="W325" s="25" t="s">
        <v>1184</v>
      </c>
      <c r="X325" s="46"/>
      <c r="Y325" s="20"/>
      <c r="Z325" s="20"/>
      <c r="AA325" s="25" t="s">
        <v>68</v>
      </c>
      <c r="AB325" s="20" t="str">
        <f>IF(ISBLANK(S325),"是","否")</f>
        <v>否</v>
      </c>
      <c r="AC325" s="20"/>
      <c r="AD325" s="25"/>
      <c r="AE325" s="25"/>
      <c r="AH325" s="20" t="s">
        <v>76</v>
      </c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</row>
    <row r="326" ht="29.59398496240601" customHeight="1" spans="1:57" x14ac:dyDescent="0.25">
      <c r="A326" s="20" t="s">
        <v>682</v>
      </c>
      <c r="B326" s="19" t="s">
        <v>1169</v>
      </c>
      <c r="C326" s="20" t="s">
        <v>57</v>
      </c>
      <c r="D326" s="21"/>
      <c r="E326" s="22"/>
      <c r="F326" s="21" t="s">
        <v>1651</v>
      </c>
      <c r="G326" s="29" t="s">
        <v>1652</v>
      </c>
      <c r="H326" s="20" t="str">
        <f>SUBSTITUTE(SUBSTITUTE(SUBSTITUTE(S326,"/@","_"),"/cac:","_"),"/cbc:","_")</f>
        <v>Invoice_InvoiceLine_Price_AllowanceCharge_Amount</v>
      </c>
      <c r="I326" s="20" t="str">
        <f>SUBSTITUTE(SUBSTITUTE(SUBSTITUTE(T326,"/@","_"),"/cac:","_"),"/cbc:","_")</f>
        <v/>
      </c>
      <c r="J326" s="25" t="s">
        <v>1653</v>
      </c>
      <c r="K326" s="25" t="s">
        <v>1654</v>
      </c>
      <c r="L326" s="25" t="s">
        <v>1139</v>
      </c>
      <c r="M326" s="25" t="s">
        <v>1000</v>
      </c>
      <c r="N326" s="27"/>
      <c r="O326" s="25">
        <v>1</v>
      </c>
      <c r="P326" s="19">
        <v>5</v>
      </c>
      <c r="Q326" s="26" t="str">
        <f>IF(S326="","",LEN(S326)-LEN(SUBSTITUTE(S326,"/",""))+IF(ISNUMBER(SEARCH("@",S326)),0,1))</f>
        <v>5</v>
      </c>
      <c r="R326" s="50" t="s">
        <v>3066</v>
      </c>
      <c r="S326" s="19" t="s">
        <v>1655</v>
      </c>
      <c r="T326" s="20"/>
      <c r="U326" s="20"/>
      <c r="V326" s="20"/>
      <c r="W326" s="25">
        <v>10</v>
      </c>
      <c r="X326" s="46"/>
      <c r="Y326" s="20"/>
      <c r="Z326" s="20"/>
      <c r="AA326" s="25" t="s">
        <v>68</v>
      </c>
      <c r="AB326" s="20" t="str">
        <f>IF(ISBLANK(S326),"是","否")</f>
        <v>否</v>
      </c>
      <c r="AC326" s="20"/>
      <c r="AD326" s="25"/>
      <c r="AE326" s="25"/>
      <c r="AH326" s="20" t="s">
        <v>76</v>
      </c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</row>
    <row r="327" ht="39.879699248120296" customHeight="1" spans="1:57" x14ac:dyDescent="0.25">
      <c r="A327" s="25" t="s">
        <v>1663</v>
      </c>
      <c r="B327" s="19" t="s">
        <v>1169</v>
      </c>
      <c r="C327" s="20" t="s">
        <v>57</v>
      </c>
      <c r="D327" s="21"/>
      <c r="E327" s="22"/>
      <c r="F327" s="21" t="s">
        <v>1656</v>
      </c>
      <c r="G327" s="29" t="s">
        <v>1657</v>
      </c>
      <c r="H327" s="20" t="str">
        <f>SUBSTITUTE(SUBSTITUTE(SUBSTITUTE(S327,"/@","_"),"/cac:","_"),"/cbc:","_")</f>
        <v>Invoice_InvoiceLine_Price_AllowanceCharge_Amount_currencyID</v>
      </c>
      <c r="I327" s="20" t="str">
        <f>SUBSTITUTE(SUBSTITUTE(SUBSTITUTE(T327,"/@","_"),"/cac:","_"),"/cbc:","_")</f>
        <v/>
      </c>
      <c r="J327" s="25" t="s">
        <v>1658</v>
      </c>
      <c r="K327" s="25" t="s">
        <v>1659</v>
      </c>
      <c r="L327" s="25" t="s">
        <v>1660</v>
      </c>
      <c r="M327" s="25" t="s">
        <v>1661</v>
      </c>
      <c r="N327" s="27"/>
      <c r="O327" s="25" t="s">
        <v>64</v>
      </c>
      <c r="P327" s="19">
        <v>5</v>
      </c>
      <c r="Q327" s="26" t="str">
        <f>IF(S327="","",LEN(S327)-LEN(SUBSTITUTE(S327,"/",""))+IF(ISNUMBER(SEARCH("@",S327)),0,1))</f>
        <v>5</v>
      </c>
      <c r="R327" s="50" t="s">
        <v>3067</v>
      </c>
      <c r="S327" s="26" t="s">
        <v>1662</v>
      </c>
      <c r="T327" s="20"/>
      <c r="U327" s="20"/>
      <c r="V327" s="20"/>
      <c r="W327" s="25" t="s">
        <v>993</v>
      </c>
      <c r="X327" s="46"/>
      <c r="Y327" s="20"/>
      <c r="Z327" s="20"/>
      <c r="AA327" s="25" t="s">
        <v>68</v>
      </c>
      <c r="AB327" s="20" t="str">
        <f>IF(ISBLANK(S327),"是","否")</f>
        <v>否</v>
      </c>
      <c r="AC327" s="20"/>
      <c r="AD327" s="25"/>
      <c r="AE327" s="25"/>
      <c r="AH327" s="20" t="s">
        <v>76</v>
      </c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</row>
    <row r="328" ht="39.879699248120296" customHeight="1" spans="1:57" x14ac:dyDescent="0.25">
      <c r="A328" s="25" t="s">
        <v>1663</v>
      </c>
      <c r="B328" s="19" t="s">
        <v>1169</v>
      </c>
      <c r="C328" s="20" t="s">
        <v>57</v>
      </c>
      <c r="D328" s="21"/>
      <c r="E328" s="22"/>
      <c r="F328" s="21" t="s">
        <v>1664</v>
      </c>
      <c r="G328" s="29" t="s">
        <v>1665</v>
      </c>
      <c r="H328" s="20" t="str">
        <f>SUBSTITUTE(SUBSTITUTE(SUBSTITUTE(S328,"/@","_"),"/cac:","_"),"/cbc:","_")</f>
        <v>Invoice_InvoiceLine_Price_AllowanceCharge_BaseAmount</v>
      </c>
      <c r="I328" s="20" t="str">
        <f>SUBSTITUTE(SUBSTITUTE(SUBSTITUTE(T328,"/@","_"),"/cac:","_"),"/cbc:","_")</f>
        <v/>
      </c>
      <c r="J328" s="25" t="s">
        <v>1666</v>
      </c>
      <c r="K328" s="25" t="s">
        <v>1667</v>
      </c>
      <c r="L328" s="25" t="s">
        <v>1668</v>
      </c>
      <c r="M328" s="25" t="s">
        <v>1000</v>
      </c>
      <c r="N328" s="27"/>
      <c r="O328" s="25" t="s">
        <v>64</v>
      </c>
      <c r="P328" s="19">
        <v>5</v>
      </c>
      <c r="Q328" s="26" t="str">
        <f>IF(S328="","",LEN(S328)-LEN(SUBSTITUTE(S328,"/",""))+IF(ISNUMBER(SEARCH("@",S328)),0,1))</f>
        <v>5</v>
      </c>
      <c r="R328" s="50" t="s">
        <v>3068</v>
      </c>
      <c r="S328" s="26" t="s">
        <v>1669</v>
      </c>
      <c r="T328" s="20"/>
      <c r="U328" s="20"/>
      <c r="V328" s="20"/>
      <c r="W328" s="25">
        <v>100</v>
      </c>
      <c r="X328" s="46"/>
      <c r="Y328" s="20"/>
      <c r="Z328" s="20"/>
      <c r="AA328" s="25" t="s">
        <v>68</v>
      </c>
      <c r="AB328" s="20" t="str">
        <f>IF(ISBLANK(S328),"是","否")</f>
        <v>否</v>
      </c>
      <c r="AC328" s="20"/>
      <c r="AD328" s="25"/>
      <c r="AE328" s="25"/>
      <c r="AH328" s="20" t="s">
        <v>76</v>
      </c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</row>
    <row r="329" ht="39.879699248120296" customHeight="1" spans="1:57" x14ac:dyDescent="0.25">
      <c r="A329" s="25" t="s">
        <v>1663</v>
      </c>
      <c r="B329" s="19" t="s">
        <v>1169</v>
      </c>
      <c r="C329" s="20" t="s">
        <v>57</v>
      </c>
      <c r="D329" s="21"/>
      <c r="E329" s="22"/>
      <c r="F329" s="21" t="s">
        <v>1670</v>
      </c>
      <c r="G329" s="29" t="s">
        <v>1671</v>
      </c>
      <c r="H329" s="20" t="str">
        <f>SUBSTITUTE(SUBSTITUTE(SUBSTITUTE(S329,"/@","_"),"/cac:","_"),"/cbc:","_")</f>
        <v>Invoice_InvoiceLine_Price_AllowanceCharge_BaseAmount_currencyID</v>
      </c>
      <c r="I329" s="20" t="str">
        <f>SUBSTITUTE(SUBSTITUTE(SUBSTITUTE(T329,"/@","_"),"/cac:","_"),"/cbc:","_")</f>
        <v/>
      </c>
      <c r="J329" s="25" t="s">
        <v>1672</v>
      </c>
      <c r="K329" s="25" t="s">
        <v>1673</v>
      </c>
      <c r="L329" s="25" t="s">
        <v>1674</v>
      </c>
      <c r="M329" s="25" t="s">
        <v>1661</v>
      </c>
      <c r="N329" s="27"/>
      <c r="O329" s="25" t="s">
        <v>64</v>
      </c>
      <c r="P329" s="19">
        <v>5</v>
      </c>
      <c r="Q329" s="26" t="str">
        <f>IF(S329="","",LEN(S329)-LEN(SUBSTITUTE(S329,"/",""))+IF(ISNUMBER(SEARCH("@",S329)),0,1))</f>
        <v>5</v>
      </c>
      <c r="R329" s="50" t="s">
        <v>3069</v>
      </c>
      <c r="S329" s="26" t="s">
        <v>1675</v>
      </c>
      <c r="T329" s="20"/>
      <c r="U329" s="20"/>
      <c r="V329" s="20"/>
      <c r="W329" s="25" t="s">
        <v>993</v>
      </c>
      <c r="X329" s="46"/>
      <c r="Y329" s="20"/>
      <c r="Z329" s="20"/>
      <c r="AA329" s="25" t="s">
        <v>68</v>
      </c>
      <c r="AB329" s="20" t="str">
        <f>IF(ISBLANK(S329),"是","否")</f>
        <v>否</v>
      </c>
      <c r="AC329" s="20"/>
      <c r="AD329" s="25"/>
      <c r="AE329" s="25"/>
      <c r="AH329" s="20" t="s">
        <v>76</v>
      </c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</row>
    <row r="330" ht="29.59398496240601" customHeight="1" spans="1:57" x14ac:dyDescent="0.25">
      <c r="A330" s="25" t="s">
        <v>1663</v>
      </c>
      <c r="B330" s="19" t="s">
        <v>1306</v>
      </c>
      <c r="C330" s="20" t="s">
        <v>57</v>
      </c>
      <c r="D330" s="21"/>
      <c r="E330" s="22"/>
      <c r="F330" s="21" t="s">
        <v>1169</v>
      </c>
      <c r="G330" s="29" t="s">
        <v>1676</v>
      </c>
      <c r="H330" s="20" t="str">
        <f>SUBSTITUTE(SUBSTITUTE(SUBSTITUTE(S330,"/@","_"),"/cac:","_"),"/cbc:","_")</f>
        <v>Invoice_InvoiceLine_AllowanceCharge</v>
      </c>
      <c r="I330" s="20" t="str">
        <f>SUBSTITUTE(SUBSTITUTE(SUBSTITUTE(T330,"/@","_"),"/cac:","_"),"/cbc:","_")</f>
        <v/>
      </c>
      <c r="J330" s="25" t="s">
        <v>1678</v>
      </c>
      <c r="K330" s="25" t="s">
        <v>1679</v>
      </c>
      <c r="L330" s="25" t="s">
        <v>1680</v>
      </c>
      <c r="M330" s="25" t="s">
        <v>220</v>
      </c>
      <c r="N330" s="27"/>
      <c r="O330" s="25" t="s">
        <v>49</v>
      </c>
      <c r="P330" s="19">
        <v>3</v>
      </c>
      <c r="Q330" s="26" t="str">
        <f>IF(S330="","",LEN(S330)-LEN(SUBSTITUTE(S330,"/",""))+IF(ISNUMBER(SEARCH("@",S330)),0,1))</f>
        <v>3</v>
      </c>
      <c r="R330" s="50" t="s">
        <v>3070</v>
      </c>
      <c r="S330" s="26" t="s">
        <v>1681</v>
      </c>
      <c r="T330" s="20"/>
      <c r="U330" s="20"/>
      <c r="V330" s="20"/>
      <c r="W330" s="25" t="s">
        <v>681</v>
      </c>
      <c r="X330" s="46"/>
      <c r="Y330" s="20"/>
      <c r="Z330" s="20"/>
      <c r="AA330" s="25" t="s">
        <v>222</v>
      </c>
      <c r="AB330" s="20" t="str">
        <f>IF(ISBLANK(S330),"是","否")</f>
        <v>否</v>
      </c>
      <c r="AC330" s="20"/>
      <c r="AD330" s="25"/>
      <c r="AE330" s="25"/>
      <c r="AH330" s="20" t="s">
        <v>76</v>
      </c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</row>
    <row r="331" ht="39.879699248120296" customHeight="1" spans="1:57" x14ac:dyDescent="0.25">
      <c r="A331" s="25" t="s">
        <v>1663</v>
      </c>
      <c r="B331" s="19" t="s">
        <v>1169</v>
      </c>
      <c r="C331" s="20" t="s">
        <v>57</v>
      </c>
      <c r="D331" s="21"/>
      <c r="E331" s="22"/>
      <c r="F331" s="21" t="s">
        <v>1176</v>
      </c>
      <c r="G331" s="29" t="s">
        <v>1682</v>
      </c>
      <c r="H331" s="20" t="str">
        <f>SUBSTITUTE(SUBSTITUTE(SUBSTITUTE(S331,"/@","_"),"/cac:","_"),"/cbc:","_")</f>
        <v>Invoice_InvoiceLine_AllowanceCharge_ChargeIndicator</v>
      </c>
      <c r="I331" s="20" t="str">
        <f>SUBSTITUTE(SUBSTITUTE(SUBSTITUTE(T331,"/@","_"),"/cac:","_"),"/cbc:","_")</f>
        <v/>
      </c>
      <c r="J331" s="25" t="s">
        <v>1179</v>
      </c>
      <c r="K331" s="25" t="s">
        <v>1683</v>
      </c>
      <c r="L331" s="25" t="s">
        <v>1684</v>
      </c>
      <c r="M331" s="25" t="s">
        <v>1182</v>
      </c>
      <c r="N331" s="27"/>
      <c r="O331" s="25">
        <v>1</v>
      </c>
      <c r="P331" s="19">
        <v>4</v>
      </c>
      <c r="Q331" s="26" t="str">
        <f>IF(S331="","",LEN(S331)-LEN(SUBSTITUTE(S331,"/",""))+IF(ISNUMBER(SEARCH("@",S331)),0,1))</f>
        <v>4</v>
      </c>
      <c r="R331" s="50" t="s">
        <v>3071</v>
      </c>
      <c r="S331" s="26" t="s">
        <v>1685</v>
      </c>
      <c r="T331" s="20"/>
      <c r="U331" s="20"/>
      <c r="V331" s="20"/>
      <c r="W331" s="25"/>
      <c r="X331" s="46"/>
      <c r="Y331" s="20"/>
      <c r="Z331" s="20"/>
      <c r="AA331" s="25" t="s">
        <v>68</v>
      </c>
      <c r="AB331" s="20" t="str">
        <f>IF(ISBLANK(S331),"是","否")</f>
        <v>否</v>
      </c>
      <c r="AC331" s="20"/>
      <c r="AD331" s="25"/>
      <c r="AE331" s="25"/>
      <c r="AH331" s="20" t="s">
        <v>76</v>
      </c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</row>
    <row r="332" ht="39.879699248120296" customHeight="1" spans="1:57" x14ac:dyDescent="0.25">
      <c r="A332" s="25" t="s">
        <v>1663</v>
      </c>
      <c r="B332" s="19" t="s">
        <v>1169</v>
      </c>
      <c r="C332" s="20" t="s">
        <v>57</v>
      </c>
      <c r="D332" s="21"/>
      <c r="E332" s="22"/>
      <c r="F332" s="21" t="s">
        <v>1185</v>
      </c>
      <c r="G332" s="29" t="s">
        <v>1686</v>
      </c>
      <c r="H332" s="20" t="str">
        <f>SUBSTITUTE(SUBSTITUTE(SUBSTITUTE(S332,"/@","_"),"/cac:","_"),"/cbc:","_")</f>
        <v>Invoice_InvoiceLine_AllowanceCharge_AllowanceChargeReasonCode</v>
      </c>
      <c r="I332" s="20" t="str">
        <f>SUBSTITUTE(SUBSTITUTE(SUBSTITUTE(T332,"/@","_"),"/cac:","_"),"/cbc:","_")</f>
        <v/>
      </c>
      <c r="J332" s="25" t="s">
        <v>1188</v>
      </c>
      <c r="K332" s="25" t="s">
        <v>1688</v>
      </c>
      <c r="L332" s="25" t="s">
        <v>1190</v>
      </c>
      <c r="M332" s="25" t="s">
        <v>1661</v>
      </c>
      <c r="N332" s="27"/>
      <c r="O332" s="25" t="s">
        <v>64</v>
      </c>
      <c r="P332" s="19">
        <v>4</v>
      </c>
      <c r="Q332" s="26" t="str">
        <f>IF(S332="","",LEN(S332)-LEN(SUBSTITUTE(S332,"/",""))+IF(ISNUMBER(SEARCH("@",S332)),0,1))</f>
        <v>4</v>
      </c>
      <c r="R332" s="50" t="s">
        <v>3072</v>
      </c>
      <c r="S332" s="26" t="s">
        <v>1689</v>
      </c>
      <c r="T332" s="20"/>
      <c r="U332" s="20"/>
      <c r="V332" s="20"/>
      <c r="W332" s="25">
        <v>95</v>
      </c>
      <c r="X332" s="46"/>
      <c r="Y332" s="20"/>
      <c r="Z332" s="20"/>
      <c r="AA332" s="25" t="s">
        <v>68</v>
      </c>
      <c r="AB332" s="20" t="str">
        <f>IF(ISBLANK(S332),"是","否")</f>
        <v>否</v>
      </c>
      <c r="AC332" s="20"/>
      <c r="AD332" s="25"/>
      <c r="AE332" s="25"/>
      <c r="AH332" s="20" t="s">
        <v>76</v>
      </c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</row>
    <row r="333" ht="29.59398496240601" customHeight="1" spans="1:57" x14ac:dyDescent="0.25">
      <c r="A333" s="25" t="s">
        <v>1663</v>
      </c>
      <c r="B333" s="19" t="s">
        <v>1169</v>
      </c>
      <c r="C333" s="20" t="s">
        <v>57</v>
      </c>
      <c r="D333" s="21"/>
      <c r="E333" s="22"/>
      <c r="F333" s="21" t="s">
        <v>1192</v>
      </c>
      <c r="G333" s="29" t="s">
        <v>1690</v>
      </c>
      <c r="H333" s="20" t="str">
        <f>SUBSTITUTE(SUBSTITUTE(SUBSTITUTE(S333,"/@","_"),"/cac:","_"),"/cbc:","_")</f>
        <v>Invoice_InvoiceLine_AllowanceCharge_AllowanceChargeReason</v>
      </c>
      <c r="I333" s="20" t="str">
        <f>SUBSTITUTE(SUBSTITUTE(SUBSTITUTE(T333,"/@","_"),"/cac:","_"),"/cbc:","_")</f>
        <v/>
      </c>
      <c r="J333" s="25" t="s">
        <v>1195</v>
      </c>
      <c r="K333" s="25" t="s">
        <v>1692</v>
      </c>
      <c r="L333" s="25" t="s">
        <v>1693</v>
      </c>
      <c r="M333" s="25" t="s">
        <v>228</v>
      </c>
      <c r="N333" s="27"/>
      <c r="O333" s="25" t="s">
        <v>64</v>
      </c>
      <c r="P333" s="19">
        <v>4</v>
      </c>
      <c r="Q333" s="26" t="str">
        <f>IF(S333="","",LEN(S333)-LEN(SUBSTITUTE(S333,"/",""))+IF(ISNUMBER(SEARCH("@",S333)),0,1))</f>
        <v>4</v>
      </c>
      <c r="R333" s="50" t="s">
        <v>3073</v>
      </c>
      <c r="S333" s="26" t="s">
        <v>1694</v>
      </c>
      <c r="T333" s="20"/>
      <c r="U333" s="20"/>
      <c r="V333" s="20"/>
      <c r="W333" s="25" t="s">
        <v>1695</v>
      </c>
      <c r="X333" s="46"/>
      <c r="Y333" s="20"/>
      <c r="Z333" s="20"/>
      <c r="AA333" s="25" t="s">
        <v>68</v>
      </c>
      <c r="AB333" s="20" t="str">
        <f>IF(ISBLANK(S333),"是","否")</f>
        <v>否</v>
      </c>
      <c r="AC333" s="20"/>
      <c r="AD333" s="25"/>
      <c r="AE333" s="25"/>
      <c r="AH333" s="20" t="s">
        <v>76</v>
      </c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</row>
    <row r="334" ht="29.59398496240601" customHeight="1" spans="1:57" x14ac:dyDescent="0.25">
      <c r="A334" s="25" t="s">
        <v>1663</v>
      </c>
      <c r="B334" s="19" t="s">
        <v>1169</v>
      </c>
      <c r="C334" s="20" t="s">
        <v>57</v>
      </c>
      <c r="D334" s="21"/>
      <c r="E334" s="22"/>
      <c r="F334" s="21" t="s">
        <v>1200</v>
      </c>
      <c r="G334" s="29" t="s">
        <v>1696</v>
      </c>
      <c r="H334" s="20" t="str">
        <f>SUBSTITUTE(SUBSTITUTE(SUBSTITUTE(S334,"/@","_"),"/cac:","_"),"/cbc:","_")</f>
        <v>Invoice_InvoiceLine_AllowanceCharge_MultiplierFactorNumeric</v>
      </c>
      <c r="I334" s="20" t="str">
        <f>SUBSTITUTE(SUBSTITUTE(SUBSTITUTE(T334,"/@","_"),"/cac:","_"),"/cbc:","_")</f>
        <v/>
      </c>
      <c r="J334" s="25" t="s">
        <v>1698</v>
      </c>
      <c r="K334" s="25" t="s">
        <v>1699</v>
      </c>
      <c r="L334" s="25" t="s">
        <v>1700</v>
      </c>
      <c r="M334" s="25" t="s">
        <v>1000</v>
      </c>
      <c r="N334" s="27"/>
      <c r="O334" s="25" t="s">
        <v>64</v>
      </c>
      <c r="P334" s="19">
        <v>4</v>
      </c>
      <c r="Q334" s="26" t="str">
        <f>IF(S334="","",LEN(S334)-LEN(SUBSTITUTE(S334,"/",""))+IF(ISNUMBER(SEARCH("@",S334)),0,1))</f>
        <v>4</v>
      </c>
      <c r="R334" s="50" t="s">
        <v>3074</v>
      </c>
      <c r="S334" s="26" t="s">
        <v>1701</v>
      </c>
      <c r="T334" s="20"/>
      <c r="U334" s="20"/>
      <c r="V334" s="20"/>
      <c r="W334" s="25">
        <v>10</v>
      </c>
      <c r="X334" s="46"/>
      <c r="Y334" s="20"/>
      <c r="Z334" s="20"/>
      <c r="AA334" s="25" t="s">
        <v>68</v>
      </c>
      <c r="AB334" s="20" t="str">
        <f>IF(ISBLANK(S334),"是","否")</f>
        <v>否</v>
      </c>
      <c r="AC334" s="20"/>
      <c r="AD334" s="25"/>
      <c r="AE334" s="25"/>
      <c r="AH334" s="20" t="s">
        <v>76</v>
      </c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</row>
    <row r="335" ht="29.59398496240601" customHeight="1" spans="1:57" x14ac:dyDescent="0.25">
      <c r="A335" s="25" t="s">
        <v>1663</v>
      </c>
      <c r="B335" s="19" t="s">
        <v>1169</v>
      </c>
      <c r="C335" s="20" t="s">
        <v>57</v>
      </c>
      <c r="D335" s="21"/>
      <c r="E335" s="22"/>
      <c r="F335" s="21" t="s">
        <v>1207</v>
      </c>
      <c r="G335" s="29" t="s">
        <v>1702</v>
      </c>
      <c r="H335" s="20" t="str">
        <f>SUBSTITUTE(SUBSTITUTE(SUBSTITUTE(S335,"/@","_"),"/cac:","_"),"/cbc:","_")</f>
        <v>Invoice_InvoiceLine_AllowanceCharge_Amount</v>
      </c>
      <c r="I335" s="20" t="str">
        <f>SUBSTITUTE(SUBSTITUTE(SUBSTITUTE(T335,"/@","_"),"/cac:","_"),"/cbc:","_")</f>
        <v/>
      </c>
      <c r="J335" s="25" t="s">
        <v>1210</v>
      </c>
      <c r="K335" s="25" t="s">
        <v>1703</v>
      </c>
      <c r="L335" s="25" t="s">
        <v>1704</v>
      </c>
      <c r="M335" s="25" t="s">
        <v>1000</v>
      </c>
      <c r="N335" s="27"/>
      <c r="O335" s="25">
        <v>1</v>
      </c>
      <c r="P335" s="19">
        <v>4</v>
      </c>
      <c r="Q335" s="26" t="str">
        <f>IF(S335="","",LEN(S335)-LEN(SUBSTITUTE(S335,"/",""))+IF(ISNUMBER(SEARCH("@",S335)),0,1))</f>
        <v>4</v>
      </c>
      <c r="R335" s="50" t="s">
        <v>3075</v>
      </c>
      <c r="S335" s="26" t="s">
        <v>1705</v>
      </c>
      <c r="T335" s="20"/>
      <c r="U335" s="20"/>
      <c r="V335" s="20"/>
      <c r="W335" s="25">
        <v>5</v>
      </c>
      <c r="X335" s="46"/>
      <c r="Y335" s="20"/>
      <c r="Z335" s="20"/>
      <c r="AA335" s="25" t="s">
        <v>68</v>
      </c>
      <c r="AB335" s="20" t="str">
        <f>IF(ISBLANK(S335),"是","否")</f>
        <v>否</v>
      </c>
      <c r="AC335" s="20"/>
      <c r="AD335" s="25"/>
      <c r="AE335" s="25"/>
      <c r="AH335" s="20" t="s">
        <v>76</v>
      </c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</row>
    <row r="336" ht="29.59398496240601" customHeight="1" spans="1:57" x14ac:dyDescent="0.25">
      <c r="A336" s="25" t="s">
        <v>1663</v>
      </c>
      <c r="B336" s="19" t="s">
        <v>1169</v>
      </c>
      <c r="C336" s="20" t="s">
        <v>57</v>
      </c>
      <c r="D336" s="21"/>
      <c r="E336" s="22"/>
      <c r="F336" s="21" t="s">
        <v>1215</v>
      </c>
      <c r="G336" s="29" t="s">
        <v>1706</v>
      </c>
      <c r="H336" s="20" t="str">
        <f>SUBSTITUTE(SUBSTITUTE(SUBSTITUTE(S336,"/@","_"),"/cac:","_"),"/cbc:","_")</f>
        <v>Invoice_InvoiceLine_AllowanceCharge_Amount_currencyID</v>
      </c>
      <c r="I336" s="20" t="str">
        <f>SUBSTITUTE(SUBSTITUTE(SUBSTITUTE(T336,"/@","_"),"/cac:","_"),"/cbc:","_")</f>
        <v/>
      </c>
      <c r="J336" s="25" t="s">
        <v>1055</v>
      </c>
      <c r="K336" s="25" t="s">
        <v>1707</v>
      </c>
      <c r="L336" s="25" t="s">
        <v>1674</v>
      </c>
      <c r="M336" s="25" t="s">
        <v>1661</v>
      </c>
      <c r="N336" s="27"/>
      <c r="O336" s="25" t="s">
        <v>64</v>
      </c>
      <c r="P336" s="19">
        <v>4</v>
      </c>
      <c r="Q336" s="26" t="str">
        <f>IF(S336="","",LEN(S336)-LEN(SUBSTITUTE(S336,"/",""))+IF(ISNUMBER(SEARCH("@",S336)),0,1))</f>
        <v>4</v>
      </c>
      <c r="R336" s="50" t="s">
        <v>3076</v>
      </c>
      <c r="S336" s="26" t="s">
        <v>1708</v>
      </c>
      <c r="T336" s="20"/>
      <c r="U336" s="20"/>
      <c r="V336" s="20"/>
      <c r="W336" s="25" t="s">
        <v>993</v>
      </c>
      <c r="X336" s="46"/>
      <c r="Y336" s="20"/>
      <c r="Z336" s="20"/>
      <c r="AA336" s="25" t="s">
        <v>68</v>
      </c>
      <c r="AB336" s="20" t="str">
        <f>IF(ISBLANK(S336),"是","否")</f>
        <v>否</v>
      </c>
      <c r="AC336" s="20"/>
      <c r="AD336" s="25"/>
      <c r="AE336" s="25"/>
      <c r="AH336" s="20" t="s">
        <v>76</v>
      </c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</row>
    <row r="337" ht="50.16541353383458" customHeight="1" spans="1:57" x14ac:dyDescent="0.25">
      <c r="A337" s="25" t="s">
        <v>1663</v>
      </c>
      <c r="B337" s="19" t="s">
        <v>1169</v>
      </c>
      <c r="C337" s="20" t="s">
        <v>57</v>
      </c>
      <c r="D337" s="21"/>
      <c r="E337" s="22"/>
      <c r="F337" s="21" t="s">
        <v>1220</v>
      </c>
      <c r="G337" s="29" t="s">
        <v>1709</v>
      </c>
      <c r="H337" s="20" t="str">
        <f>SUBSTITUTE(SUBSTITUTE(SUBSTITUTE(S337,"/@","_"),"/cac:","_"),"/cbc:","_")</f>
        <v>Invoice_InvoiceLine_AllowanceCharge_BaseAmount</v>
      </c>
      <c r="I337" s="20" t="str">
        <f>SUBSTITUTE(SUBSTITUTE(SUBSTITUTE(T337,"/@","_"),"/cac:","_"),"/cbc:","_")</f>
        <v/>
      </c>
      <c r="J337" s="25" t="s">
        <v>1223</v>
      </c>
      <c r="K337" s="25" t="s">
        <v>1710</v>
      </c>
      <c r="L337" s="25" t="s">
        <v>1711</v>
      </c>
      <c r="M337" s="25" t="s">
        <v>1000</v>
      </c>
      <c r="N337" s="27"/>
      <c r="O337" s="25" t="s">
        <v>64</v>
      </c>
      <c r="P337" s="19">
        <v>4</v>
      </c>
      <c r="Q337" s="26" t="str">
        <f>IF(S337="","",LEN(S337)-LEN(SUBSTITUTE(S337,"/",""))+IF(ISNUMBER(SEARCH("@",S337)),0,1))</f>
        <v>4</v>
      </c>
      <c r="R337" s="50" t="s">
        <v>3077</v>
      </c>
      <c r="S337" s="26" t="s">
        <v>1712</v>
      </c>
      <c r="T337" s="20"/>
      <c r="U337" s="20"/>
      <c r="V337" s="20"/>
      <c r="W337" s="25">
        <v>50</v>
      </c>
      <c r="X337" s="46"/>
      <c r="Y337" s="20"/>
      <c r="Z337" s="20"/>
      <c r="AA337" s="25" t="s">
        <v>68</v>
      </c>
      <c r="AB337" s="20" t="str">
        <f>IF(ISBLANK(S337),"是","否")</f>
        <v>否</v>
      </c>
      <c r="AC337" s="20"/>
      <c r="AD337" s="25"/>
      <c r="AE337" s="25"/>
      <c r="AH337" s="20" t="s">
        <v>76</v>
      </c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</row>
    <row r="338" ht="29.59398496240601" customHeight="1" spans="1:57" x14ac:dyDescent="0.25">
      <c r="A338" s="25" t="s">
        <v>1663</v>
      </c>
      <c r="B338" s="19" t="s">
        <v>1169</v>
      </c>
      <c r="C338" s="20" t="s">
        <v>57</v>
      </c>
      <c r="D338" s="21"/>
      <c r="E338" s="22"/>
      <c r="F338" s="21" t="s">
        <v>1226</v>
      </c>
      <c r="G338" s="29" t="s">
        <v>1713</v>
      </c>
      <c r="H338" s="20" t="str">
        <f>SUBSTITUTE(SUBSTITUTE(SUBSTITUTE(S338,"/@","_"),"/cac:","_"),"/cbc:","_")</f>
        <v>Invoice_InvoiceLine_AllowanceCharge_BaseAmount_currencyID</v>
      </c>
      <c r="I338" s="20" t="str">
        <f>SUBSTITUTE(SUBSTITUTE(SUBSTITUTE(T338,"/@","_"),"/cac:","_"),"/cbc:","_")</f>
        <v/>
      </c>
      <c r="J338" s="25" t="s">
        <v>1714</v>
      </c>
      <c r="K338" s="25" t="s">
        <v>1715</v>
      </c>
      <c r="L338" s="25" t="s">
        <v>1674</v>
      </c>
      <c r="M338" s="25" t="s">
        <v>1661</v>
      </c>
      <c r="N338" s="27"/>
      <c r="O338" s="25" t="s">
        <v>64</v>
      </c>
      <c r="P338" s="19">
        <v>4</v>
      </c>
      <c r="Q338" s="26" t="str">
        <f>IF(S338="","",LEN(S338)-LEN(SUBSTITUTE(S338,"/",""))+IF(ISNUMBER(SEARCH("@",S338)),0,1))</f>
        <v>4</v>
      </c>
      <c r="R338" s="50" t="s">
        <v>3078</v>
      </c>
      <c r="S338" s="26" t="s">
        <v>1716</v>
      </c>
      <c r="T338" s="20"/>
      <c r="U338" s="20"/>
      <c r="V338" s="20"/>
      <c r="W338" s="25" t="s">
        <v>993</v>
      </c>
      <c r="X338" s="46"/>
      <c r="Y338" s="20"/>
      <c r="Z338" s="20"/>
      <c r="AA338" s="25" t="s">
        <v>68</v>
      </c>
      <c r="AB338" s="20" t="str">
        <f>IF(ISBLANK(S338),"是","否")</f>
        <v>否</v>
      </c>
      <c r="AC338" s="20"/>
      <c r="AD338" s="25"/>
      <c r="AE338" s="25"/>
      <c r="AH338" s="20" t="s">
        <v>76</v>
      </c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</row>
    <row r="339" ht="29.59398496240601" customHeight="1" spans="1:57" x14ac:dyDescent="0.25">
      <c r="A339" s="25" t="s">
        <v>1663</v>
      </c>
      <c r="B339" s="19" t="s">
        <v>1306</v>
      </c>
      <c r="C339" s="20" t="s">
        <v>57</v>
      </c>
      <c r="D339" s="21"/>
      <c r="E339" s="22"/>
      <c r="F339" s="21" t="s">
        <v>109</v>
      </c>
      <c r="G339" s="29" t="s">
        <v>1717</v>
      </c>
      <c r="H339" s="20" t="str">
        <f>SUBSTITUTE(SUBSTITUTE(SUBSTITUTE(S339,"/@","_"),"/cac:","_"),"/cbc:","_")</f>
        <v>Invoice_InvoiceLine_TaxTotal</v>
      </c>
      <c r="I339" s="20" t="str">
        <f>SUBSTITUTE(SUBSTITUTE(SUBSTITUTE(T339,"/@","_"),"/cac:","_"),"/cbc:","_")</f>
        <v/>
      </c>
      <c r="J339" s="25" t="s">
        <v>1719</v>
      </c>
      <c r="K339" s="25" t="s">
        <v>1720</v>
      </c>
      <c r="L339" s="25" t="s">
        <v>1721</v>
      </c>
      <c r="M339" s="25" t="s">
        <v>220</v>
      </c>
      <c r="N339" s="27"/>
      <c r="O339" s="25" t="s">
        <v>49</v>
      </c>
      <c r="P339" s="27" t="s">
        <v>50</v>
      </c>
      <c r="Q339" s="26" t="str">
        <f>IF(S339="","",LEN(S339)-LEN(SUBSTITUTE(S339,"/",""))+IF(ISNUMBER(SEARCH("@",S339)),0,1))</f>
        <v>3</v>
      </c>
      <c r="R339" s="42" t="s">
        <v>3079</v>
      </c>
      <c r="S339" s="26" t="s">
        <v>1722</v>
      </c>
      <c r="T339" s="20"/>
      <c r="U339" s="20"/>
      <c r="V339" s="20"/>
      <c r="W339" s="25" t="s">
        <v>681</v>
      </c>
      <c r="X339" s="46"/>
      <c r="Y339" s="20"/>
      <c r="Z339" s="20"/>
      <c r="AA339" s="25" t="s">
        <v>222</v>
      </c>
      <c r="AB339" s="20" t="str">
        <f>IF(ISBLANK(S339),"是","否")</f>
        <v>否</v>
      </c>
      <c r="AC339" s="20"/>
      <c r="AD339" s="25"/>
      <c r="AE339" s="25"/>
      <c r="AH339" s="20" t="s">
        <v>76</v>
      </c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</row>
    <row r="340" ht="39.879699248120296" customHeight="1" spans="1:57" x14ac:dyDescent="0.25">
      <c r="A340" s="25" t="s">
        <v>1663</v>
      </c>
      <c r="B340" s="19" t="s">
        <v>109</v>
      </c>
      <c r="C340" s="20" t="s">
        <v>57</v>
      </c>
      <c r="D340" s="21"/>
      <c r="E340" s="22"/>
      <c r="F340" s="21" t="s">
        <v>1026</v>
      </c>
      <c r="G340" s="29" t="s">
        <v>1723</v>
      </c>
      <c r="H340" s="20" t="str">
        <f>SUBSTITUTE(SUBSTITUTE(SUBSTITUTE(S340,"/@","_"),"/cac:","_"),"/cbc:","_")</f>
        <v>Invoice_InvoiceLine_TaxTotal_TaxAmount</v>
      </c>
      <c r="I340" s="20" t="str">
        <f>SUBSTITUTE(SUBSTITUTE(SUBSTITUTE(T340,"/@","_"),"/cac:","_"),"/cbc:","_")</f>
        <v/>
      </c>
      <c r="J340" s="25" t="s">
        <v>1725</v>
      </c>
      <c r="K340" s="25" t="s">
        <v>1726</v>
      </c>
      <c r="L340" s="25" t="s">
        <v>1727</v>
      </c>
      <c r="M340" s="25" t="s">
        <v>1000</v>
      </c>
      <c r="N340" s="27"/>
      <c r="O340" s="25">
        <v>1</v>
      </c>
      <c r="P340" s="27" t="s">
        <v>3015</v>
      </c>
      <c r="Q340" s="26" t="str">
        <f>IF(S340="","",LEN(S340)-LEN(SUBSTITUTE(S340,"/",""))+IF(ISNUMBER(SEARCH("@",S340)),0,1))</f>
        <v>4</v>
      </c>
      <c r="R340" s="42" t="s">
        <v>3080</v>
      </c>
      <c r="S340" s="26" t="s">
        <v>1728</v>
      </c>
      <c r="T340" s="20"/>
      <c r="U340" s="20"/>
      <c r="V340" s="20"/>
      <c r="W340" s="25">
        <v>6.5</v>
      </c>
      <c r="X340" s="46"/>
      <c r="Y340" s="20"/>
      <c r="Z340" s="20"/>
      <c r="AA340" s="25" t="s">
        <v>68</v>
      </c>
      <c r="AB340" s="20" t="str">
        <f>IF(ISBLANK(S340),"是","否")</f>
        <v>否</v>
      </c>
      <c r="AC340" s="20"/>
      <c r="AD340" s="25"/>
      <c r="AE340" s="25"/>
      <c r="AH340" s="20" t="s">
        <v>76</v>
      </c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</row>
    <row r="341" ht="29.59398496240601" customHeight="1" spans="1:57" x14ac:dyDescent="0.25">
      <c r="A341" s="25" t="s">
        <v>1663</v>
      </c>
      <c r="B341" s="19" t="s">
        <v>109</v>
      </c>
      <c r="C341" s="20" t="s">
        <v>57</v>
      </c>
      <c r="D341" s="21"/>
      <c r="E341" s="22"/>
      <c r="F341" s="21" t="s">
        <v>1031</v>
      </c>
      <c r="G341" s="29" t="s">
        <v>1729</v>
      </c>
      <c r="H341" s="20" t="str">
        <f>SUBSTITUTE(SUBSTITUTE(SUBSTITUTE(S341,"/@","_"),"/cac:","_"),"/cbc:","_")</f>
        <v>Invoice_InvoiceLine_TaxTotal_TaxAmount_currencyID</v>
      </c>
      <c r="I341" s="20" t="str">
        <f>SUBSTITUTE(SUBSTITUTE(SUBSTITUTE(T341,"/@","_"),"/cac:","_"),"/cbc:","_")</f>
        <v/>
      </c>
      <c r="J341" s="25" t="s">
        <v>1055</v>
      </c>
      <c r="K341" s="25" t="s">
        <v>1731</v>
      </c>
      <c r="L341" s="25" t="s">
        <v>1674</v>
      </c>
      <c r="M341" s="25" t="s">
        <v>1661</v>
      </c>
      <c r="N341" s="27"/>
      <c r="O341" s="25" t="s">
        <v>64</v>
      </c>
      <c r="P341" s="27" t="s">
        <v>3015</v>
      </c>
      <c r="Q341" s="26" t="str">
        <f>IF(S341="","",LEN(S341)-LEN(SUBSTITUTE(S341,"/",""))+IF(ISNUMBER(SEARCH("@",S341)),0,1))</f>
        <v>4</v>
      </c>
      <c r="R341" s="42" t="s">
        <v>3081</v>
      </c>
      <c r="S341" s="26" t="s">
        <v>1732</v>
      </c>
      <c r="T341" s="20"/>
      <c r="U341" s="20"/>
      <c r="V341" s="20"/>
      <c r="W341" s="25" t="s">
        <v>993</v>
      </c>
      <c r="X341" s="46"/>
      <c r="Y341" s="20"/>
      <c r="Z341" s="20"/>
      <c r="AA341" s="25" t="s">
        <v>68</v>
      </c>
      <c r="AB341" s="20" t="str">
        <f>IF(ISBLANK(S341),"是","否")</f>
        <v>否</v>
      </c>
      <c r="AC341" s="20"/>
      <c r="AD341" s="25"/>
      <c r="AE341" s="25"/>
      <c r="AH341" s="20" t="s">
        <v>76</v>
      </c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</row>
    <row r="342" ht="29.59398496240601" customHeight="1" spans="1:57" x14ac:dyDescent="0.25">
      <c r="A342" s="25" t="s">
        <v>1663</v>
      </c>
      <c r="B342" s="19" t="s">
        <v>109</v>
      </c>
      <c r="C342" s="20" t="s">
        <v>57</v>
      </c>
      <c r="D342" s="21"/>
      <c r="E342" s="22"/>
      <c r="F342" s="21" t="s">
        <v>1038</v>
      </c>
      <c r="G342" s="29" t="s">
        <v>1733</v>
      </c>
      <c r="H342" s="20" t="str">
        <f>SUBSTITUTE(SUBSTITUTE(SUBSTITUTE(S342,"/@","_"),"/cac:","_"),"/cbc:","_")</f>
        <v>Invoice_InvoiceLine_TaxTotal_TaxSubtotal</v>
      </c>
      <c r="I342" s="20" t="str">
        <f>SUBSTITUTE(SUBSTITUTE(SUBSTITUTE(T342,"/@","_"),"/cac:","_"),"/cbc:","_")</f>
        <v/>
      </c>
      <c r="J342" s="25" t="s">
        <v>1734</v>
      </c>
      <c r="K342" s="25" t="s">
        <v>1735</v>
      </c>
      <c r="L342" s="25" t="s">
        <v>1736</v>
      </c>
      <c r="M342" s="25" t="s">
        <v>220</v>
      </c>
      <c r="N342" s="27"/>
      <c r="O342" s="25" t="s">
        <v>1024</v>
      </c>
      <c r="P342" s="27" t="s">
        <v>3015</v>
      </c>
      <c r="Q342" s="26" t="str">
        <f>IF(S342="","",LEN(S342)-LEN(SUBSTITUTE(S342,"/",""))+IF(ISNUMBER(SEARCH("@",S342)),0,1))</f>
        <v>4</v>
      </c>
      <c r="R342" s="42" t="s">
        <v>3082</v>
      </c>
      <c r="S342" s="26" t="s">
        <v>1737</v>
      </c>
      <c r="T342" s="20"/>
      <c r="U342" s="20"/>
      <c r="V342" s="20"/>
      <c r="W342" s="25" t="s">
        <v>681</v>
      </c>
      <c r="X342" s="46"/>
      <c r="Y342" s="20"/>
      <c r="Z342" s="20"/>
      <c r="AA342" s="25" t="s">
        <v>222</v>
      </c>
      <c r="AB342" s="20" t="str">
        <f>IF(ISBLANK(S342),"是","否")</f>
        <v>否</v>
      </c>
      <c r="AC342" s="20"/>
      <c r="AD342" s="25"/>
      <c r="AE342" s="25"/>
      <c r="AH342" s="20" t="s">
        <v>76</v>
      </c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</row>
    <row r="343" ht="29.59398496240601" customHeight="1" spans="1:57" x14ac:dyDescent="0.25">
      <c r="A343" s="25" t="s">
        <v>1663</v>
      </c>
      <c r="B343" s="19" t="s">
        <v>1038</v>
      </c>
      <c r="C343" s="20" t="s">
        <v>57</v>
      </c>
      <c r="D343" s="21"/>
      <c r="E343" s="22"/>
      <c r="F343" s="21" t="s">
        <v>1134</v>
      </c>
      <c r="G343" s="29" t="s">
        <v>1738</v>
      </c>
      <c r="H343" s="20" t="str">
        <f>SUBSTITUTE(SUBSTITUTE(SUBSTITUTE(S343,"/@","_"),"/cac:","_"),"/cbc:","_")</f>
        <v>Invoice_InvoiceLine_TaxTotal_TaxSubtotal_TaxableAmount</v>
      </c>
      <c r="I343" s="20" t="str">
        <f>SUBSTITUTE(SUBSTITUTE(SUBSTITUTE(T343,"/@","_"),"/cac:","_"),"/cbc:","_")</f>
        <v/>
      </c>
      <c r="J343" s="25" t="s">
        <v>1740</v>
      </c>
      <c r="K343" s="25" t="s">
        <v>1049</v>
      </c>
      <c r="L343" s="25" t="s">
        <v>1741</v>
      </c>
      <c r="M343" s="25" t="s">
        <v>1000</v>
      </c>
      <c r="N343" s="27"/>
      <c r="O343" s="25">
        <v>1</v>
      </c>
      <c r="P343" s="27" t="s">
        <v>3016</v>
      </c>
      <c r="Q343" s="26" t="str">
        <f>IF(S343="","",LEN(S343)-LEN(SUBSTITUTE(S343,"/",""))+IF(ISNUMBER(SEARCH("@",S343)),0,1))</f>
        <v>5</v>
      </c>
      <c r="R343" s="42" t="s">
        <v>3083</v>
      </c>
      <c r="S343" s="26" t="s">
        <v>1742</v>
      </c>
      <c r="T343" s="20"/>
      <c r="U343" s="20"/>
      <c r="V343" s="20"/>
      <c r="W343" s="25">
        <v>50</v>
      </c>
      <c r="X343" s="46"/>
      <c r="Y343" s="20"/>
      <c r="Z343" s="20"/>
      <c r="AA343" s="25" t="s">
        <v>68</v>
      </c>
      <c r="AB343" s="20" t="str">
        <f>IF(ISBLANK(S343),"是","否")</f>
        <v>否</v>
      </c>
      <c r="AC343" s="20"/>
      <c r="AD343" s="25"/>
      <c r="AE343" s="25"/>
      <c r="AH343" s="20" t="s">
        <v>76</v>
      </c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</row>
    <row r="344" ht="39.879699248120296" customHeight="1" spans="1:57" x14ac:dyDescent="0.25">
      <c r="A344" s="25" t="s">
        <v>1663</v>
      </c>
      <c r="B344" s="19" t="s">
        <v>1038</v>
      </c>
      <c r="C344" s="20" t="s">
        <v>57</v>
      </c>
      <c r="D344" s="21"/>
      <c r="E344" s="22"/>
      <c r="F344" s="21" t="s">
        <v>1743</v>
      </c>
      <c r="G344" s="29" t="s">
        <v>1744</v>
      </c>
      <c r="H344" s="20" t="str">
        <f>SUBSTITUTE(SUBSTITUTE(SUBSTITUTE(S344,"/@","_"),"/cac:","_"),"/cbc:","_")</f>
        <v>Invoice_InvoiceLine_TaxTotal_TaxSubtotal_TaxableAmount_currencyID</v>
      </c>
      <c r="I344" s="20" t="str">
        <f>SUBSTITUTE(SUBSTITUTE(SUBSTITUTE(T344,"/@","_"),"/cac:","_"),"/cbc:","_")</f>
        <v/>
      </c>
      <c r="J344" s="25" t="s">
        <v>1055</v>
      </c>
      <c r="K344" s="25" t="s">
        <v>1745</v>
      </c>
      <c r="L344" s="25" t="s">
        <v>1674</v>
      </c>
      <c r="M344" s="25" t="s">
        <v>1661</v>
      </c>
      <c r="N344" s="27"/>
      <c r="O344" s="25" t="s">
        <v>64</v>
      </c>
      <c r="P344" s="27" t="s">
        <v>3016</v>
      </c>
      <c r="Q344" s="26" t="str">
        <f>IF(S344="","",LEN(S344)-LEN(SUBSTITUTE(S344,"/",""))+IF(ISNUMBER(SEARCH("@",S344)),0,1))</f>
        <v>5</v>
      </c>
      <c r="R344" s="42" t="s">
        <v>3084</v>
      </c>
      <c r="S344" s="26" t="s">
        <v>1746</v>
      </c>
      <c r="T344" s="20"/>
      <c r="U344" s="20"/>
      <c r="V344" s="20"/>
      <c r="W344" s="25" t="s">
        <v>993</v>
      </c>
      <c r="X344" s="46"/>
      <c r="Y344" s="20"/>
      <c r="Z344" s="20"/>
      <c r="AA344" s="25" t="s">
        <v>68</v>
      </c>
      <c r="AB344" s="20" t="str">
        <f>IF(ISBLANK(S344),"是","否")</f>
        <v>否</v>
      </c>
      <c r="AC344" s="20"/>
      <c r="AD344" s="25"/>
      <c r="AE344" s="25"/>
      <c r="AH344" s="20" t="s">
        <v>76</v>
      </c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</row>
    <row r="345" ht="39.879699248120296" customHeight="1" spans="1:57" x14ac:dyDescent="0.25">
      <c r="A345" s="25" t="s">
        <v>1663</v>
      </c>
      <c r="B345" s="19" t="s">
        <v>1038</v>
      </c>
      <c r="C345" s="20" t="s">
        <v>57</v>
      </c>
      <c r="D345" s="21"/>
      <c r="E345" s="22"/>
      <c r="F345" s="21" t="s">
        <v>1059</v>
      </c>
      <c r="G345" s="29" t="s">
        <v>1747</v>
      </c>
      <c r="H345" s="20" t="str">
        <f>SUBSTITUTE(SUBSTITUTE(SUBSTITUTE(S345,"/@","_"),"/cac:","_"),"/cbc:","_")</f>
        <v>Invoice_InvoiceLine_TaxTotal_TaxSubtotal_TaxAmount</v>
      </c>
      <c r="I345" s="20" t="str">
        <f>SUBSTITUTE(SUBSTITUTE(SUBSTITUTE(T345,"/@","_"),"/cac:","_"),"/cbc:","_")</f>
        <v/>
      </c>
      <c r="J345" s="25" t="s">
        <v>1748</v>
      </c>
      <c r="K345" s="25" t="s">
        <v>1749</v>
      </c>
      <c r="L345" s="25" t="s">
        <v>1750</v>
      </c>
      <c r="M345" s="25" t="s">
        <v>1000</v>
      </c>
      <c r="N345" s="27"/>
      <c r="O345" s="25">
        <v>1</v>
      </c>
      <c r="P345" s="27" t="s">
        <v>3016</v>
      </c>
      <c r="Q345" s="26" t="str">
        <f>IF(S345="","",LEN(S345)-LEN(SUBSTITUTE(S345,"/",""))+IF(ISNUMBER(SEARCH("@",S345)),0,1))</f>
        <v>5</v>
      </c>
      <c r="R345" s="42" t="s">
        <v>3085</v>
      </c>
      <c r="S345" s="26" t="s">
        <v>1751</v>
      </c>
      <c r="T345" s="20"/>
      <c r="U345" s="20"/>
      <c r="V345" s="20"/>
      <c r="W345" s="25">
        <v>6.5</v>
      </c>
      <c r="X345" s="46"/>
      <c r="Y345" s="20"/>
      <c r="Z345" s="20"/>
      <c r="AA345" s="25" t="s">
        <v>68</v>
      </c>
      <c r="AB345" s="20" t="str">
        <f>IF(ISBLANK(S345),"是","否")</f>
        <v>否</v>
      </c>
      <c r="AC345" s="20"/>
      <c r="AD345" s="25"/>
      <c r="AE345" s="25"/>
      <c r="AH345" s="20" t="s">
        <v>76</v>
      </c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</row>
    <row r="346" ht="39.879699248120296" customHeight="1" spans="1:57" x14ac:dyDescent="0.25">
      <c r="A346" s="25" t="s">
        <v>1663</v>
      </c>
      <c r="B346" s="19" t="s">
        <v>1038</v>
      </c>
      <c r="C346" s="20" t="s">
        <v>57</v>
      </c>
      <c r="D346" s="21"/>
      <c r="E346" s="22"/>
      <c r="F346" s="21" t="s">
        <v>1066</v>
      </c>
      <c r="G346" s="29" t="s">
        <v>1752</v>
      </c>
      <c r="H346" s="20" t="str">
        <f>SUBSTITUTE(SUBSTITUTE(SUBSTITUTE(S346,"/@","_"),"/cac:","_"),"/cbc:","_")</f>
        <v>Invoice_InvoiceLine_TaxTotal_TaxSubtotal_TaxAmount_currencyID</v>
      </c>
      <c r="I346" s="20" t="str">
        <f>SUBSTITUTE(SUBSTITUTE(SUBSTITUTE(T346,"/@","_"),"/cac:","_"),"/cbc:","_")</f>
        <v/>
      </c>
      <c r="J346" s="25" t="s">
        <v>1055</v>
      </c>
      <c r="K346" s="25" t="s">
        <v>1753</v>
      </c>
      <c r="L346" s="25" t="s">
        <v>1674</v>
      </c>
      <c r="M346" s="25" t="s">
        <v>1661</v>
      </c>
      <c r="N346" s="27"/>
      <c r="O346" s="25" t="s">
        <v>64</v>
      </c>
      <c r="P346" s="27" t="s">
        <v>3016</v>
      </c>
      <c r="Q346" s="26" t="str">
        <f>IF(S346="","",LEN(S346)-LEN(SUBSTITUTE(S346,"/",""))+IF(ISNUMBER(SEARCH("@",S346)),0,1))</f>
        <v>5</v>
      </c>
      <c r="R346" s="42" t="s">
        <v>3086</v>
      </c>
      <c r="S346" s="26" t="s">
        <v>1754</v>
      </c>
      <c r="T346" s="20"/>
      <c r="U346" s="20"/>
      <c r="V346" s="20"/>
      <c r="W346" s="25" t="s">
        <v>993</v>
      </c>
      <c r="X346" s="46"/>
      <c r="Y346" s="20"/>
      <c r="Z346" s="20"/>
      <c r="AA346" s="25" t="s">
        <v>68</v>
      </c>
      <c r="AB346" s="20" t="str">
        <f>IF(ISBLANK(S346),"是","否")</f>
        <v>否</v>
      </c>
      <c r="AC346" s="20"/>
      <c r="AD346" s="25"/>
      <c r="AE346" s="25"/>
      <c r="AH346" s="20" t="s">
        <v>76</v>
      </c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</row>
    <row r="347" ht="29.59398496240601" customHeight="1" spans="1:57" x14ac:dyDescent="0.25">
      <c r="A347" s="25" t="s">
        <v>1663</v>
      </c>
      <c r="B347" s="19" t="s">
        <v>1071</v>
      </c>
      <c r="C347" s="20" t="s">
        <v>57</v>
      </c>
      <c r="D347" s="21"/>
      <c r="E347" s="22"/>
      <c r="F347" s="21" t="s">
        <v>1072</v>
      </c>
      <c r="G347" s="29" t="s">
        <v>1755</v>
      </c>
      <c r="H347" s="20" t="str">
        <f>SUBSTITUTE(SUBSTITUTE(SUBSTITUTE(S347,"/@","_"),"/cac:","_"),"/cbc:","_")</f>
        <v>Invoice_InvoiceLine_TaxTotal_TaxSubtotal_TaxCategory_ID</v>
      </c>
      <c r="I347" s="20" t="str">
        <f>SUBSTITUTE(SUBSTITUTE(SUBSTITUTE(T347,"/@","_"),"/cac:","_"),"/cbc:","_")</f>
        <v/>
      </c>
      <c r="J347" s="25" t="s">
        <v>1756</v>
      </c>
      <c r="K347" s="25" t="s">
        <v>1757</v>
      </c>
      <c r="L347" s="25" t="s">
        <v>1077</v>
      </c>
      <c r="M347" s="25" t="s">
        <v>1661</v>
      </c>
      <c r="N347" s="27"/>
      <c r="O347" s="25">
        <v>1</v>
      </c>
      <c r="P347" s="27" t="s">
        <v>3016</v>
      </c>
      <c r="Q347" s="26" t="str">
        <f>IF(S347="","",LEN(S347)-LEN(SUBSTITUTE(S347,"/",""))+IF(ISNUMBER(SEARCH("@",S347)),0,1))</f>
        <v>6</v>
      </c>
      <c r="R347" s="42" t="s">
        <v>3087</v>
      </c>
      <c r="S347" s="26" t="s">
        <v>1758</v>
      </c>
      <c r="T347" s="20"/>
      <c r="U347" s="20"/>
      <c r="V347" s="20"/>
      <c r="W347" s="25" t="s">
        <v>1079</v>
      </c>
      <c r="X347" s="46"/>
      <c r="Y347" s="20"/>
      <c r="Z347" s="20"/>
      <c r="AA347" s="25" t="s">
        <v>68</v>
      </c>
      <c r="AB347" s="20" t="str">
        <f>IF(ISBLANK(S347),"是","否")</f>
        <v>否</v>
      </c>
      <c r="AC347" s="20"/>
      <c r="AD347" s="25"/>
      <c r="AE347" s="25"/>
      <c r="AH347" s="20" t="s">
        <v>76</v>
      </c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</row>
    <row r="348" ht="39.879699248120296" customHeight="1" spans="1:57" x14ac:dyDescent="0.25">
      <c r="A348" s="25" t="s">
        <v>1663</v>
      </c>
      <c r="B348" s="19" t="s">
        <v>1071</v>
      </c>
      <c r="C348" s="20" t="s">
        <v>57</v>
      </c>
      <c r="D348" s="21"/>
      <c r="E348" s="22"/>
      <c r="F348" s="21" t="s">
        <v>1080</v>
      </c>
      <c r="G348" s="29" t="s">
        <v>1759</v>
      </c>
      <c r="H348" s="20" t="str">
        <f>SUBSTITUTE(SUBSTITUTE(SUBSTITUTE(S348,"/@","_"),"/cac:","_"),"/cbc:","_")</f>
        <v>Invoice_InvoiceLine_TaxTotal_TaxSubtotal_TaxCategory_Percent</v>
      </c>
      <c r="I348" s="20" t="str">
        <f>SUBSTITUTE(SUBSTITUTE(SUBSTITUTE(T348,"/@","_"),"/cac:","_"),"/cbc:","_")</f>
        <v/>
      </c>
      <c r="J348" s="25" t="s">
        <v>1083</v>
      </c>
      <c r="K348" s="25" t="s">
        <v>1084</v>
      </c>
      <c r="L348" s="25" t="s">
        <v>1242</v>
      </c>
      <c r="M348" s="25" t="s">
        <v>1000</v>
      </c>
      <c r="N348" s="27"/>
      <c r="O348" s="25" t="s">
        <v>64</v>
      </c>
      <c r="P348" s="27" t="s">
        <v>3016</v>
      </c>
      <c r="Q348" s="26" t="str">
        <f>IF(S348="","",LEN(S348)-LEN(SUBSTITUTE(S348,"/",""))+IF(ISNUMBER(SEARCH("@",S348)),0,1))</f>
        <v>6</v>
      </c>
      <c r="R348" s="42" t="s">
        <v>3088</v>
      </c>
      <c r="S348" s="26" t="s">
        <v>1760</v>
      </c>
      <c r="T348" s="20"/>
      <c r="U348" s="20"/>
      <c r="V348" s="20"/>
      <c r="W348" s="25">
        <v>13</v>
      </c>
      <c r="X348" s="46"/>
      <c r="Y348" s="20"/>
      <c r="Z348" s="20"/>
      <c r="AA348" s="25" t="s">
        <v>68</v>
      </c>
      <c r="AB348" s="20" t="str">
        <f>IF(ISBLANK(S348),"是","否")</f>
        <v>否</v>
      </c>
      <c r="AC348" s="20"/>
      <c r="AD348" s="25"/>
      <c r="AE348" s="25"/>
      <c r="AH348" s="20" t="s">
        <v>76</v>
      </c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</row>
    <row r="349" ht="50.16541353383458" customHeight="1" spans="1:57" x14ac:dyDescent="0.25">
      <c r="A349" s="25" t="s">
        <v>1663</v>
      </c>
      <c r="B349" s="19" t="s">
        <v>1071</v>
      </c>
      <c r="C349" s="20" t="s">
        <v>57</v>
      </c>
      <c r="D349" s="21"/>
      <c r="E349" s="22"/>
      <c r="F349" s="21" t="s">
        <v>1088</v>
      </c>
      <c r="G349" s="29" t="s">
        <v>1761</v>
      </c>
      <c r="H349" s="20" t="str">
        <f>SUBSTITUTE(SUBSTITUTE(SUBSTITUTE(S349,"/@","_"),"/cac:","_"),"/cbc:","_")</f>
        <v>Invoice_InvoiceLine_TaxTotal_TaxSubtotal_TaxCategory_TaxExemptionReasonCode</v>
      </c>
      <c r="I349" s="20" t="str">
        <f>SUBSTITUTE(SUBSTITUTE(SUBSTITUTE(T349,"/@","_"),"/cac:","_"),"/cbc:","_")</f>
        <v/>
      </c>
      <c r="J349" s="25" t="s">
        <v>1091</v>
      </c>
      <c r="K349" s="25" t="s">
        <v>1246</v>
      </c>
      <c r="L349" s="25" t="s">
        <v>1524</v>
      </c>
      <c r="M349" s="25" t="s">
        <v>1661</v>
      </c>
      <c r="N349" s="27"/>
      <c r="O349" s="25" t="s">
        <v>64</v>
      </c>
      <c r="P349" s="27" t="s">
        <v>3016</v>
      </c>
      <c r="Q349" s="26" t="str">
        <f>IF(S349="","",LEN(S349)-LEN(SUBSTITUTE(S349,"/",""))+IF(ISNUMBER(SEARCH("@",S349)),0,1))</f>
        <v>6</v>
      </c>
      <c r="R349" s="42" t="s">
        <v>3089</v>
      </c>
      <c r="S349" s="26" t="s">
        <v>1763</v>
      </c>
      <c r="T349" s="20"/>
      <c r="U349" s="20"/>
      <c r="V349" s="20"/>
      <c r="W349" s="25" t="s">
        <v>1095</v>
      </c>
      <c r="X349" s="46"/>
      <c r="Y349" s="20"/>
      <c r="Z349" s="20"/>
      <c r="AA349" s="25" t="s">
        <v>68</v>
      </c>
      <c r="AB349" s="20" t="str">
        <f>IF(ISBLANK(S349),"是","否")</f>
        <v>否</v>
      </c>
      <c r="AC349" s="20"/>
      <c r="AD349" s="25"/>
      <c r="AE349" s="25"/>
      <c r="AH349" s="20" t="s">
        <v>76</v>
      </c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</row>
    <row r="350" ht="50.16541353383458" customHeight="1" spans="1:57" x14ac:dyDescent="0.25">
      <c r="A350" s="25" t="s">
        <v>1663</v>
      </c>
      <c r="B350" s="19" t="s">
        <v>1071</v>
      </c>
      <c r="C350" s="20" t="s">
        <v>57</v>
      </c>
      <c r="D350" s="21"/>
      <c r="E350" s="22"/>
      <c r="F350" s="21" t="s">
        <v>1096</v>
      </c>
      <c r="G350" s="29" t="s">
        <v>1764</v>
      </c>
      <c r="H350" s="20" t="str">
        <f>SUBSTITUTE(SUBSTITUTE(SUBSTITUTE(S350,"/@","_"),"/cac:","_"),"/cbc:","_")</f>
        <v>Invoice_InvoiceLine_TaxTotal_TaxSubtotal_TaxCategory_TaxExemptionReason</v>
      </c>
      <c r="I350" s="20" t="str">
        <f>SUBSTITUTE(SUBSTITUTE(SUBSTITUTE(T350,"/@","_"),"/cac:","_"),"/cbc:","_")</f>
        <v/>
      </c>
      <c r="J350" s="25" t="s">
        <v>1766</v>
      </c>
      <c r="K350" s="25" t="s">
        <v>1767</v>
      </c>
      <c r="L350" s="25" t="s">
        <v>1768</v>
      </c>
      <c r="M350" s="25" t="s">
        <v>228</v>
      </c>
      <c r="N350" s="27"/>
      <c r="O350" s="25" t="s">
        <v>64</v>
      </c>
      <c r="P350" s="27" t="s">
        <v>3016</v>
      </c>
      <c r="Q350" s="26" t="str">
        <f>IF(S350="","",LEN(S350)-LEN(SUBSTITUTE(S350,"/",""))+IF(ISNUMBER(SEARCH("@",S350)),0,1))</f>
        <v>6</v>
      </c>
      <c r="R350" s="42" t="s">
        <v>3090</v>
      </c>
      <c r="S350" s="26" t="s">
        <v>1769</v>
      </c>
      <c r="T350" s="20"/>
      <c r="U350" s="20"/>
      <c r="V350" s="20"/>
      <c r="W350" s="25" t="s">
        <v>1770</v>
      </c>
      <c r="X350" s="46"/>
      <c r="Y350" s="20"/>
      <c r="Z350" s="20"/>
      <c r="AA350" s="25" t="s">
        <v>68</v>
      </c>
      <c r="AB350" s="20" t="str">
        <f>IF(ISBLANK(S350),"是","否")</f>
        <v>否</v>
      </c>
      <c r="AC350" s="20"/>
      <c r="AD350" s="25"/>
      <c r="AE350" s="25"/>
      <c r="AH350" s="20" t="s">
        <v>76</v>
      </c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</row>
    <row r="351" ht="39.879699248120296" customHeight="1" spans="1:57" x14ac:dyDescent="0.25">
      <c r="A351" s="25" t="s">
        <v>1663</v>
      </c>
      <c r="B351" s="19" t="s">
        <v>349</v>
      </c>
      <c r="C351" s="20" t="s">
        <v>57</v>
      </c>
      <c r="D351" s="21"/>
      <c r="E351" s="22"/>
      <c r="F351" s="21" t="s">
        <v>1104</v>
      </c>
      <c r="G351" s="29" t="s">
        <v>1771</v>
      </c>
      <c r="H351" s="20" t="str">
        <f>SUBSTITUTE(SUBSTITUTE(SUBSTITUTE(S351,"/@","_"),"/cac:","_"),"/cbc:","_")</f>
        <v>Invoice_InvoiceLine_TaxTotal_TaxSubtotal_TaxCategory_TaxScheme_ID</v>
      </c>
      <c r="I351" s="20" t="str">
        <f>SUBSTITUTE(SUBSTITUTE(SUBSTITUTE(T351,"/@","_"),"/cac:","_"),"/cbc:","_")</f>
        <v/>
      </c>
      <c r="J351" s="25" t="s">
        <v>1772</v>
      </c>
      <c r="K351" s="25" t="s">
        <v>1773</v>
      </c>
      <c r="L351" s="25" t="s">
        <v>1774</v>
      </c>
      <c r="M351" s="25" t="s">
        <v>1661</v>
      </c>
      <c r="N351" s="27"/>
      <c r="O351" s="25" t="s">
        <v>64</v>
      </c>
      <c r="P351" s="27" t="s">
        <v>3016</v>
      </c>
      <c r="Q351" s="26" t="str">
        <f>IF(S351="","",LEN(S351)-LEN(SUBSTITUTE(S351,"/",""))+IF(ISNUMBER(SEARCH("@",S351)),0,1))</f>
        <v>7</v>
      </c>
      <c r="R351" s="42" t="s">
        <v>3091</v>
      </c>
      <c r="S351" s="26" t="s">
        <v>1775</v>
      </c>
      <c r="T351" s="20"/>
      <c r="U351" s="20"/>
      <c r="V351" s="20"/>
      <c r="W351" s="25" t="s">
        <v>791</v>
      </c>
      <c r="X351" s="46"/>
      <c r="Y351" s="20"/>
      <c r="Z351" s="20"/>
      <c r="AA351" s="25" t="s">
        <v>68</v>
      </c>
      <c r="AB351" s="20" t="str">
        <f>IF(ISBLANK(S351),"是","否")</f>
        <v>否</v>
      </c>
      <c r="AC351" s="20"/>
      <c r="AD351" s="25"/>
      <c r="AE351" s="25"/>
      <c r="AH351" s="20" t="s">
        <v>76</v>
      </c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</row>
    <row r="352" ht="29.59398496240601" customHeight="1" spans="1:57" x14ac:dyDescent="0.25">
      <c r="A352" s="25" t="s">
        <v>1663</v>
      </c>
      <c r="B352" s="19" t="s">
        <v>1306</v>
      </c>
      <c r="C352" s="20" t="s">
        <v>57</v>
      </c>
      <c r="D352" s="21"/>
      <c r="E352" s="22"/>
      <c r="F352" s="21" t="s">
        <v>1118</v>
      </c>
      <c r="G352" s="29" t="s">
        <v>1776</v>
      </c>
      <c r="H352" s="20" t="str">
        <f>SUBSTITUTE(SUBSTITUTE(SUBSTITUTE(S352,"/@","_"),"/cac:","_"),"/cbc:","_")</f>
        <v>Invoice_InvoiceLine_WithholdingTaxTotal</v>
      </c>
      <c r="I352" s="20" t="str">
        <f>SUBSTITUTE(SUBSTITUTE(SUBSTITUTE(T352,"/@","_"),"/cac:","_"),"/cbc:","_")</f>
        <v/>
      </c>
      <c r="J352" s="25" t="s">
        <v>1777</v>
      </c>
      <c r="K352" s="25" t="s">
        <v>1778</v>
      </c>
      <c r="L352" s="25" t="s">
        <v>1779</v>
      </c>
      <c r="M352" s="25" t="s">
        <v>220</v>
      </c>
      <c r="N352" s="27"/>
      <c r="O352" s="25" t="s">
        <v>49</v>
      </c>
      <c r="P352" s="27" t="s">
        <v>50</v>
      </c>
      <c r="Q352" s="26" t="str">
        <f>IF(S352="","",LEN(S352)-LEN(SUBSTITUTE(S352,"/",""))+IF(ISNUMBER(SEARCH("@",S352)),0,1))</f>
        <v>3</v>
      </c>
      <c r="R352" s="42" t="s">
        <v>3092</v>
      </c>
      <c r="S352" s="26" t="s">
        <v>1780</v>
      </c>
      <c r="T352" s="20"/>
      <c r="U352" s="20"/>
      <c r="V352" s="20"/>
      <c r="W352" s="25" t="s">
        <v>681</v>
      </c>
      <c r="X352" s="46"/>
      <c r="Y352" s="20"/>
      <c r="Z352" s="20"/>
      <c r="AA352" s="25" t="s">
        <v>222</v>
      </c>
      <c r="AB352" s="20" t="str">
        <f>IF(ISBLANK(S352),"是","否")</f>
        <v>否</v>
      </c>
      <c r="AC352" s="20"/>
      <c r="AD352" s="25"/>
      <c r="AE352" s="25"/>
      <c r="AH352" s="20" t="s">
        <v>76</v>
      </c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</row>
    <row r="353" ht="29.59398496240601" customHeight="1" spans="1:57" x14ac:dyDescent="0.25">
      <c r="A353" s="25" t="s">
        <v>1663</v>
      </c>
      <c r="B353" s="19" t="s">
        <v>109</v>
      </c>
      <c r="C353" s="20" t="s">
        <v>57</v>
      </c>
      <c r="D353" s="21"/>
      <c r="E353" s="22"/>
      <c r="F353" s="21" t="s">
        <v>1026</v>
      </c>
      <c r="G353" s="29" t="s">
        <v>1781</v>
      </c>
      <c r="H353" s="20" t="str">
        <f>SUBSTITUTE(SUBSTITUTE(SUBSTITUTE(S353,"/@","_"),"/cac:","_"),"/cbc:","_")</f>
        <v>Invoice_InvoiceLine_WithholdingTaxTotal_TaxAmount</v>
      </c>
      <c r="I353" s="20" t="str">
        <f>SUBSTITUTE(SUBSTITUTE(SUBSTITUTE(T353,"/@","_"),"/cac:","_"),"/cbc:","_")</f>
        <v/>
      </c>
      <c r="J353" s="25" t="s">
        <v>1783</v>
      </c>
      <c r="K353" s="25" t="s">
        <v>1784</v>
      </c>
      <c r="L353" s="25" t="s">
        <v>1139</v>
      </c>
      <c r="M353" s="25" t="s">
        <v>1000</v>
      </c>
      <c r="N353" s="27"/>
      <c r="O353" s="25">
        <v>1</v>
      </c>
      <c r="P353" s="27" t="s">
        <v>3015</v>
      </c>
      <c r="Q353" s="26" t="str">
        <f>IF(S353="","",LEN(S353)-LEN(SUBSTITUTE(S353,"/",""))+IF(ISNUMBER(SEARCH("@",S353)),0,1))</f>
        <v>4</v>
      </c>
      <c r="R353" s="42" t="s">
        <v>3093</v>
      </c>
      <c r="S353" s="26" t="s">
        <v>1785</v>
      </c>
      <c r="T353" s="20"/>
      <c r="U353" s="20"/>
      <c r="V353" s="20"/>
      <c r="W353" s="25">
        <v>5</v>
      </c>
      <c r="X353" s="46"/>
      <c r="Y353" s="20"/>
      <c r="Z353" s="20"/>
      <c r="AA353" s="25" t="s">
        <v>68</v>
      </c>
      <c r="AB353" s="20" t="str">
        <f>IF(ISBLANK(S353),"是","否")</f>
        <v>否</v>
      </c>
      <c r="AC353" s="20"/>
      <c r="AD353" s="25"/>
      <c r="AE353" s="25"/>
      <c r="AH353" s="20" t="s">
        <v>76</v>
      </c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</row>
    <row r="354" ht="29.59398496240601" customHeight="1" spans="1:57" x14ac:dyDescent="0.25">
      <c r="A354" s="25" t="s">
        <v>1663</v>
      </c>
      <c r="B354" s="19" t="s">
        <v>109</v>
      </c>
      <c r="C354" s="20" t="s">
        <v>57</v>
      </c>
      <c r="D354" s="21"/>
      <c r="E354" s="22"/>
      <c r="F354" s="21" t="s">
        <v>1031</v>
      </c>
      <c r="G354" s="29" t="s">
        <v>1786</v>
      </c>
      <c r="H354" s="20" t="str">
        <f>SUBSTITUTE(SUBSTITUTE(SUBSTITUTE(S354,"/@","_"),"/cac:","_"),"/cbc:","_")</f>
        <v>Invoice_InvoiceLine_WithholdingTaxTotal_TaxAmount_currencyID</v>
      </c>
      <c r="I354" s="20" t="str">
        <f>SUBSTITUTE(SUBSTITUTE(SUBSTITUTE(T354,"/@","_"),"/cac:","_"),"/cbc:","_")</f>
        <v/>
      </c>
      <c r="J354" s="25" t="s">
        <v>1055</v>
      </c>
      <c r="K354" s="25" t="s">
        <v>1788</v>
      </c>
      <c r="L354" s="25" t="s">
        <v>1674</v>
      </c>
      <c r="M354" s="25" t="s">
        <v>1661</v>
      </c>
      <c r="N354" s="27"/>
      <c r="O354" s="25" t="s">
        <v>64</v>
      </c>
      <c r="P354" s="27" t="s">
        <v>3015</v>
      </c>
      <c r="Q354" s="26" t="str">
        <f>IF(S354="","",LEN(S354)-LEN(SUBSTITUTE(S354,"/",""))+IF(ISNUMBER(SEARCH("@",S354)),0,1))</f>
        <v>4</v>
      </c>
      <c r="R354" s="42" t="s">
        <v>3094</v>
      </c>
      <c r="S354" s="26" t="s">
        <v>1789</v>
      </c>
      <c r="T354" s="20"/>
      <c r="U354" s="20"/>
      <c r="V354" s="20"/>
      <c r="W354" s="25" t="s">
        <v>993</v>
      </c>
      <c r="X354" s="46"/>
      <c r="Y354" s="20"/>
      <c r="Z354" s="20"/>
      <c r="AA354" s="25" t="s">
        <v>68</v>
      </c>
      <c r="AB354" s="20" t="str">
        <f>IF(ISBLANK(S354),"是","否")</f>
        <v>否</v>
      </c>
      <c r="AC354" s="20"/>
      <c r="AD354" s="25"/>
      <c r="AE354" s="25"/>
      <c r="AH354" s="20" t="s">
        <v>76</v>
      </c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</row>
    <row r="355" ht="39.879699248120296" customHeight="1" spans="1:57" x14ac:dyDescent="0.25">
      <c r="A355" s="25" t="s">
        <v>1663</v>
      </c>
      <c r="B355" s="19" t="s">
        <v>1038</v>
      </c>
      <c r="C355" s="20" t="s">
        <v>57</v>
      </c>
      <c r="D355" s="21"/>
      <c r="E355" s="22"/>
      <c r="F355" s="21" t="s">
        <v>1134</v>
      </c>
      <c r="G355" s="29" t="s">
        <v>1790</v>
      </c>
      <c r="H355" s="20" t="str">
        <f>SUBSTITUTE(SUBSTITUTE(SUBSTITUTE(S355,"/@","_"),"/cac:","_"),"/cbc:","_")</f>
        <v>Invoice_InvoiceLine_WithholdingTaxTotal_TaxSubtotal_TaxableAmount</v>
      </c>
      <c r="I355" s="20" t="str">
        <f>SUBSTITUTE(SUBSTITUTE(SUBSTITUTE(T355,"/@","_"),"/cac:","_"),"/cbc:","_")</f>
        <v/>
      </c>
      <c r="J355" s="25" t="s">
        <v>1792</v>
      </c>
      <c r="K355" s="25" t="s">
        <v>1138</v>
      </c>
      <c r="L355" s="25" t="s">
        <v>1139</v>
      </c>
      <c r="M355" s="25" t="s">
        <v>1000</v>
      </c>
      <c r="N355" s="27"/>
      <c r="O355" s="25">
        <v>1</v>
      </c>
      <c r="P355" s="27" t="s">
        <v>3015</v>
      </c>
      <c r="Q355" s="26" t="str">
        <f>IF(S355="","",LEN(S355)-LEN(SUBSTITUTE(S355,"/",""))+IF(ISNUMBER(SEARCH("@",S355)),0,1))</f>
        <v>5</v>
      </c>
      <c r="R355" s="42" t="s">
        <v>3095</v>
      </c>
      <c r="S355" s="26" t="s">
        <v>1793</v>
      </c>
      <c r="T355" s="20"/>
      <c r="U355" s="20"/>
      <c r="V355" s="20"/>
      <c r="W355" s="25">
        <v>50</v>
      </c>
      <c r="X355" s="46"/>
      <c r="Y355" s="20"/>
      <c r="Z355" s="20"/>
      <c r="AA355" s="25" t="s">
        <v>68</v>
      </c>
      <c r="AB355" s="20" t="str">
        <f>IF(ISBLANK(S355),"是","否")</f>
        <v>否</v>
      </c>
      <c r="AC355" s="20"/>
      <c r="AD355" s="25"/>
      <c r="AE355" s="25"/>
      <c r="AH355" s="20" t="s">
        <v>76</v>
      </c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</row>
    <row r="356" ht="39.879699248120296" customHeight="1" spans="1:57" x14ac:dyDescent="0.25">
      <c r="A356" s="25" t="s">
        <v>1663</v>
      </c>
      <c r="B356" s="19" t="s">
        <v>1038</v>
      </c>
      <c r="C356" s="20" t="s">
        <v>57</v>
      </c>
      <c r="D356" s="21"/>
      <c r="E356" s="22"/>
      <c r="F356" s="21" t="s">
        <v>1743</v>
      </c>
      <c r="G356" s="29" t="s">
        <v>1794</v>
      </c>
      <c r="H356" s="20" t="str">
        <f>SUBSTITUTE(SUBSTITUTE(SUBSTITUTE(S356,"/@","_"),"/cac:","_"),"/cbc:","_")</f>
        <v>Invoice_InvoiceLine_WithholdingTaxTotal_TaxSubtotal_TaxableAmount_currencyID</v>
      </c>
      <c r="I356" s="20" t="str">
        <f>SUBSTITUTE(SUBSTITUTE(SUBSTITUTE(T356,"/@","_"),"/cac:","_"),"/cbc:","_")</f>
        <v/>
      </c>
      <c r="J356" s="25" t="s">
        <v>1055</v>
      </c>
      <c r="K356" s="25" t="s">
        <v>1796</v>
      </c>
      <c r="L356" s="25" t="s">
        <v>1674</v>
      </c>
      <c r="M356" s="25" t="s">
        <v>1661</v>
      </c>
      <c r="N356" s="27"/>
      <c r="O356" s="25" t="s">
        <v>64</v>
      </c>
      <c r="P356" s="27" t="s">
        <v>3015</v>
      </c>
      <c r="Q356" s="26" t="str">
        <f>IF(S356="","",LEN(S356)-LEN(SUBSTITUTE(S356,"/",""))+IF(ISNUMBER(SEARCH("@",S356)),0,1))</f>
        <v>5</v>
      </c>
      <c r="R356" s="42" t="s">
        <v>3096</v>
      </c>
      <c r="S356" s="26" t="s">
        <v>1797</v>
      </c>
      <c r="T356" s="20"/>
      <c r="U356" s="20"/>
      <c r="V356" s="20"/>
      <c r="W356" s="25" t="s">
        <v>993</v>
      </c>
      <c r="X356" s="46"/>
      <c r="Y356" s="20"/>
      <c r="Z356" s="20"/>
      <c r="AA356" s="25" t="s">
        <v>68</v>
      </c>
      <c r="AB356" s="20" t="str">
        <f>IF(ISBLANK(S356),"是","否")</f>
        <v>否</v>
      </c>
      <c r="AC356" s="20"/>
      <c r="AD356" s="25"/>
      <c r="AE356" s="25"/>
      <c r="AH356" s="20" t="s">
        <v>76</v>
      </c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</row>
    <row r="357" ht="29.59398496240601" customHeight="1" spans="1:57" x14ac:dyDescent="0.25">
      <c r="A357" s="25" t="s">
        <v>1663</v>
      </c>
      <c r="B357" s="19" t="s">
        <v>1038</v>
      </c>
      <c r="C357" s="20" t="s">
        <v>57</v>
      </c>
      <c r="D357" s="21"/>
      <c r="E357" s="22"/>
      <c r="F357" s="21" t="s">
        <v>1059</v>
      </c>
      <c r="G357" s="29" t="s">
        <v>1798</v>
      </c>
      <c r="H357" s="20" t="str">
        <f>SUBSTITUTE(SUBSTITUTE(SUBSTITUTE(S357,"/@","_"),"/cac:","_"),"/cbc:","_")</f>
        <v>Invoice_InvoiceLine_WithholdingTaxTotal_TaxSubtotal_TaxAmount</v>
      </c>
      <c r="I357" s="20" t="str">
        <f>SUBSTITUTE(SUBSTITUTE(SUBSTITUTE(T357,"/@","_"),"/cac:","_"),"/cbc:","_")</f>
        <v/>
      </c>
      <c r="J357" s="25" t="s">
        <v>1799</v>
      </c>
      <c r="K357" s="25" t="s">
        <v>1800</v>
      </c>
      <c r="L357" s="25" t="s">
        <v>1139</v>
      </c>
      <c r="M357" s="25" t="s">
        <v>1000</v>
      </c>
      <c r="N357" s="27"/>
      <c r="O357" s="25">
        <v>1</v>
      </c>
      <c r="P357" s="27" t="s">
        <v>3015</v>
      </c>
      <c r="Q357" s="26" t="str">
        <f>IF(S357="","",LEN(S357)-LEN(SUBSTITUTE(S357,"/",""))+IF(ISNUMBER(SEARCH("@",S357)),0,1))</f>
        <v>5</v>
      </c>
      <c r="R357" s="42" t="s">
        <v>3097</v>
      </c>
      <c r="S357" s="26" t="s">
        <v>1801</v>
      </c>
      <c r="T357" s="20"/>
      <c r="U357" s="20"/>
      <c r="V357" s="20"/>
      <c r="W357" s="25">
        <v>5</v>
      </c>
      <c r="X357" s="46"/>
      <c r="Y357" s="20"/>
      <c r="Z357" s="20"/>
      <c r="AA357" s="25" t="s">
        <v>68</v>
      </c>
      <c r="AB357" s="20" t="str">
        <f>IF(ISBLANK(S357),"是","否")</f>
        <v>否</v>
      </c>
      <c r="AC357" s="20"/>
      <c r="AD357" s="25"/>
      <c r="AE357" s="25"/>
      <c r="AH357" s="20" t="s">
        <v>76</v>
      </c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</row>
    <row r="358" ht="39.879699248120296" customHeight="1" spans="1:57" x14ac:dyDescent="0.25">
      <c r="A358" s="25" t="s">
        <v>1663</v>
      </c>
      <c r="B358" s="19" t="s">
        <v>1038</v>
      </c>
      <c r="C358" s="20" t="s">
        <v>57</v>
      </c>
      <c r="D358" s="21"/>
      <c r="E358" s="22"/>
      <c r="F358" s="21" t="s">
        <v>1066</v>
      </c>
      <c r="G358" s="29" t="s">
        <v>1802</v>
      </c>
      <c r="H358" s="20" t="str">
        <f>SUBSTITUTE(SUBSTITUTE(SUBSTITUTE(S358,"/@","_"),"/cac:","_"),"/cbc:","_")</f>
        <v>Invoice_InvoiceLine_WithholdingTaxTotal_TaxSubtotal_TaxAmount_currencyID</v>
      </c>
      <c r="I358" s="20" t="str">
        <f>SUBSTITUTE(SUBSTITUTE(SUBSTITUTE(T358,"/@","_"),"/cac:","_"),"/cbc:","_")</f>
        <v/>
      </c>
      <c r="J358" s="25" t="s">
        <v>1055</v>
      </c>
      <c r="K358" s="25" t="s">
        <v>1804</v>
      </c>
      <c r="L358" s="25" t="s">
        <v>1674</v>
      </c>
      <c r="M358" s="25" t="s">
        <v>1661</v>
      </c>
      <c r="N358" s="27"/>
      <c r="O358" s="25" t="s">
        <v>64</v>
      </c>
      <c r="P358" s="27" t="s">
        <v>3015</v>
      </c>
      <c r="Q358" s="26" t="str">
        <f>IF(S358="","",LEN(S358)-LEN(SUBSTITUTE(S358,"/",""))+IF(ISNUMBER(SEARCH("@",S358)),0,1))</f>
        <v>5</v>
      </c>
      <c r="R358" s="42" t="s">
        <v>3098</v>
      </c>
      <c r="S358" s="26" t="s">
        <v>1805</v>
      </c>
      <c r="T358" s="20"/>
      <c r="U358" s="20"/>
      <c r="V358" s="20"/>
      <c r="W358" s="25" t="s">
        <v>993</v>
      </c>
      <c r="X358" s="46"/>
      <c r="Y358" s="20"/>
      <c r="Z358" s="20"/>
      <c r="AA358" s="25" t="s">
        <v>68</v>
      </c>
      <c r="AB358" s="20" t="str">
        <f>IF(ISBLANK(S358),"是","否")</f>
        <v>否</v>
      </c>
      <c r="AC358" s="20"/>
      <c r="AD358" s="25"/>
      <c r="AE358" s="25"/>
      <c r="AH358" s="20" t="s">
        <v>76</v>
      </c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</row>
    <row r="359" ht="39.879699248120296" customHeight="1" spans="1:57" x14ac:dyDescent="0.25">
      <c r="A359" s="25" t="s">
        <v>1663</v>
      </c>
      <c r="B359" s="19" t="s">
        <v>1071</v>
      </c>
      <c r="C359" s="20" t="s">
        <v>57</v>
      </c>
      <c r="D359" s="21"/>
      <c r="E359" s="22"/>
      <c r="F359" s="21" t="s">
        <v>1072</v>
      </c>
      <c r="G359" s="29" t="s">
        <v>1806</v>
      </c>
      <c r="H359" s="20" t="str">
        <f>SUBSTITUTE(SUBSTITUTE(SUBSTITUTE(S359,"/@","_"),"/cac:","_"),"/cbc:","_")</f>
        <v>Invoice_InvoiceLine_WithholdingTaxTotal_TaxSubtotal_TaxCategory_ID</v>
      </c>
      <c r="I359" s="20" t="str">
        <f>SUBSTITUTE(SUBSTITUTE(SUBSTITUTE(T359,"/@","_"),"/cac:","_"),"/cbc:","_")</f>
        <v/>
      </c>
      <c r="J359" s="25" t="s">
        <v>1808</v>
      </c>
      <c r="K359" s="25" t="s">
        <v>1809</v>
      </c>
      <c r="L359" s="25" t="s">
        <v>1810</v>
      </c>
      <c r="M359" s="25" t="s">
        <v>1661</v>
      </c>
      <c r="N359" s="27"/>
      <c r="O359" s="25">
        <v>1</v>
      </c>
      <c r="P359" s="27" t="s">
        <v>3015</v>
      </c>
      <c r="Q359" s="26" t="str">
        <f>IF(S359="","",LEN(S359)-LEN(SUBSTITUTE(S359,"/",""))+IF(ISNUMBER(SEARCH("@",S359)),0,1))</f>
        <v>6</v>
      </c>
      <c r="R359" s="42" t="s">
        <v>3099</v>
      </c>
      <c r="S359" s="26" t="s">
        <v>1811</v>
      </c>
      <c r="T359" s="20"/>
      <c r="U359" s="20"/>
      <c r="V359" s="20"/>
      <c r="W359" s="25" t="s">
        <v>1079</v>
      </c>
      <c r="X359" s="46"/>
      <c r="Y359" s="20"/>
      <c r="Z359" s="20"/>
      <c r="AA359" s="25" t="s">
        <v>68</v>
      </c>
      <c r="AB359" s="20" t="str">
        <f>IF(ISBLANK(S359),"是","否")</f>
        <v>否</v>
      </c>
      <c r="AC359" s="20"/>
      <c r="AD359" s="25"/>
      <c r="AE359" s="25"/>
      <c r="AH359" s="20" t="s">
        <v>76</v>
      </c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</row>
    <row r="360" ht="39.879699248120296" customHeight="1" spans="1:57" x14ac:dyDescent="0.25">
      <c r="A360" s="25" t="s">
        <v>1663</v>
      </c>
      <c r="B360" s="19" t="s">
        <v>1071</v>
      </c>
      <c r="C360" s="20" t="s">
        <v>57</v>
      </c>
      <c r="D360" s="21"/>
      <c r="E360" s="22"/>
      <c r="F360" s="21" t="s">
        <v>1080</v>
      </c>
      <c r="G360" s="29" t="s">
        <v>1812</v>
      </c>
      <c r="H360" s="20" t="str">
        <f>SUBSTITUTE(SUBSTITUTE(SUBSTITUTE(S360,"/@","_"),"/cac:","_"),"/cbc:","_")</f>
        <v>Invoice_InvoiceLine_WithholdingTaxTotal_TaxSubtotal_TaxCategory_Percent</v>
      </c>
      <c r="I360" s="20" t="str">
        <f>SUBSTITUTE(SUBSTITUTE(SUBSTITUTE(T360,"/@","_"),"/cac:","_"),"/cbc:","_")</f>
        <v/>
      </c>
      <c r="J360" s="25" t="s">
        <v>1813</v>
      </c>
      <c r="K360" s="25" t="s">
        <v>1154</v>
      </c>
      <c r="L360" s="25" t="s">
        <v>1814</v>
      </c>
      <c r="M360" s="25" t="s">
        <v>1000</v>
      </c>
      <c r="N360" s="27"/>
      <c r="O360" s="25" t="s">
        <v>64</v>
      </c>
      <c r="P360" s="27" t="s">
        <v>3015</v>
      </c>
      <c r="Q360" s="26" t="str">
        <f>IF(S360="","",LEN(S360)-LEN(SUBSTITUTE(S360,"/",""))+IF(ISNUMBER(SEARCH("@",S360)),0,1))</f>
        <v>6</v>
      </c>
      <c r="R360" s="42" t="s">
        <v>3100</v>
      </c>
      <c r="S360" s="26" t="s">
        <v>1815</v>
      </c>
      <c r="T360" s="20"/>
      <c r="U360" s="20"/>
      <c r="V360" s="20"/>
      <c r="W360" s="25">
        <v>10</v>
      </c>
      <c r="X360" s="46"/>
      <c r="Y360" s="20"/>
      <c r="Z360" s="20"/>
      <c r="AA360" s="25" t="s">
        <v>68</v>
      </c>
      <c r="AB360" s="20" t="str">
        <f>IF(ISBLANK(S360),"是","否")</f>
        <v>否</v>
      </c>
      <c r="AC360" s="20"/>
      <c r="AD360" s="25"/>
      <c r="AE360" s="25"/>
      <c r="AH360" s="20" t="s">
        <v>76</v>
      </c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</row>
    <row r="361" ht="50.16541353383458" customHeight="1" spans="1:57" x14ac:dyDescent="0.25">
      <c r="A361" s="25" t="s">
        <v>1663</v>
      </c>
      <c r="B361" s="19" t="s">
        <v>1071</v>
      </c>
      <c r="C361" s="20" t="s">
        <v>57</v>
      </c>
      <c r="D361" s="21"/>
      <c r="E361" s="22"/>
      <c r="F361" s="21" t="s">
        <v>1088</v>
      </c>
      <c r="G361" s="29" t="s">
        <v>1816</v>
      </c>
      <c r="H361" s="20" t="str">
        <f>SUBSTITUTE(SUBSTITUTE(SUBSTITUTE(S361,"/@","_"),"/cac:","_"),"/cbc:","_")</f>
        <v>Invoice_InvoiceLine_WithholdingTaxTotal_TaxSubtotal_TaxCategory_TaxExemptionReasonCode</v>
      </c>
      <c r="I361" s="20" t="str">
        <f>SUBSTITUTE(SUBSTITUTE(SUBSTITUTE(T361,"/@","_"),"/cac:","_"),"/cbc:","_")</f>
        <v/>
      </c>
      <c r="J361" s="25" t="s">
        <v>1817</v>
      </c>
      <c r="K361" s="25" t="s">
        <v>1818</v>
      </c>
      <c r="L361" s="25" t="s">
        <v>1248</v>
      </c>
      <c r="M361" s="25" t="s">
        <v>1661</v>
      </c>
      <c r="N361" s="27"/>
      <c r="O361" s="25" t="s">
        <v>64</v>
      </c>
      <c r="P361" s="27" t="s">
        <v>3015</v>
      </c>
      <c r="Q361" s="26" t="str">
        <f>IF(S361="","",LEN(S361)-LEN(SUBSTITUTE(S361,"/",""))+IF(ISNUMBER(SEARCH("@",S361)),0,1))</f>
        <v>6</v>
      </c>
      <c r="R361" s="42" t="s">
        <v>3101</v>
      </c>
      <c r="S361" s="26" t="s">
        <v>1819</v>
      </c>
      <c r="T361" s="20"/>
      <c r="U361" s="20"/>
      <c r="V361" s="20"/>
      <c r="W361" s="25" t="s">
        <v>681</v>
      </c>
      <c r="X361" s="46"/>
      <c r="Y361" s="20"/>
      <c r="Z361" s="20"/>
      <c r="AA361" s="25" t="s">
        <v>68</v>
      </c>
      <c r="AB361" s="20" t="str">
        <f>IF(ISBLANK(S361),"是","否")</f>
        <v>否</v>
      </c>
      <c r="AC361" s="20"/>
      <c r="AD361" s="25"/>
      <c r="AE361" s="25"/>
      <c r="AH361" s="20" t="s">
        <v>76</v>
      </c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</row>
    <row r="362" ht="50.16541353383458" customHeight="1" spans="1:57" x14ac:dyDescent="0.25">
      <c r="A362" s="25" t="s">
        <v>1663</v>
      </c>
      <c r="B362" s="19" t="s">
        <v>1071</v>
      </c>
      <c r="C362" s="20" t="s">
        <v>57</v>
      </c>
      <c r="D362" s="21"/>
      <c r="E362" s="22"/>
      <c r="F362" s="21" t="s">
        <v>1096</v>
      </c>
      <c r="G362" s="29" t="s">
        <v>1820</v>
      </c>
      <c r="H362" s="20" t="str">
        <f>SUBSTITUTE(SUBSTITUTE(SUBSTITUTE(S362,"/@","_"),"/cac:","_"),"/cbc:","_")</f>
        <v>Invoice_InvoiceLine_WithholdingTaxTotal_TaxSubtotal_TaxCategory_TaxExemptionReason</v>
      </c>
      <c r="I362" s="20" t="str">
        <f>SUBSTITUTE(SUBSTITUTE(SUBSTITUTE(T362,"/@","_"),"/cac:","_"),"/cbc:","_")</f>
        <v/>
      </c>
      <c r="J362" s="25" t="s">
        <v>1822</v>
      </c>
      <c r="K362" s="25" t="s">
        <v>1823</v>
      </c>
      <c r="L362" s="25" t="s">
        <v>1768</v>
      </c>
      <c r="M362" s="25" t="s">
        <v>228</v>
      </c>
      <c r="N362" s="27"/>
      <c r="O362" s="25" t="s">
        <v>64</v>
      </c>
      <c r="P362" s="27" t="s">
        <v>3015</v>
      </c>
      <c r="Q362" s="26" t="str">
        <f>IF(S362="","",LEN(S362)-LEN(SUBSTITUTE(S362,"/",""))+IF(ISNUMBER(SEARCH("@",S362)),0,1))</f>
        <v>6</v>
      </c>
      <c r="R362" s="42" t="s">
        <v>3102</v>
      </c>
      <c r="S362" s="26" t="s">
        <v>1824</v>
      </c>
      <c r="T362" s="20"/>
      <c r="U362" s="20"/>
      <c r="V362" s="20"/>
      <c r="W362" s="25" t="s">
        <v>681</v>
      </c>
      <c r="X362" s="46"/>
      <c r="Y362" s="20"/>
      <c r="Z362" s="20"/>
      <c r="AA362" s="25" t="s">
        <v>68</v>
      </c>
      <c r="AB362" s="20" t="str">
        <f>IF(ISBLANK(S362),"是","否")</f>
        <v>否</v>
      </c>
      <c r="AC362" s="20"/>
      <c r="AD362" s="25"/>
      <c r="AE362" s="25"/>
      <c r="AH362" s="20" t="s">
        <v>76</v>
      </c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</row>
    <row r="363" ht="39.879699248120296" customHeight="1" spans="1:57" x14ac:dyDescent="0.25">
      <c r="A363" s="25" t="s">
        <v>1663</v>
      </c>
      <c r="B363" s="19" t="s">
        <v>349</v>
      </c>
      <c r="C363" s="20" t="s">
        <v>57</v>
      </c>
      <c r="D363" s="21"/>
      <c r="E363" s="22"/>
      <c r="F363" s="21" t="s">
        <v>1104</v>
      </c>
      <c r="G363" s="29" t="s">
        <v>1825</v>
      </c>
      <c r="H363" s="20" t="str">
        <f>SUBSTITUTE(SUBSTITUTE(SUBSTITUTE(S363,"/@","_"),"/cac:","_"),"/cbc:","_")</f>
        <v>Invoice_InvoiceLine_WithholdingTaxTotal_TaxSubtotal_TaxCategory_TaxScheme_ID</v>
      </c>
      <c r="I363" s="20" t="str">
        <f>SUBSTITUTE(SUBSTITUTE(SUBSTITUTE(T363,"/@","_"),"/cac:","_"),"/cbc:","_")</f>
        <v/>
      </c>
      <c r="J363" s="25" t="s">
        <v>1827</v>
      </c>
      <c r="K363" s="25" t="s">
        <v>1159</v>
      </c>
      <c r="L363" s="25" t="s">
        <v>1828</v>
      </c>
      <c r="M363" s="25" t="s">
        <v>1661</v>
      </c>
      <c r="N363" s="27"/>
      <c r="O363" s="25" t="s">
        <v>64</v>
      </c>
      <c r="P363" s="27" t="s">
        <v>3015</v>
      </c>
      <c r="Q363" s="26" t="str">
        <f>IF(S363="","",LEN(S363)-LEN(SUBSTITUTE(S363,"/",""))+IF(ISNUMBER(SEARCH("@",S363)),0,1))</f>
        <v>7</v>
      </c>
      <c r="R363" s="42" t="s">
        <v>3103</v>
      </c>
      <c r="S363" s="26" t="s">
        <v>1829</v>
      </c>
      <c r="T363" s="20"/>
      <c r="U363" s="20"/>
      <c r="V363" s="20"/>
      <c r="W363" s="25" t="s">
        <v>1162</v>
      </c>
      <c r="X363" s="46"/>
      <c r="Y363" s="20"/>
      <c r="Z363" s="20"/>
      <c r="AA363" s="25" t="s">
        <v>68</v>
      </c>
      <c r="AB363" s="20" t="str">
        <f>IF(ISBLANK(S363),"是","否")</f>
        <v>否</v>
      </c>
      <c r="AC363" s="20"/>
      <c r="AD363" s="25"/>
      <c r="AE363" s="25"/>
      <c r="AH363" s="20" t="s">
        <v>76</v>
      </c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</row>
    <row r="364" ht="29.59398496240601" customHeight="1" spans="1:57" x14ac:dyDescent="0.25">
      <c r="A364" s="25" t="s">
        <v>1663</v>
      </c>
      <c r="B364" s="19" t="s">
        <v>1306</v>
      </c>
      <c r="C364" s="20" t="s">
        <v>57</v>
      </c>
      <c r="D364" s="21"/>
      <c r="E364" s="22"/>
      <c r="F364" s="21" t="s">
        <v>1830</v>
      </c>
      <c r="G364" s="29" t="s">
        <v>1831</v>
      </c>
      <c r="H364" s="20" t="str">
        <f>SUBSTITUTE(SUBSTITUTE(SUBSTITUTE(S364,"/@","_"),"/cac:","_"),"/cbc:","_")</f>
        <v>Invoice_InvoiceLine_AccountingCost</v>
      </c>
      <c r="I364" s="20" t="str">
        <f>SUBSTITUTE(SUBSTITUTE(SUBSTITUTE(T364,"/@","_"),"/cac:","_"),"/cbc:","_")</f>
        <v/>
      </c>
      <c r="J364" s="25" t="s">
        <v>1833</v>
      </c>
      <c r="K364" s="25" t="s">
        <v>1834</v>
      </c>
      <c r="L364" s="25" t="s">
        <v>1835</v>
      </c>
      <c r="M364" s="25" t="s">
        <v>228</v>
      </c>
      <c r="N364" s="27"/>
      <c r="O364" s="25" t="s">
        <v>64</v>
      </c>
      <c r="P364" s="27" t="s">
        <v>50</v>
      </c>
      <c r="Q364" s="26" t="str">
        <f>IF(S364="","",LEN(S364)-LEN(SUBSTITUTE(S364,"/",""))+IF(ISNUMBER(SEARCH("@",S364)),0,1))</f>
        <v>3</v>
      </c>
      <c r="R364" s="42" t="s">
        <v>3104</v>
      </c>
      <c r="S364" s="26" t="s">
        <v>1836</v>
      </c>
      <c r="T364" s="20"/>
      <c r="U364" s="20"/>
      <c r="V364" s="20"/>
      <c r="W364" s="25" t="s">
        <v>1837</v>
      </c>
      <c r="X364" s="46"/>
      <c r="Y364" s="20"/>
      <c r="Z364" s="20"/>
      <c r="AA364" s="25" t="s">
        <v>68</v>
      </c>
      <c r="AB364" s="20" t="str">
        <f>IF(ISBLANK(S364),"是","否")</f>
        <v>否</v>
      </c>
      <c r="AC364" s="20"/>
      <c r="AD364" s="25"/>
      <c r="AE364" s="25"/>
      <c r="AH364" s="20" t="s">
        <v>76</v>
      </c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</row>
    <row r="365" ht="29.59398496240601" customHeight="1" spans="1:57" x14ac:dyDescent="0.25">
      <c r="A365" s="25" t="s">
        <v>1663</v>
      </c>
      <c r="B365" s="19" t="s">
        <v>1306</v>
      </c>
      <c r="C365" s="20" t="s">
        <v>57</v>
      </c>
      <c r="D365" s="21"/>
      <c r="E365" s="22"/>
      <c r="F365" s="21" t="s">
        <v>1838</v>
      </c>
      <c r="G365" s="29" t="s">
        <v>1839</v>
      </c>
      <c r="H365" s="20" t="str">
        <f>SUBSTITUTE(SUBSTITUTE(SUBSTITUTE(S365,"/@","_"),"/cac:","_"),"/cbc:","_")</f>
        <v>Invoice_InvoiceLine_InvoicePeriod</v>
      </c>
      <c r="I365" s="20" t="str">
        <f>SUBSTITUTE(SUBSTITUTE(SUBSTITUTE(T365,"/@","_"),"/cac:","_"),"/cbc:","_")</f>
        <v/>
      </c>
      <c r="J365" s="25" t="s">
        <v>1841</v>
      </c>
      <c r="K365" s="25" t="s">
        <v>1842</v>
      </c>
      <c r="L365" s="25" t="s">
        <v>1843</v>
      </c>
      <c r="M365" s="25" t="s">
        <v>220</v>
      </c>
      <c r="N365" s="27"/>
      <c r="O365" s="25" t="s">
        <v>64</v>
      </c>
      <c r="P365" s="27" t="s">
        <v>50</v>
      </c>
      <c r="Q365" s="26" t="str">
        <f>IF(S365="","",LEN(S365)-LEN(SUBSTITUTE(S365,"/",""))+IF(ISNUMBER(SEARCH("@",S365)),0,1))</f>
        <v>3</v>
      </c>
      <c r="R365" s="42" t="s">
        <v>3105</v>
      </c>
      <c r="S365" s="26" t="s">
        <v>1844</v>
      </c>
      <c r="T365" s="20"/>
      <c r="U365" s="20"/>
      <c r="V365" s="20"/>
      <c r="W365" s="25" t="s">
        <v>681</v>
      </c>
      <c r="X365" s="46"/>
      <c r="Y365" s="20"/>
      <c r="Z365" s="20"/>
      <c r="AA365" s="25" t="s">
        <v>222</v>
      </c>
      <c r="AB365" s="20" t="str">
        <f>IF(ISBLANK(S365),"是","否")</f>
        <v>否</v>
      </c>
      <c r="AC365" s="20"/>
      <c r="AD365" s="25"/>
      <c r="AE365" s="25"/>
      <c r="AH365" s="20" t="s">
        <v>76</v>
      </c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</row>
    <row r="366" ht="29.59398496240601" customHeight="1" spans="1:57" x14ac:dyDescent="0.25">
      <c r="A366" s="25" t="s">
        <v>1663</v>
      </c>
      <c r="B366" s="19" t="s">
        <v>1845</v>
      </c>
      <c r="C366" s="20" t="s">
        <v>57</v>
      </c>
      <c r="D366" s="21"/>
      <c r="E366" s="22"/>
      <c r="F366" s="21" t="s">
        <v>1846</v>
      </c>
      <c r="G366" s="29" t="s">
        <v>1847</v>
      </c>
      <c r="H366" s="20" t="str">
        <f>SUBSTITUTE(SUBSTITUTE(SUBSTITUTE(S366,"/@","_"),"/cac:","_"),"/cbc:","_")</f>
        <v>Invoice_InvoiceLine_InvoicePeriod_StartDate</v>
      </c>
      <c r="I366" s="20" t="str">
        <f>SUBSTITUTE(SUBSTITUTE(SUBSTITUTE(T366,"/@","_"),"/cac:","_"),"/cbc:","_")</f>
        <v/>
      </c>
      <c r="J366" s="25" t="s">
        <v>1849</v>
      </c>
      <c r="K366" s="25" t="s">
        <v>1850</v>
      </c>
      <c r="L366" s="25" t="s">
        <v>1015</v>
      </c>
      <c r="M366" s="25" t="s">
        <v>1016</v>
      </c>
      <c r="N366" s="27"/>
      <c r="O366" s="25" t="s">
        <v>64</v>
      </c>
      <c r="P366" s="27" t="s">
        <v>3015</v>
      </c>
      <c r="Q366" s="26" t="str">
        <f>IF(S366="","",LEN(S366)-LEN(SUBSTITUTE(S366,"/",""))+IF(ISNUMBER(SEARCH("@",S366)),0,1))</f>
        <v>4</v>
      </c>
      <c r="R366" s="42" t="s">
        <v>3106</v>
      </c>
      <c r="S366" s="26" t="s">
        <v>1851</v>
      </c>
      <c r="T366" s="20"/>
      <c r="U366" s="20"/>
      <c r="V366" s="20"/>
      <c r="W366" s="20" t="s">
        <v>1852</v>
      </c>
      <c r="X366" s="46"/>
      <c r="Y366" s="20"/>
      <c r="Z366" s="20"/>
      <c r="AA366" s="25" t="s">
        <v>68</v>
      </c>
      <c r="AB366" s="20" t="str">
        <f>IF(ISBLANK(S366),"是","否")</f>
        <v>否</v>
      </c>
      <c r="AC366" s="20"/>
      <c r="AD366" s="25"/>
      <c r="AE366" s="25"/>
      <c r="AH366" s="20" t="s">
        <v>76</v>
      </c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</row>
    <row r="367" ht="39.879699248120296" customHeight="1" spans="1:57" x14ac:dyDescent="0.25">
      <c r="A367" s="25" t="s">
        <v>1663</v>
      </c>
      <c r="B367" s="19" t="s">
        <v>1845</v>
      </c>
      <c r="C367" s="20" t="s">
        <v>57</v>
      </c>
      <c r="D367" s="21"/>
      <c r="E367" s="22"/>
      <c r="F367" s="21" t="s">
        <v>1853</v>
      </c>
      <c r="G367" s="29" t="s">
        <v>1854</v>
      </c>
      <c r="H367" s="20" t="str">
        <f>SUBSTITUTE(SUBSTITUTE(SUBSTITUTE(S367,"/@","_"),"/cac:","_"),"/cbc:","_")</f>
        <v>Invoice_InvoiceLine_InvoicePeriod_EndDate</v>
      </c>
      <c r="I367" s="20" t="str">
        <f>SUBSTITUTE(SUBSTITUTE(SUBSTITUTE(T367,"/@","_"),"/cac:","_"),"/cbc:","_")</f>
        <v/>
      </c>
      <c r="J367" s="25" t="s">
        <v>1856</v>
      </c>
      <c r="K367" s="25" t="s">
        <v>1857</v>
      </c>
      <c r="L367" s="25" t="s">
        <v>1858</v>
      </c>
      <c r="M367" s="25" t="s">
        <v>1016</v>
      </c>
      <c r="N367" s="27"/>
      <c r="O367" s="25" t="s">
        <v>64</v>
      </c>
      <c r="P367" s="27" t="s">
        <v>3015</v>
      </c>
      <c r="Q367" s="26" t="str">
        <f>IF(S367="","",LEN(S367)-LEN(SUBSTITUTE(S367,"/",""))+IF(ISNUMBER(SEARCH("@",S367)),0,1))</f>
        <v>4</v>
      </c>
      <c r="R367" s="42" t="s">
        <v>3107</v>
      </c>
      <c r="S367" s="26" t="s">
        <v>1859</v>
      </c>
      <c r="T367" s="20"/>
      <c r="U367" s="20"/>
      <c r="V367" s="20"/>
      <c r="W367" s="20" t="s">
        <v>1860</v>
      </c>
      <c r="X367" s="46"/>
      <c r="Y367" s="20"/>
      <c r="Z367" s="20"/>
      <c r="AA367" s="25" t="s">
        <v>68</v>
      </c>
      <c r="AB367" s="20" t="str">
        <f>IF(ISBLANK(S367),"是","否")</f>
        <v>否</v>
      </c>
      <c r="AC367" s="20"/>
      <c r="AD367" s="25"/>
      <c r="AE367" s="25"/>
      <c r="AF367" s="37">
        <v>176</v>
      </c>
      <c r="AG367" s="35" t="s">
        <v>1861</v>
      </c>
      <c r="AH367" s="20" t="s">
        <v>76</v>
      </c>
      <c r="AI367" s="37"/>
      <c r="AJ367" s="35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</row>
    <row r="368" ht="29.59398496240601" customHeight="1" spans="1:57" x14ac:dyDescent="0.25">
      <c r="A368" s="25" t="s">
        <v>1663</v>
      </c>
      <c r="B368" s="19" t="s">
        <v>1862</v>
      </c>
      <c r="C368" s="20" t="s">
        <v>57</v>
      </c>
      <c r="D368" s="21"/>
      <c r="E368" s="22"/>
      <c r="F368" s="21" t="s">
        <v>1863</v>
      </c>
      <c r="G368" s="29" t="s">
        <v>1864</v>
      </c>
      <c r="H368" s="20" t="str">
        <f>SUBSTITUTE(SUBSTITUTE(SUBSTITUTE(S368,"/@","_"),"/cac:","_"),"/cbc:","_")</f>
        <v>Invoice_InvoiceLine_OrderLineReference_LineID</v>
      </c>
      <c r="I368" s="20" t="str">
        <f>SUBSTITUTE(SUBSTITUTE(SUBSTITUTE(T368,"/@","_"),"/cac:","_"),"/cbc:","_")</f>
        <v/>
      </c>
      <c r="J368" s="25" t="s">
        <v>1866</v>
      </c>
      <c r="K368" s="25" t="s">
        <v>1867</v>
      </c>
      <c r="L368" s="25" t="s">
        <v>1868</v>
      </c>
      <c r="M368" s="25" t="s">
        <v>228</v>
      </c>
      <c r="N368" s="27"/>
      <c r="O368" s="25">
        <v>1</v>
      </c>
      <c r="P368" s="27" t="s">
        <v>50</v>
      </c>
      <c r="Q368" s="26" t="str">
        <f>IF(S368="","",LEN(S368)-LEN(SUBSTITUTE(S368,"/",""))+IF(ISNUMBER(SEARCH("@",S368)),0,1))</f>
        <v>4</v>
      </c>
      <c r="R368" s="42" t="s">
        <v>3108</v>
      </c>
      <c r="S368" s="26" t="s">
        <v>1869</v>
      </c>
      <c r="T368" s="20"/>
      <c r="U368" s="20"/>
      <c r="V368" s="20"/>
      <c r="W368" s="25">
        <v>1</v>
      </c>
      <c r="X368" s="46"/>
      <c r="Y368" s="20"/>
      <c r="Z368" s="20"/>
      <c r="AA368" s="25" t="s">
        <v>68</v>
      </c>
      <c r="AB368" s="20" t="str">
        <f>IF(ISBLANK(S368),"是","否")</f>
        <v>否</v>
      </c>
      <c r="AC368" s="20"/>
      <c r="AD368" s="25"/>
      <c r="AE368" s="25"/>
      <c r="AH368" s="20" t="s">
        <v>76</v>
      </c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</row>
    <row r="369" ht="29.59398496240601" customHeight="1" spans="1:57" x14ac:dyDescent="0.25">
      <c r="A369" s="25" t="s">
        <v>1663</v>
      </c>
      <c r="B369" s="19" t="s">
        <v>132</v>
      </c>
      <c r="C369" s="20" t="s">
        <v>57</v>
      </c>
      <c r="D369" s="21"/>
      <c r="E369" s="22"/>
      <c r="F369" s="21" t="s">
        <v>81</v>
      </c>
      <c r="G369" s="29" t="s">
        <v>1870</v>
      </c>
      <c r="H369" s="20" t="str">
        <f>SUBSTITUTE(SUBSTITUTE(SUBSTITUTE(S369,"/@","_"),"/cac:","_"),"/cbc:","_")</f>
        <v>Invoice_InvoiceLine_OrderLineReference_OrderReference_ID</v>
      </c>
      <c r="I369" s="20" t="str">
        <f>SUBSTITUTE(SUBSTITUTE(SUBSTITUTE(T369,"/@","_"),"/cac:","_"),"/cbc:","_")</f>
        <v/>
      </c>
      <c r="J369" s="25" t="s">
        <v>1871</v>
      </c>
      <c r="K369" s="25" t="s">
        <v>1872</v>
      </c>
      <c r="L369" s="25" t="s">
        <v>1873</v>
      </c>
      <c r="M369" s="25" t="s">
        <v>228</v>
      </c>
      <c r="N369" s="27"/>
      <c r="O369" s="25">
        <v>1</v>
      </c>
      <c r="P369" s="27" t="s">
        <v>3015</v>
      </c>
      <c r="Q369" s="26" t="str">
        <f>IF(S369="","",LEN(S369)-LEN(SUBSTITUTE(S369,"/",""))+IF(ISNUMBER(SEARCH("@",S369)),0,1))</f>
        <v>5</v>
      </c>
      <c r="R369" s="42" t="s">
        <v>3109</v>
      </c>
      <c r="S369" s="26" t="s">
        <v>1874</v>
      </c>
      <c r="T369" s="20"/>
      <c r="U369" s="20"/>
      <c r="V369" s="20"/>
      <c r="W369" s="25" t="s">
        <v>1875</v>
      </c>
      <c r="X369" s="46"/>
      <c r="Y369" s="20"/>
      <c r="Z369" s="20"/>
      <c r="AA369" s="25" t="s">
        <v>68</v>
      </c>
      <c r="AB369" s="20" t="str">
        <f>IF(ISBLANK(S369),"是","否")</f>
        <v>否</v>
      </c>
      <c r="AC369" s="20"/>
      <c r="AD369" s="25"/>
      <c r="AE369" s="25"/>
      <c r="AH369" s="20" t="s">
        <v>76</v>
      </c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</row>
    <row r="370" ht="29.59398496240601" customHeight="1" spans="1:57" x14ac:dyDescent="0.25">
      <c r="A370" s="25" t="s">
        <v>1663</v>
      </c>
      <c r="B370" s="19" t="s">
        <v>1306</v>
      </c>
      <c r="C370" s="20" t="s">
        <v>57</v>
      </c>
      <c r="D370" s="21"/>
      <c r="E370" s="22"/>
      <c r="F370" s="21" t="s">
        <v>139</v>
      </c>
      <c r="G370" s="29" t="s">
        <v>1876</v>
      </c>
      <c r="H370" s="20" t="str">
        <f>SUBSTITUTE(SUBSTITUTE(SUBSTITUTE(S370,"/@","_"),"/cac:","_"),"/cbc:","_")</f>
        <v>Invoice_InvoiceLine_DocumentReference</v>
      </c>
      <c r="I370" s="20" t="str">
        <f>SUBSTITUTE(SUBSTITUTE(SUBSTITUTE(T370,"/@","_"),"/cac:","_"),"/cbc:","_")</f>
        <v/>
      </c>
      <c r="J370" s="25" t="s">
        <v>1878</v>
      </c>
      <c r="K370" s="25" t="s">
        <v>1879</v>
      </c>
      <c r="L370" s="25" t="s">
        <v>1880</v>
      </c>
      <c r="M370" s="25" t="s">
        <v>220</v>
      </c>
      <c r="N370" s="27"/>
      <c r="O370" s="25" t="s">
        <v>49</v>
      </c>
      <c r="P370" s="27" t="s">
        <v>50</v>
      </c>
      <c r="Q370" s="26" t="str">
        <f>IF(S370="","",LEN(S370)-LEN(SUBSTITUTE(S370,"/",""))+IF(ISNUMBER(SEARCH("@",S370)),0,1))</f>
        <v>3</v>
      </c>
      <c r="R370" s="42" t="s">
        <v>3110</v>
      </c>
      <c r="S370" s="26" t="s">
        <v>1881</v>
      </c>
      <c r="T370" s="20"/>
      <c r="U370" s="20"/>
      <c r="V370" s="20"/>
      <c r="W370" s="25" t="s">
        <v>681</v>
      </c>
      <c r="X370" s="46"/>
      <c r="Y370" s="20"/>
      <c r="Z370" s="20"/>
      <c r="AA370" s="25" t="s">
        <v>222</v>
      </c>
      <c r="AB370" s="20" t="str">
        <f>IF(ISBLANK(S370),"是","否")</f>
        <v>否</v>
      </c>
      <c r="AC370" s="20"/>
      <c r="AD370" s="25"/>
      <c r="AE370" s="25"/>
      <c r="AH370" s="20" t="s">
        <v>76</v>
      </c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</row>
    <row r="371" ht="29.59398496240601" customHeight="1" spans="1:57" x14ac:dyDescent="0.25">
      <c r="A371" s="25" t="s">
        <v>1663</v>
      </c>
      <c r="B371" s="19" t="s">
        <v>139</v>
      </c>
      <c r="C371" s="20" t="s">
        <v>57</v>
      </c>
      <c r="D371" s="21"/>
      <c r="E371" s="22"/>
      <c r="F371" s="21" t="s">
        <v>81</v>
      </c>
      <c r="G371" s="29" t="s">
        <v>1882</v>
      </c>
      <c r="H371" s="20" t="str">
        <f>SUBSTITUTE(SUBSTITUTE(SUBSTITUTE(S371,"/@","_"),"/cac:","_"),"/cbc:","_")</f>
        <v>Invoice_InvoiceLine_DocumentReference_ID</v>
      </c>
      <c r="I371" s="20" t="str">
        <f>SUBSTITUTE(SUBSTITUTE(SUBSTITUTE(T371,"/@","_"),"/cac:","_"),"/cbc:","_")</f>
        <v/>
      </c>
      <c r="J371" s="25" t="s">
        <v>1883</v>
      </c>
      <c r="K371" s="25" t="s">
        <v>1884</v>
      </c>
      <c r="L371" s="25" t="s">
        <v>1392</v>
      </c>
      <c r="M371" s="25" t="s">
        <v>228</v>
      </c>
      <c r="N371" s="27"/>
      <c r="O371" s="25">
        <v>1</v>
      </c>
      <c r="P371" s="27" t="s">
        <v>3015</v>
      </c>
      <c r="Q371" s="26" t="str">
        <f>IF(S371="","",LEN(S371)-LEN(SUBSTITUTE(S371,"/",""))+IF(ISNUMBER(SEARCH("@",S371)),0,1))</f>
        <v>4</v>
      </c>
      <c r="R371" s="42" t="s">
        <v>3111</v>
      </c>
      <c r="S371" s="26" t="s">
        <v>1885</v>
      </c>
      <c r="T371" s="20"/>
      <c r="U371" s="20"/>
      <c r="V371" s="20"/>
      <c r="W371" s="25" t="s">
        <v>1886</v>
      </c>
      <c r="X371" s="46"/>
      <c r="Y371" s="20"/>
      <c r="Z371" s="20"/>
      <c r="AA371" s="25" t="s">
        <v>68</v>
      </c>
      <c r="AB371" s="20" t="str">
        <f>IF(ISBLANK(S371),"是","否")</f>
        <v>否</v>
      </c>
      <c r="AC371" s="20"/>
      <c r="AD371" s="25"/>
      <c r="AE371" s="25"/>
      <c r="AH371" s="20" t="s">
        <v>76</v>
      </c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</row>
    <row r="372" ht="29.59398496240601" customHeight="1" spans="1:57" x14ac:dyDescent="0.25">
      <c r="A372" s="25" t="s">
        <v>1663</v>
      </c>
      <c r="B372" s="19" t="s">
        <v>139</v>
      </c>
      <c r="C372" s="20" t="s">
        <v>57</v>
      </c>
      <c r="D372" s="21"/>
      <c r="E372" s="22"/>
      <c r="F372" s="21" t="s">
        <v>1887</v>
      </c>
      <c r="G372" s="29" t="s">
        <v>1888</v>
      </c>
      <c r="H372" s="20" t="str">
        <f>SUBSTITUTE(SUBSTITUTE(SUBSTITUTE(S372,"/@","_"),"/cac:","_"),"/cbc:","_")</f>
        <v>Invoice_InvoiceLine_DocumentReference_ID_schemeID</v>
      </c>
      <c r="I372" s="20" t="str">
        <f>SUBSTITUTE(SUBSTITUTE(SUBSTITUTE(T372,"/@","_"),"/cac:","_"),"/cbc:","_")</f>
        <v/>
      </c>
      <c r="J372" s="25" t="s">
        <v>1448</v>
      </c>
      <c r="K372" s="25" t="s">
        <v>1890</v>
      </c>
      <c r="L372" s="25" t="s">
        <v>1891</v>
      </c>
      <c r="M372" s="25" t="s">
        <v>1661</v>
      </c>
      <c r="N372" s="27"/>
      <c r="O372" s="25" t="s">
        <v>64</v>
      </c>
      <c r="P372" s="27" t="s">
        <v>3015</v>
      </c>
      <c r="Q372" s="26" t="str">
        <f>IF(S372="","",LEN(S372)-LEN(SUBSTITUTE(S372,"/",""))+IF(ISNUMBER(SEARCH("@",S372)),0,1))</f>
        <v>4</v>
      </c>
      <c r="R372" s="42" t="s">
        <v>3112</v>
      </c>
      <c r="S372" s="26" t="s">
        <v>1892</v>
      </c>
      <c r="T372" s="20"/>
      <c r="U372" s="20"/>
      <c r="V372" s="20"/>
      <c r="W372" s="25" t="s">
        <v>1893</v>
      </c>
      <c r="X372" s="46"/>
      <c r="Y372" s="20"/>
      <c r="Z372" s="20"/>
      <c r="AA372" s="25" t="s">
        <v>68</v>
      </c>
      <c r="AB372" s="20" t="str">
        <f>IF(ISBLANK(S372),"是","否")</f>
        <v>否</v>
      </c>
      <c r="AC372" s="20"/>
      <c r="AD372" s="25"/>
      <c r="AE372" s="25"/>
      <c r="AH372" s="20" t="s">
        <v>76</v>
      </c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</row>
    <row r="373" ht="29.59398496240601" customHeight="1" spans="1:57" x14ac:dyDescent="0.25">
      <c r="A373" s="25" t="s">
        <v>1663</v>
      </c>
      <c r="B373" s="19" t="s">
        <v>139</v>
      </c>
      <c r="C373" s="20" t="s">
        <v>57</v>
      </c>
      <c r="D373" s="21"/>
      <c r="E373" s="22"/>
      <c r="F373" s="21" t="s">
        <v>1894</v>
      </c>
      <c r="G373" s="29" t="s">
        <v>1895</v>
      </c>
      <c r="H373" s="20" t="str">
        <f>SUBSTITUTE(SUBSTITUTE(SUBSTITUTE(S373,"/@","_"),"/cac:","_"),"/cbc:","_")</f>
        <v>Invoice_InvoiceLine_DocumentReference_IssueDate</v>
      </c>
      <c r="I373" s="20" t="str">
        <f>SUBSTITUTE(SUBSTITUTE(SUBSTITUTE(T373,"/@","_"),"/cac:","_"),"/cbc:","_")</f>
        <v/>
      </c>
      <c r="J373" s="25" t="s">
        <v>1897</v>
      </c>
      <c r="K373" s="25" t="s">
        <v>1898</v>
      </c>
      <c r="L373" s="25" t="s">
        <v>1571</v>
      </c>
      <c r="M373" s="25" t="s">
        <v>1016</v>
      </c>
      <c r="N373" s="27"/>
      <c r="O373" s="25" t="s">
        <v>64</v>
      </c>
      <c r="P373" s="27" t="s">
        <v>3015</v>
      </c>
      <c r="Q373" s="26" t="str">
        <f>IF(S373="","",LEN(S373)-LEN(SUBSTITUTE(S373,"/",""))+IF(ISNUMBER(SEARCH("@",S373)),0,1))</f>
        <v>4</v>
      </c>
      <c r="R373" s="42" t="s">
        <v>3113</v>
      </c>
      <c r="S373" s="26" t="s">
        <v>1899</v>
      </c>
      <c r="T373" s="20"/>
      <c r="U373" s="20"/>
      <c r="V373" s="20"/>
      <c r="W373" s="20" t="s">
        <v>1852</v>
      </c>
      <c r="X373" s="46"/>
      <c r="Y373" s="20"/>
      <c r="Z373" s="20"/>
      <c r="AA373" s="25" t="s">
        <v>68</v>
      </c>
      <c r="AB373" s="20" t="str">
        <f>IF(ISBLANK(S373),"是","否")</f>
        <v>否</v>
      </c>
      <c r="AC373" s="20"/>
      <c r="AD373" s="25"/>
      <c r="AE373" s="25"/>
      <c r="AH373" s="20" t="s">
        <v>76</v>
      </c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</row>
    <row r="374" ht="29.59398496240601" customHeight="1" spans="1:57" x14ac:dyDescent="0.25">
      <c r="A374" s="25" t="s">
        <v>1663</v>
      </c>
      <c r="B374" s="19" t="s">
        <v>139</v>
      </c>
      <c r="C374" s="20" t="s">
        <v>57</v>
      </c>
      <c r="D374" s="21"/>
      <c r="E374" s="22"/>
      <c r="F374" s="21" t="s">
        <v>120</v>
      </c>
      <c r="G374" s="29" t="s">
        <v>1900</v>
      </c>
      <c r="H374" s="20" t="str">
        <f>SUBSTITUTE(SUBSTITUTE(SUBSTITUTE(S374,"/@","_"),"/cac:","_"),"/cbc:","_")</f>
        <v>Invoice_InvoiceLine_DocumentReference_IssueTime</v>
      </c>
      <c r="I374" s="20" t="str">
        <f>SUBSTITUTE(SUBSTITUTE(SUBSTITUTE(T374,"/@","_"),"/cac:","_"),"/cbc:","_")</f>
        <v/>
      </c>
      <c r="J374" s="25" t="s">
        <v>1902</v>
      </c>
      <c r="K374" s="25" t="s">
        <v>1903</v>
      </c>
      <c r="L374" s="25" t="s">
        <v>1904</v>
      </c>
      <c r="M374" s="25" t="s">
        <v>1905</v>
      </c>
      <c r="N374" s="27"/>
      <c r="O374" s="25" t="s">
        <v>64</v>
      </c>
      <c r="P374" s="27" t="s">
        <v>3015</v>
      </c>
      <c r="Q374" s="26" t="str">
        <f>IF(S374="","",LEN(S374)-LEN(SUBSTITUTE(S374,"/",""))+IF(ISNUMBER(SEARCH("@",S374)),0,1))</f>
        <v>4</v>
      </c>
      <c r="R374" s="42" t="s">
        <v>3114</v>
      </c>
      <c r="S374" s="26" t="s">
        <v>1906</v>
      </c>
      <c r="T374" s="20"/>
      <c r="U374" s="20"/>
      <c r="V374" s="20"/>
      <c r="W374" s="20" t="s">
        <v>1907</v>
      </c>
      <c r="X374" s="46"/>
      <c r="Y374" s="20"/>
      <c r="Z374" s="20"/>
      <c r="AA374" s="25" t="s">
        <v>68</v>
      </c>
      <c r="AB374" s="20" t="str">
        <f>IF(ISBLANK(S374),"是","否")</f>
        <v>否</v>
      </c>
      <c r="AC374" s="20"/>
      <c r="AD374" s="25"/>
      <c r="AE374" s="25"/>
      <c r="AH374" s="20" t="s">
        <v>76</v>
      </c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</row>
    <row r="375" ht="39.879699248120296" customHeight="1" spans="1:57" x14ac:dyDescent="0.25">
      <c r="A375" s="25" t="s">
        <v>1663</v>
      </c>
      <c r="B375" s="19" t="s">
        <v>139</v>
      </c>
      <c r="C375" s="20" t="s">
        <v>57</v>
      </c>
      <c r="D375" s="21"/>
      <c r="E375" s="22"/>
      <c r="F375" s="21" t="s">
        <v>1908</v>
      </c>
      <c r="G375" s="29" t="s">
        <v>1909</v>
      </c>
      <c r="H375" s="20" t="str">
        <f>SUBSTITUTE(SUBSTITUTE(SUBSTITUTE(S375,"/@","_"),"/cac:","_"),"/cbc:","_")</f>
        <v>Invoice_InvoiceLine_DocumentReference_DocumentTypeCode</v>
      </c>
      <c r="I375" s="20" t="str">
        <f>SUBSTITUTE(SUBSTITUTE(SUBSTITUTE(T375,"/@","_"),"/cac:","_"),"/cbc:","_")</f>
        <v/>
      </c>
      <c r="J375" s="25" t="s">
        <v>1911</v>
      </c>
      <c r="K375" s="25" t="s">
        <v>1912</v>
      </c>
      <c r="L375" s="25" t="s">
        <v>1913</v>
      </c>
      <c r="M375" s="25" t="s">
        <v>1661</v>
      </c>
      <c r="N375" s="27"/>
      <c r="O375" s="25" t="s">
        <v>64</v>
      </c>
      <c r="P375" s="27" t="s">
        <v>3015</v>
      </c>
      <c r="Q375" s="26" t="str">
        <f>IF(S375="","",LEN(S375)-LEN(SUBSTITUTE(S375,"/",""))+IF(ISNUMBER(SEARCH("@",S375)),0,1))</f>
        <v>4</v>
      </c>
      <c r="R375" s="42" t="s">
        <v>3115</v>
      </c>
      <c r="S375" s="26" t="s">
        <v>1914</v>
      </c>
      <c r="T375" s="20"/>
      <c r="U375" s="20"/>
      <c r="V375" s="20"/>
      <c r="W375" s="25">
        <v>130</v>
      </c>
      <c r="X375" s="46"/>
      <c r="Y375" s="20"/>
      <c r="Z375" s="20"/>
      <c r="AA375" s="25" t="s">
        <v>68</v>
      </c>
      <c r="AB375" s="20" t="str">
        <f>IF(ISBLANK(S375),"是","否")</f>
        <v>否</v>
      </c>
      <c r="AC375" s="20"/>
      <c r="AD375" s="25"/>
      <c r="AE375" s="25"/>
      <c r="AH375" s="20" t="s">
        <v>76</v>
      </c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</row>
    <row r="376" ht="101.59398496240601" customHeight="1" spans="1:57" x14ac:dyDescent="0.25">
      <c r="A376" s="20" t="s">
        <v>67</v>
      </c>
      <c r="B376" s="19" t="s">
        <v>1605</v>
      </c>
      <c r="C376" s="20" t="s">
        <v>57</v>
      </c>
      <c r="D376" s="21" t="s">
        <v>1307</v>
      </c>
      <c r="E376" s="22" t="s">
        <v>1308</v>
      </c>
      <c r="F376" s="21" t="s">
        <v>1915</v>
      </c>
      <c r="G376" s="23" t="s">
        <v>1915</v>
      </c>
      <c r="H376" s="20" t="str">
        <f>SUBSTITUTE(SUBSTITUTE(SUBSTITUTE(S376,"/@","_"),"/cac:","_"),"/cbc:","_")</f>
        <v>Invoice_InvoiceLine_Price_PriceAmount</v>
      </c>
      <c r="I376" s="20" t="str">
        <f>SUBSTITUTE(SUBSTITUTE(SUBSTITUTE(T376,"/@","_"),"/cac:","_"),"/cbc:","_")</f>
        <v>“可红冲单价”语义=行项目单价；InvoiceLine 明确有 Price（Unit Price），其 PriceAmount 定义为价格金额，且 Alt term/例子直接呈现“unit price / 23.45”。</v>
      </c>
      <c r="J376" s="19" t="s">
        <v>1917</v>
      </c>
      <c r="K376" s="19" t="s">
        <v>1918</v>
      </c>
      <c r="L376" s="20"/>
      <c r="M376" s="25"/>
      <c r="N376" s="20"/>
      <c r="O376" s="20" t="s">
        <v>165</v>
      </c>
      <c r="P376" s="20"/>
      <c r="Q376" s="26" t="str">
        <f>IF(S376="","",LEN(S376)-LEN(SUBSTITUTE(S376,"/",""))+IF(ISNUMBER(SEARCH("@",S376)),0,1))</f>
        <v>4</v>
      </c>
      <c r="R376" s="26"/>
      <c r="S376" s="19" t="s">
        <v>1618</v>
      </c>
      <c r="T376" s="19" t="s">
        <v>1919</v>
      </c>
      <c r="U376" s="20"/>
      <c r="V376" s="20"/>
      <c r="W376" s="20" t="s">
        <v>1920</v>
      </c>
      <c r="X376" s="46"/>
      <c r="Y376" s="20"/>
      <c r="Z376" s="20"/>
      <c r="AA376" s="20" t="s">
        <v>68</v>
      </c>
      <c r="AB376" s="20" t="str">
        <f>IF(ISBLANK(S376),"是","否")</f>
        <v>否</v>
      </c>
      <c r="AC376" s="20" t="s">
        <v>76</v>
      </c>
      <c r="AD376" s="25"/>
      <c r="AE376" s="25"/>
      <c r="AF376" s="24">
        <v>188</v>
      </c>
      <c r="AG376" s="25" t="s">
        <v>1915</v>
      </c>
      <c r="AH376" s="20"/>
      <c r="AI376" s="24"/>
      <c r="AJ376" s="25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</row>
    <row r="377" ht="132.45112781954887" customHeight="1" spans="1:57" x14ac:dyDescent="0.25">
      <c r="A377" s="20" t="s">
        <v>67</v>
      </c>
      <c r="B377" s="19" t="s">
        <v>1921</v>
      </c>
      <c r="C377" s="20" t="s">
        <v>57</v>
      </c>
      <c r="D377" s="21" t="s">
        <v>1307</v>
      </c>
      <c r="E377" s="22" t="s">
        <v>1308</v>
      </c>
      <c r="F377" s="21" t="s">
        <v>1922</v>
      </c>
      <c r="G377" s="23" t="s">
        <v>1922</v>
      </c>
      <c r="H377" s="20" t="str">
        <f>SUBSTITUTE(SUBSTITUTE(SUBSTITUTE(S377,"/@","_"),"/cac:","_"),"/cbc:","_")</f>
        <v>Invoice_InvoiceLine_BillingReference_BillingReferenceLine_ID</v>
      </c>
      <c r="I377" s="20" t="str">
        <f>SUBSTITUTE(SUBSTITUTE(SUBSTITUTE(T377,"/@","_"),"/cac:","_"),"/cbc:","_")</f>
        <v>“原蓝票序号”语义=被引用的原票（billing document）交易行标识；InvoiceLine 具备 BillingReference，其下 BillingReferenceLine/ID 正是“billing document 的 transaction line 标识”。</v>
      </c>
      <c r="J377" s="19"/>
      <c r="K377" s="19" t="s">
        <v>1924</v>
      </c>
      <c r="L377" s="20"/>
      <c r="M377" s="25"/>
      <c r="N377" s="20"/>
      <c r="O377" s="20" t="s">
        <v>165</v>
      </c>
      <c r="P377" s="20"/>
      <c r="Q377" s="26" t="str">
        <f>IF(S377="","",LEN(S377)-LEN(SUBSTITUTE(S377,"/",""))+IF(ISNUMBER(SEARCH("@",S377)),0,1))</f>
        <v>5</v>
      </c>
      <c r="R377" s="26"/>
      <c r="S377" s="19" t="s">
        <v>1925</v>
      </c>
      <c r="T377" s="19" t="s">
        <v>1926</v>
      </c>
      <c r="U377" s="20"/>
      <c r="V377" s="20"/>
      <c r="W377" s="20"/>
      <c r="X377" s="46"/>
      <c r="Y377" s="20"/>
      <c r="Z377" s="20"/>
      <c r="AA377" s="20" t="s">
        <v>68</v>
      </c>
      <c r="AB377" s="20" t="str">
        <f>IF(ISBLANK(S377),"是","否")</f>
        <v>否</v>
      </c>
      <c r="AC377" s="20" t="s">
        <v>76</v>
      </c>
      <c r="AD377" s="25"/>
      <c r="AE377" s="25"/>
      <c r="AF377" s="24">
        <v>180</v>
      </c>
      <c r="AG377" s="25" t="s">
        <v>1922</v>
      </c>
      <c r="AH377" s="20"/>
      <c r="AI377" s="24"/>
      <c r="AJ377" s="25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</row>
    <row r="378" ht="225.0225563909774" customHeight="1" spans="1:57" x14ac:dyDescent="0.25">
      <c r="A378" s="20" t="s">
        <v>67</v>
      </c>
      <c r="B378" s="27"/>
      <c r="C378" s="20" t="s">
        <v>57</v>
      </c>
      <c r="D378" s="21" t="s">
        <v>1307</v>
      </c>
      <c r="E378" s="22" t="s">
        <v>1308</v>
      </c>
      <c r="F378" s="21" t="s">
        <v>1927</v>
      </c>
      <c r="G378" s="23" t="s">
        <v>1927</v>
      </c>
      <c r="H378" s="20" t="str">
        <f>SUBSTITUTE(SUBSTITUTE(SUBSTITUTE(S378,"/@","_"),"/cac:","_"),"/cbc:","_")</f>
        <v/>
      </c>
      <c r="I378" s="20" t="str">
        <f>SUBSTITUTE(SUBSTITUTE(SUBSTITUTE(T378,"/@","_"),"/cac:","_"),"/cbc:","_")</f>
        <v>【未匹配】已检索 Invoice → InvoiceLine.Details 的 LineExtensionAmount（“The total amount for this invoice line…net of taxes.”）及 InvoiceLine → TaxTotal → TaxSubtotal 的 TaxableAmount（“The net amount…for this tax subtotal.”），它们表达“本行原始金额/计税净额”，不表达“原票多次/部分红冲后的剩余可红冲不含税额度”。</v>
      </c>
      <c r="J378" s="19"/>
      <c r="K378" s="19"/>
      <c r="L378" s="20"/>
      <c r="M378" s="25"/>
      <c r="N378" s="20"/>
      <c r="O378" s="20"/>
      <c r="P378" s="20"/>
      <c r="Q378" s="26" t="str">
        <f>IF(S378="","",LEN(S378)-LEN(SUBSTITUTE(S378,"/",""))+IF(ISNUMBER(SEARCH("@",S378)),0,1))</f>
        <v/>
      </c>
      <c r="R378" s="26"/>
      <c r="S378" s="19"/>
      <c r="T378" s="19" t="s">
        <v>1929</v>
      </c>
      <c r="U378" s="20"/>
      <c r="V378" s="20"/>
      <c r="W378" s="20"/>
      <c r="X378" s="46"/>
      <c r="Y378" s="20"/>
      <c r="Z378" s="20"/>
      <c r="AA378" s="20"/>
      <c r="AB378" s="20" t="str">
        <f>IF(ISBLANK(S378),"是","否")</f>
        <v>是</v>
      </c>
      <c r="AC378" s="20" t="s">
        <v>76</v>
      </c>
      <c r="AD378" s="25"/>
      <c r="AE378" s="25"/>
      <c r="AF378" s="24">
        <v>174</v>
      </c>
      <c r="AG378" s="25" t="s">
        <v>1927</v>
      </c>
      <c r="AH378" s="20"/>
      <c r="AI378" s="24"/>
      <c r="AJ378" s="25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</row>
    <row r="379" ht="29.59398496240601" customHeight="1" spans="1:57" x14ac:dyDescent="0.25">
      <c r="A379" s="20" t="s">
        <v>67</v>
      </c>
      <c r="B379" s="27"/>
      <c r="C379" s="20" t="s">
        <v>57</v>
      </c>
      <c r="D379" s="21" t="s">
        <v>1307</v>
      </c>
      <c r="E379" s="22" t="s">
        <v>1308</v>
      </c>
      <c r="F379" s="21" t="s">
        <v>1930</v>
      </c>
      <c r="G379" s="23" t="s">
        <v>1930</v>
      </c>
      <c r="H379" s="20" t="str">
        <f>SUBSTITUTE(SUBSTITUTE(SUBSTITUTE(S379,"/@","_"),"/cac:","_"),"/cbc:","_")</f>
        <v/>
      </c>
      <c r="I379" s="20" t="str">
        <f>SUBSTITUTE(SUBSTITUTE(SUBSTITUTE(T379,"/@","_"),"/cac:","_"),"/cbc:","_")</f>
        <v>—</v>
      </c>
      <c r="J379" s="19"/>
      <c r="K379" s="19"/>
      <c r="L379" s="20"/>
      <c r="M379" s="25"/>
      <c r="N379" s="20"/>
      <c r="O379" s="20"/>
      <c r="P379" s="20"/>
      <c r="Q379" s="26" t="str">
        <f>IF(S379="","",LEN(S379)-LEN(SUBSTITUTE(S379,"/",""))+IF(ISNUMBER(SEARCH("@",S379)),0,1))</f>
        <v/>
      </c>
      <c r="R379" s="26"/>
      <c r="S379" s="19"/>
      <c r="T379" s="19" t="s">
        <v>1932</v>
      </c>
      <c r="U379" s="20"/>
      <c r="V379" s="20"/>
      <c r="W379" s="20"/>
      <c r="X379" s="46"/>
      <c r="Y379" s="20"/>
      <c r="Z379" s="20"/>
      <c r="AA379" s="20"/>
      <c r="AB379" s="20" t="str">
        <f>IF(ISBLANK(S379),"是","否")</f>
        <v>是</v>
      </c>
      <c r="AC379" s="20" t="s">
        <v>76</v>
      </c>
      <c r="AD379" s="25"/>
      <c r="AE379" s="25"/>
      <c r="AF379" s="24">
        <v>178</v>
      </c>
      <c r="AG379" s="25" t="s">
        <v>1930</v>
      </c>
      <c r="AH379" s="20"/>
      <c r="AI379" s="24"/>
      <c r="AJ379" s="25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</row>
    <row r="380" ht="29.59398496240601" customHeight="1" spans="1:57" x14ac:dyDescent="0.25">
      <c r="A380" s="20" t="s">
        <v>67</v>
      </c>
      <c r="B380" s="27"/>
      <c r="C380" s="20" t="s">
        <v>57</v>
      </c>
      <c r="D380" s="21" t="s">
        <v>1307</v>
      </c>
      <c r="E380" s="22" t="s">
        <v>1308</v>
      </c>
      <c r="F380" s="21" t="s">
        <v>1933</v>
      </c>
      <c r="G380" s="23" t="s">
        <v>1933</v>
      </c>
      <c r="H380" s="20" t="str">
        <f>SUBSTITUTE(SUBSTITUTE(SUBSTITUTE(S380,"/@","_"),"/cac:","_"),"/cbc:","_")</f>
        <v/>
      </c>
      <c r="I380" s="20" t="str">
        <f>SUBSTITUTE(SUBSTITUTE(SUBSTITUTE(T380,"/@","_"),"/cac:","_"),"/cbc:","_")</f>
        <v>—</v>
      </c>
      <c r="J380" s="19"/>
      <c r="K380" s="19"/>
      <c r="L380" s="20"/>
      <c r="M380" s="25"/>
      <c r="N380" s="20"/>
      <c r="O380" s="20"/>
      <c r="P380" s="20"/>
      <c r="Q380" s="26" t="str">
        <f>IF(S380="","",LEN(S380)-LEN(SUBSTITUTE(S380,"/",""))+IF(ISNUMBER(SEARCH("@",S380)),0,1))</f>
        <v/>
      </c>
      <c r="R380" s="26"/>
      <c r="S380" s="19"/>
      <c r="T380" s="19" t="s">
        <v>1932</v>
      </c>
      <c r="U380" s="20"/>
      <c r="V380" s="20"/>
      <c r="W380" s="20"/>
      <c r="X380" s="46"/>
      <c r="Y380" s="20"/>
      <c r="Z380" s="20"/>
      <c r="AA380" s="20"/>
      <c r="AB380" s="20" t="str">
        <f>IF(ISBLANK(S380),"是","否")</f>
        <v>是</v>
      </c>
      <c r="AC380" s="20" t="s">
        <v>76</v>
      </c>
      <c r="AD380" s="25"/>
      <c r="AE380" s="25"/>
      <c r="AF380" s="37">
        <v>185</v>
      </c>
      <c r="AG380" s="35" t="s">
        <v>1933</v>
      </c>
      <c r="AH380" s="20"/>
      <c r="AI380" s="37"/>
      <c r="AJ380" s="35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</row>
    <row r="381" ht="111.8796992481203" customHeight="1" spans="1:57" x14ac:dyDescent="0.25">
      <c r="A381" s="20" t="s">
        <v>682</v>
      </c>
      <c r="B381" s="27"/>
      <c r="C381" s="20" t="s">
        <v>57</v>
      </c>
      <c r="D381" s="21" t="s">
        <v>1307</v>
      </c>
      <c r="E381" s="22" t="s">
        <v>1308</v>
      </c>
      <c r="F381" s="21" t="s">
        <v>1292</v>
      </c>
      <c r="G381" s="23" t="s">
        <v>1292</v>
      </c>
      <c r="H381" s="20" t="str">
        <f>SUBSTITUTE(SUBSTITUTE(SUBSTITUTE(S381,"/@","_"),"/cac:","_"),"/cbc:","_")</f>
        <v/>
      </c>
      <c r="I381" s="20" t="str">
        <f>SUBSTITUTE(SUBSTITUTE(SUBSTITUTE(T381,"/@","_"),"/cac:","_"),"/cbc:","_")</f>
        <v>语义为“预留扩展字段/企业自定义信息容器”，在 Invoice 表及其可达的 *.Details 中未找到可落位的标准 UBL Name 行（若需承载此类字段更像走扩展机制），因此按规则输出【未匹配】。</v>
      </c>
      <c r="J381" s="19"/>
      <c r="K381" s="19"/>
      <c r="L381" s="24"/>
      <c r="M381" s="25" t="s">
        <v>905</v>
      </c>
      <c r="N381" s="20" t="s">
        <v>3013</v>
      </c>
      <c r="O381" s="20"/>
      <c r="P381" s="20"/>
      <c r="Q381" s="26" t="str">
        <f>IF(S381="","",LEN(S381)-LEN(SUBSTITUTE(S381,"/",""))+IF(ISNUMBER(SEARCH("@",S381)),0,1))</f>
        <v/>
      </c>
      <c r="R381" s="26"/>
      <c r="S381" s="19"/>
      <c r="T381" s="19" t="s">
        <v>1935</v>
      </c>
      <c r="U381" s="20"/>
      <c r="V381" s="20"/>
      <c r="W381" s="20"/>
      <c r="X381" s="46"/>
      <c r="Y381" s="20"/>
      <c r="Z381" s="20"/>
      <c r="AA381" s="20"/>
      <c r="AB381" s="20" t="str">
        <f>IF(ISBLANK(S381),"是","否")</f>
        <v>是</v>
      </c>
      <c r="AC381" s="20" t="s">
        <v>76</v>
      </c>
      <c r="AD381" s="24">
        <v>97</v>
      </c>
      <c r="AE381" s="25" t="s">
        <v>1292</v>
      </c>
      <c r="AH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</row>
    <row r="382" ht="111.8796992481203" customHeight="1" spans="1:57" x14ac:dyDescent="0.25">
      <c r="A382" s="20" t="s">
        <v>682</v>
      </c>
      <c r="B382" s="27"/>
      <c r="C382" s="20" t="s">
        <v>57</v>
      </c>
      <c r="D382" s="21" t="s">
        <v>1307</v>
      </c>
      <c r="E382" s="22" t="s">
        <v>1308</v>
      </c>
      <c r="F382" s="21" t="s">
        <v>1296</v>
      </c>
      <c r="G382" s="23" t="s">
        <v>1296</v>
      </c>
      <c r="H382" s="20" t="str">
        <f>SUBSTITUTE(SUBSTITUTE(SUBSTITUTE(S382,"/@","_"),"/cac:","_"),"/cbc:","_")</f>
        <v/>
      </c>
      <c r="I382" s="20" t="str">
        <f>SUBSTITUTE(SUBSTITUTE(SUBSTITUTE(T382,"/@","_"),"/cac:","_"),"/cbc:","_")</f>
        <v>语义为“预留扩展字段/企业自定义信息容器”，在 Invoice 表及其可达的 *.Details 中未找到可落位的标准 UBL Name 行（若需承载此类字段更像走扩展机制），因此按规则输出【未匹配】。</v>
      </c>
      <c r="J382" s="19"/>
      <c r="K382" s="19"/>
      <c r="L382" s="24"/>
      <c r="M382" s="25" t="s">
        <v>905</v>
      </c>
      <c r="N382" s="20" t="s">
        <v>3013</v>
      </c>
      <c r="O382" s="20"/>
      <c r="P382" s="20"/>
      <c r="Q382" s="26" t="str">
        <f>IF(S382="","",LEN(S382)-LEN(SUBSTITUTE(S382,"/",""))+IF(ISNUMBER(SEARCH("@",S382)),0,1))</f>
        <v/>
      </c>
      <c r="R382" s="26"/>
      <c r="S382" s="19"/>
      <c r="T382" s="19" t="s">
        <v>1935</v>
      </c>
      <c r="U382" s="20"/>
      <c r="V382" s="20"/>
      <c r="W382" s="20"/>
      <c r="X382" s="46"/>
      <c r="Y382" s="20"/>
      <c r="Z382" s="20"/>
      <c r="AA382" s="20"/>
      <c r="AB382" s="20" t="str">
        <f>IF(ISBLANK(S382),"是","否")</f>
        <v>是</v>
      </c>
      <c r="AC382" s="20" t="s">
        <v>76</v>
      </c>
      <c r="AD382" s="24">
        <v>98</v>
      </c>
      <c r="AE382" s="25" t="s">
        <v>1296</v>
      </c>
      <c r="AH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</row>
    <row r="383" ht="111.8796992481203" customHeight="1" spans="1:57" x14ac:dyDescent="0.25">
      <c r="A383" s="20" t="s">
        <v>682</v>
      </c>
      <c r="B383" s="27"/>
      <c r="C383" s="20" t="s">
        <v>57</v>
      </c>
      <c r="D383" s="21" t="s">
        <v>1307</v>
      </c>
      <c r="E383" s="22" t="s">
        <v>1308</v>
      </c>
      <c r="F383" s="21" t="s">
        <v>1299</v>
      </c>
      <c r="G383" s="23" t="s">
        <v>1299</v>
      </c>
      <c r="H383" s="20" t="str">
        <f>SUBSTITUTE(SUBSTITUTE(SUBSTITUTE(S383,"/@","_"),"/cac:","_"),"/cbc:","_")</f>
        <v/>
      </c>
      <c r="I383" s="20" t="str">
        <f>SUBSTITUTE(SUBSTITUTE(SUBSTITUTE(T383,"/@","_"),"/cac:","_"),"/cbc:","_")</f>
        <v>语义为“预留扩展字段/企业自定义信息容器”，在 Invoice 表及其可达的 *.Details 中未找到可落位的标准 UBL Name 行（若需承载此类字段更像走扩展机制），因此按规则输出【未匹配】。</v>
      </c>
      <c r="J383" s="19"/>
      <c r="K383" s="19"/>
      <c r="L383" s="25"/>
      <c r="M383" s="25" t="s">
        <v>905</v>
      </c>
      <c r="N383" s="20" t="s">
        <v>3013</v>
      </c>
      <c r="O383" s="20"/>
      <c r="P383" s="20"/>
      <c r="Q383" s="26" t="str">
        <f>IF(S383="","",LEN(S383)-LEN(SUBSTITUTE(S383,"/",""))+IF(ISNUMBER(SEARCH("@",S383)),0,1))</f>
        <v/>
      </c>
      <c r="R383" s="26"/>
      <c r="S383" s="19"/>
      <c r="T383" s="19" t="s">
        <v>1935</v>
      </c>
      <c r="U383" s="20"/>
      <c r="V383" s="25"/>
      <c r="W383" s="20"/>
      <c r="X383" s="46"/>
      <c r="Y383" s="20"/>
      <c r="Z383" s="20"/>
      <c r="AA383" s="20"/>
      <c r="AB383" s="20" t="str">
        <f>IF(ISBLANK(S383),"是","否")</f>
        <v>是</v>
      </c>
      <c r="AC383" s="20" t="s">
        <v>76</v>
      </c>
      <c r="AD383" s="24">
        <v>99</v>
      </c>
      <c r="AE383" s="25" t="s">
        <v>1299</v>
      </c>
      <c r="AH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</row>
    <row r="384" ht="214.73684210526315" customHeight="1" spans="1:57" x14ac:dyDescent="0.25">
      <c r="A384" s="20" t="s">
        <v>682</v>
      </c>
      <c r="B384" s="19" t="s">
        <v>41</v>
      </c>
      <c r="C384" s="20" t="s">
        <v>57</v>
      </c>
      <c r="D384" s="21" t="s">
        <v>58</v>
      </c>
      <c r="E384" s="22" t="s">
        <v>59</v>
      </c>
      <c r="F384" s="21" t="s">
        <v>1936</v>
      </c>
      <c r="G384" s="23" t="s">
        <v>1936</v>
      </c>
      <c r="H384" s="20" t="str">
        <f>SUBSTITUTE(SUBSTITUTE(SUBSTITUTE(S384,"/@","_"),"/cac:","_"),"/cbc:","_")</f>
        <v>Invoice_CustomizationID</v>
      </c>
      <c r="I384" s="20" t="str">
        <f>SUBSTITUTE(SUBSTITUTE(SUBSTITUTE(T384,"/@","_"),"/cac:","_"),"/cbc:","_")</f>
        <v>候选1：字段语义为“特定业务场景/特殊开票业务类型标识”；CustomizationID 的描述句是“用于特定用途的用户自定义”，可解释为“场景/业务类型编码入口”，且为单值可选(0..1)。</v>
      </c>
      <c r="J384" s="19"/>
      <c r="K384" s="19" t="s">
        <v>1938</v>
      </c>
      <c r="L384" s="24"/>
      <c r="M384" s="25" t="s">
        <v>1939</v>
      </c>
      <c r="N384" s="20" t="s">
        <v>3013</v>
      </c>
      <c r="O384" s="20" t="s">
        <v>64</v>
      </c>
      <c r="P384" s="20"/>
      <c r="Q384" s="26" t="str">
        <f>IF(S384="","",LEN(S384)-LEN(SUBSTITUTE(S384,"/",""))+IF(ISNUMBER(SEARCH("@",S384)),0,1))</f>
        <v>2</v>
      </c>
      <c r="R384" s="26"/>
      <c r="S384" s="19" t="s">
        <v>1940</v>
      </c>
      <c r="T384" s="19" t="s">
        <v>1941</v>
      </c>
      <c r="U384" s="20"/>
      <c r="V384" s="20" t="s">
        <v>1942</v>
      </c>
      <c r="W384" s="20" t="s">
        <v>1943</v>
      </c>
      <c r="X384" s="46"/>
      <c r="Y384" s="20"/>
      <c r="Z384" s="20"/>
      <c r="AA384" s="20" t="s">
        <v>68</v>
      </c>
      <c r="AB384" s="20" t="str">
        <f>IF(ISBLANK(S384),"是","否")</f>
        <v>否</v>
      </c>
      <c r="AC384" s="20" t="s">
        <v>76</v>
      </c>
      <c r="AD384" s="24">
        <v>36</v>
      </c>
      <c r="AE384" s="25" t="s">
        <v>1936</v>
      </c>
      <c r="AH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</row>
    <row r="385" ht="122.16541353383457" customHeight="1" spans="1:57" x14ac:dyDescent="0.25">
      <c r="A385" s="20" t="s">
        <v>682</v>
      </c>
      <c r="B385" s="19" t="s">
        <v>1542</v>
      </c>
      <c r="C385" s="20" t="s">
        <v>57</v>
      </c>
      <c r="D385" s="21" t="s">
        <v>937</v>
      </c>
      <c r="E385" s="22" t="s">
        <v>938</v>
      </c>
      <c r="F385" s="21" t="s">
        <v>1944</v>
      </c>
      <c r="G385" s="23" t="s">
        <v>1944</v>
      </c>
      <c r="H385" s="20" t="str">
        <f>SUBSTITUTE(SUBSTITUTE(SUBSTITUTE(S385,"/@","_"),"/cac:","_"),"/cbc:","_")</f>
        <v>Invoice_InvoiceLine_Item_AdditionalItemProperty_ValueQuantity</v>
      </c>
      <c r="I385" s="20" t="str">
        <f>SUBSTITUTE(SUBSTITUTE(SUBSTITUTE(T385,"/@","_"),"/cac:","_"),"/cbc:","_")</f>
        <v>煤炭“发热量”属于商品质量指标，UBL 无专用煤质字段；可用 Item 的 AdditionalItemProperty（ItemProperty）承载，数值更贴近 ValueQuantity；需配合 ItemProperty/Name 存放“发热量”以区分不同指标。</v>
      </c>
      <c r="J385" s="19"/>
      <c r="K385" s="19" t="s">
        <v>1946</v>
      </c>
      <c r="L385" s="24">
        <v>10</v>
      </c>
      <c r="M385" s="25" t="s">
        <v>941</v>
      </c>
      <c r="N385" s="20"/>
      <c r="O385" s="20" t="s">
        <v>64</v>
      </c>
      <c r="P385" s="20"/>
      <c r="Q385" s="26" t="str">
        <f>IF(S385="","",LEN(S385)-LEN(SUBSTITUTE(S385,"/",""))+IF(ISNUMBER(SEARCH("@",S385)),0,1))</f>
        <v>5</v>
      </c>
      <c r="R385" s="26"/>
      <c r="S385" s="19" t="s">
        <v>1947</v>
      </c>
      <c r="T385" s="19" t="s">
        <v>1948</v>
      </c>
      <c r="U385" s="20"/>
      <c r="V385" s="20"/>
      <c r="W385" s="20"/>
      <c r="X385" s="46"/>
      <c r="Y385" s="20"/>
      <c r="Z385" s="20"/>
      <c r="AA385" s="20" t="s">
        <v>68</v>
      </c>
      <c r="AB385" s="20" t="str">
        <f>IF(ISBLANK(S385),"是","否")</f>
        <v>否</v>
      </c>
      <c r="AC385" s="20" t="s">
        <v>76</v>
      </c>
      <c r="AD385" s="25"/>
      <c r="AE385" s="25"/>
      <c r="AF385" s="24">
        <v>137</v>
      </c>
      <c r="AG385" s="25" t="s">
        <v>1944</v>
      </c>
      <c r="AH385" s="20"/>
      <c r="AI385" s="24"/>
      <c r="AJ385" s="25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</row>
    <row r="386" ht="91.30827067669172" customHeight="1" spans="1:57" x14ac:dyDescent="0.25">
      <c r="A386" s="20" t="s">
        <v>682</v>
      </c>
      <c r="B386" s="19" t="s">
        <v>1542</v>
      </c>
      <c r="C386" s="20" t="s">
        <v>57</v>
      </c>
      <c r="D386" s="21" t="s">
        <v>937</v>
      </c>
      <c r="E386" s="22" t="s">
        <v>938</v>
      </c>
      <c r="F386" s="21" t="s">
        <v>1949</v>
      </c>
      <c r="G386" s="23" t="s">
        <v>1949</v>
      </c>
      <c r="H386" s="20" t="str">
        <f>SUBSTITUTE(SUBSTITUTE(SUBSTITUTE(S386,"/@","_"),"/cac:","_"),"/cbc:","_")</f>
        <v>Invoice_InvoiceLine_Item_AdditionalItemProperty_ValueQuantity</v>
      </c>
      <c r="I386" s="20" t="str">
        <f>SUBSTITUTE(SUBSTITUTE(SUBSTITUTE(T386,"/@","_"),"/cac:","_"),"/cbc:","_")</f>
        <v>“干基全硫(%)”为商品附加属性；优先用 ValueQuantity 承载数值（必要时单位/百分号由实现侧表达），并用 ItemProperty/Name 标明“干基全硫”。</v>
      </c>
      <c r="J386" s="19"/>
      <c r="K386" s="19" t="s">
        <v>1946</v>
      </c>
      <c r="L386" s="24">
        <v>10</v>
      </c>
      <c r="M386" s="25" t="s">
        <v>941</v>
      </c>
      <c r="N386" s="20"/>
      <c r="O386" s="20" t="s">
        <v>64</v>
      </c>
      <c r="P386" s="20"/>
      <c r="Q386" s="26" t="str">
        <f>IF(S386="","",LEN(S386)-LEN(SUBSTITUTE(S386,"/",""))+IF(ISNUMBER(SEARCH("@",S386)),0,1))</f>
        <v>5</v>
      </c>
      <c r="R386" s="26"/>
      <c r="S386" s="19" t="s">
        <v>1947</v>
      </c>
      <c r="T386" s="19" t="s">
        <v>1951</v>
      </c>
      <c r="U386" s="20"/>
      <c r="V386" s="20"/>
      <c r="W386" s="20"/>
      <c r="X386" s="46"/>
      <c r="Y386" s="20"/>
      <c r="Z386" s="20"/>
      <c r="AA386" s="20" t="s">
        <v>68</v>
      </c>
      <c r="AB386" s="20" t="str">
        <f>IF(ISBLANK(S386),"是","否")</f>
        <v>否</v>
      </c>
      <c r="AC386" s="20" t="s">
        <v>76</v>
      </c>
      <c r="AD386" s="25"/>
      <c r="AE386" s="25"/>
      <c r="AF386" s="24">
        <v>138</v>
      </c>
      <c r="AG386" s="25" t="s">
        <v>1949</v>
      </c>
      <c r="AH386" s="20"/>
      <c r="AI386" s="24"/>
      <c r="AJ386" s="25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</row>
    <row r="387" ht="101.59398496240601" customHeight="1" spans="1:57" x14ac:dyDescent="0.25">
      <c r="A387" s="20" t="s">
        <v>682</v>
      </c>
      <c r="B387" s="19" t="s">
        <v>1542</v>
      </c>
      <c r="C387" s="20" t="s">
        <v>57</v>
      </c>
      <c r="D387" s="21" t="s">
        <v>937</v>
      </c>
      <c r="E387" s="22" t="s">
        <v>938</v>
      </c>
      <c r="F387" s="21" t="s">
        <v>1952</v>
      </c>
      <c r="G387" s="23" t="s">
        <v>1952</v>
      </c>
      <c r="H387" s="20" t="str">
        <f>SUBSTITUTE(SUBSTITUTE(SUBSTITUTE(S387,"/@","_"),"/cac:","_"),"/cbc:","_")</f>
        <v>Invoice_InvoiceLine_Item_AdditionalItemProperty_ValueQuantity</v>
      </c>
      <c r="I387" s="20" t="str">
        <f>SUBSTITUTE(SUBSTITUTE(SUBSTITUTE(T387,"/@","_"),"/cac:","_"),"/cbc:","_")</f>
        <v>“干燥无灰基挥发分(%)”同属商品附加属性；用 AdditionalItemProperty→ItemProperty 的 ValueQuantity 承载数值，并以 ItemProperty/Name 标明指标名称。</v>
      </c>
      <c r="J387" s="19"/>
      <c r="K387" s="19" t="s">
        <v>1946</v>
      </c>
      <c r="L387" s="24">
        <v>10</v>
      </c>
      <c r="M387" s="25"/>
      <c r="N387" s="20"/>
      <c r="O387" s="20" t="s">
        <v>64</v>
      </c>
      <c r="P387" s="20"/>
      <c r="Q387" s="26" t="str">
        <f>IF(S387="","",LEN(S387)-LEN(SUBSTITUTE(S387,"/",""))+IF(ISNUMBER(SEARCH("@",S387)),0,1))</f>
        <v>5</v>
      </c>
      <c r="R387" s="26"/>
      <c r="S387" s="19" t="s">
        <v>1947</v>
      </c>
      <c r="T387" s="19" t="s">
        <v>1954</v>
      </c>
      <c r="U387" s="20"/>
      <c r="V387" s="20"/>
      <c r="W387" s="20"/>
      <c r="X387" s="46"/>
      <c r="Y387" s="20"/>
      <c r="Z387" s="20"/>
      <c r="AA387" s="20" t="s">
        <v>68</v>
      </c>
      <c r="AB387" s="20" t="str">
        <f>IF(ISBLANK(S387),"是","否")</f>
        <v>否</v>
      </c>
      <c r="AC387" s="20" t="s">
        <v>76</v>
      </c>
      <c r="AD387" s="25"/>
      <c r="AE387" s="25"/>
      <c r="AF387" s="24">
        <v>139</v>
      </c>
      <c r="AG387" s="25" t="s">
        <v>1952</v>
      </c>
      <c r="AH387" s="20"/>
      <c r="AI387" s="24"/>
      <c r="AJ387" s="25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</row>
    <row r="388" ht="122.16541353383457" customHeight="1" spans="1:57" x14ac:dyDescent="0.25">
      <c r="A388" s="20" t="s">
        <v>682</v>
      </c>
      <c r="B388" s="19" t="s">
        <v>139</v>
      </c>
      <c r="C388" s="20" t="s">
        <v>57</v>
      </c>
      <c r="D388" s="21" t="s">
        <v>58</v>
      </c>
      <c r="E388" s="22" t="s">
        <v>59</v>
      </c>
      <c r="F388" s="21" t="s">
        <v>1955</v>
      </c>
      <c r="G388" s="23" t="s">
        <v>1955</v>
      </c>
      <c r="H388" s="20" t="str">
        <f>SUBSTITUTE(SUBSTITUTE(SUBSTITUTE(S388,"/@","_"),"/cac:","_"),"/cbc:","_")</f>
        <v>Invoice_AccountingCustomerParty_Party_Person_IdentityDocumentReference_DocumentTypeCode</v>
      </c>
      <c r="I388" s="20" t="str">
        <f>SUBSTITUTE(SUBSTITUTE(SUBSTITUTE(T388,"/@","_"),"/cac:","_"),"/cbc:","_")</f>
        <v>“证件类型”更贴近“文件/证件类型代码”：Person 可挂 IdentityDocumentReference（DocumentReference），其 DocumentTypeCode 表达类型代码；以 AccountingCustomerParty 作为“购方/应付方”入口。</v>
      </c>
      <c r="J388" s="19"/>
      <c r="K388" s="19" t="s">
        <v>1957</v>
      </c>
      <c r="L388" s="20"/>
      <c r="M388" s="25" t="s">
        <v>909</v>
      </c>
      <c r="N388" s="20" t="s">
        <v>3116</v>
      </c>
      <c r="O388" s="20" t="s">
        <v>64</v>
      </c>
      <c r="P388" s="20"/>
      <c r="Q388" s="26" t="str">
        <f>IF(S388="","",LEN(S388)-LEN(SUBSTITUTE(S388,"/",""))+IF(ISNUMBER(SEARCH("@",S388)),0,1))</f>
        <v>6</v>
      </c>
      <c r="R388" s="26"/>
      <c r="S388" s="19" t="s">
        <v>1958</v>
      </c>
      <c r="T388" s="19" t="s">
        <v>1959</v>
      </c>
      <c r="U388" s="20"/>
      <c r="V388" s="20"/>
      <c r="W388" s="20"/>
      <c r="X388" s="46"/>
      <c r="Y388" s="20"/>
      <c r="Z388" s="20"/>
      <c r="AA388" s="20" t="s">
        <v>68</v>
      </c>
      <c r="AB388" s="20" t="str">
        <f>IF(ISBLANK(S388),"是","否")</f>
        <v>否</v>
      </c>
      <c r="AC388" s="20" t="s">
        <v>76</v>
      </c>
      <c r="AD388" s="24">
        <v>37</v>
      </c>
      <c r="AE388" s="25" t="s">
        <v>1955</v>
      </c>
      <c r="AF388" s="37">
        <v>122</v>
      </c>
      <c r="AG388" s="35" t="s">
        <v>1955</v>
      </c>
      <c r="AH388" s="20"/>
      <c r="AI388" s="37"/>
      <c r="AJ388" s="35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</row>
    <row r="389" ht="142.73684210526315" customHeight="1" spans="1:57" x14ac:dyDescent="0.25">
      <c r="A389" s="20" t="s">
        <v>682</v>
      </c>
      <c r="B389" s="27"/>
      <c r="C389" s="20" t="s">
        <v>57</v>
      </c>
      <c r="D389" s="21" t="s">
        <v>58</v>
      </c>
      <c r="E389" s="22" t="s">
        <v>59</v>
      </c>
      <c r="F389" s="21" t="s">
        <v>1960</v>
      </c>
      <c r="G389" s="23" t="s">
        <v>1960</v>
      </c>
      <c r="H389" s="20" t="str">
        <f>SUBSTITUTE(SUBSTITUTE(SUBSTITUTE(S389,"/@","_"),"/cac:","_"),"/cbc:","_")</f>
        <v/>
      </c>
      <c r="I389" s="20" t="str">
        <f>SUBSTITUTE(SUBSTITUTE(SUBSTITUTE(T389,"/@","_"),"/cac:","_"),"/cbc:","_")</f>
        <v>在 TaxCategory/TaxScheme 等税务链路中仅看到“税类标识/名称/税率/免税原因”等字段（如 TaxCategory/ID、Percent、TaxExemptionReasonCode/TaxExemptionReason），未出现可表达“差额征税业务类型/计税口径类型”的对应行。</v>
      </c>
      <c r="J389" s="19"/>
      <c r="K389" s="19"/>
      <c r="L389" s="25"/>
      <c r="M389" s="25" t="s">
        <v>1939</v>
      </c>
      <c r="N389" s="20" t="s">
        <v>3013</v>
      </c>
      <c r="O389" s="20"/>
      <c r="P389" s="20"/>
      <c r="Q389" s="26" t="str">
        <f>IF(S389="","",LEN(S389)-LEN(SUBSTITUTE(S389,"/",""))+IF(ISNUMBER(SEARCH("@",S389)),0,1))</f>
        <v/>
      </c>
      <c r="R389" s="26"/>
      <c r="S389" s="19"/>
      <c r="T389" s="19" t="s">
        <v>1962</v>
      </c>
      <c r="U389" s="20"/>
      <c r="V389" s="25" t="s">
        <v>1963</v>
      </c>
      <c r="W389" s="20"/>
      <c r="X389" s="46"/>
      <c r="Y389" s="20"/>
      <c r="Z389" s="20"/>
      <c r="AA389" s="20"/>
      <c r="AB389" s="20" t="str">
        <f>IF(ISBLANK(S389),"是","否")</f>
        <v>是</v>
      </c>
      <c r="AC389" s="20" t="s">
        <v>76</v>
      </c>
      <c r="AD389" s="24">
        <v>38</v>
      </c>
      <c r="AE389" s="25" t="s">
        <v>1960</v>
      </c>
      <c r="AH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</row>
    <row r="390" ht="91.30827067669172" customHeight="1" spans="1:57" x14ac:dyDescent="0.25">
      <c r="A390" s="20" t="s">
        <v>682</v>
      </c>
      <c r="B390" s="27"/>
      <c r="C390" s="20" t="s">
        <v>57</v>
      </c>
      <c r="D390" s="21" t="s">
        <v>58</v>
      </c>
      <c r="E390" s="22" t="s">
        <v>59</v>
      </c>
      <c r="F390" s="21" t="s">
        <v>1964</v>
      </c>
      <c r="G390" s="23" t="s">
        <v>1964</v>
      </c>
      <c r="H390" s="20" t="str">
        <f>SUBSTITUTE(SUBSTITUTE(SUBSTITUTE(S390,"/@","_"),"/cac:","_"),"/cbc:","_")</f>
        <v/>
      </c>
      <c r="I390" s="20" t="str">
        <f>SUBSTITUTE(SUBSTITUTE(SUBSTITUTE(T390,"/@","_"),"/cac:","_"),"/cbc:","_")</f>
        <v>在 TaxCategory/TaxScheme 等税务链路中仅看到“税类标识/名称/税率/免税原因”等字段，未出现可表达“减按征税类型（减按口径类型）”的对应行。</v>
      </c>
      <c r="J390" s="19"/>
      <c r="K390" s="19"/>
      <c r="L390" s="24"/>
      <c r="M390" s="25" t="s">
        <v>1939</v>
      </c>
      <c r="N390" s="20" t="s">
        <v>3013</v>
      </c>
      <c r="O390" s="20"/>
      <c r="P390" s="20"/>
      <c r="Q390" s="26" t="str">
        <f>IF(S390="","",LEN(S390)-LEN(SUBSTITUTE(S390,"/",""))+IF(ISNUMBER(SEARCH("@",S390)),0,1))</f>
        <v/>
      </c>
      <c r="R390" s="26"/>
      <c r="S390" s="19"/>
      <c r="T390" s="19" t="s">
        <v>1966</v>
      </c>
      <c r="U390" s="20"/>
      <c r="V390" s="20"/>
      <c r="W390" s="20"/>
      <c r="X390" s="46"/>
      <c r="Y390" s="20"/>
      <c r="Z390" s="20"/>
      <c r="AA390" s="20"/>
      <c r="AB390" s="20" t="str">
        <f>IF(ISBLANK(S390),"是","否")</f>
        <v>是</v>
      </c>
      <c r="AC390" s="20" t="s">
        <v>76</v>
      </c>
      <c r="AD390" s="24">
        <v>39</v>
      </c>
      <c r="AE390" s="25" t="s">
        <v>1964</v>
      </c>
      <c r="AF390" s="37">
        <v>128</v>
      </c>
      <c r="AG390" s="35" t="s">
        <v>1964</v>
      </c>
      <c r="AH390" s="20"/>
      <c r="AI390" s="37"/>
      <c r="AJ390" s="35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</row>
    <row r="391" ht="122.16541353383457" customHeight="1" spans="1:57" x14ac:dyDescent="0.25">
      <c r="A391" s="20" t="s">
        <v>682</v>
      </c>
      <c r="B391" s="19" t="s">
        <v>97</v>
      </c>
      <c r="C391" s="20" t="s">
        <v>57</v>
      </c>
      <c r="D391" s="21" t="s">
        <v>58</v>
      </c>
      <c r="E391" s="22" t="s">
        <v>59</v>
      </c>
      <c r="F391" s="21" t="s">
        <v>1967</v>
      </c>
      <c r="G391" s="23" t="s">
        <v>1967</v>
      </c>
      <c r="H391" s="20" t="str">
        <f>SUBSTITUTE(SUBSTITUTE(SUBSTITUTE(S391,"/@","_"),"/cac:","_"),"/cbc:","_")</f>
        <v>Invoice_LegalMonetaryTotal_AllowanceTotalAmount</v>
      </c>
      <c r="I391" s="20" t="str">
        <f>SUBSTITUTE(SUBSTITUTE(SUBSTITUTE(T391,"/@","_"),"/cac:","_"),"/cbc:","_")</f>
        <v>语义可解释一致：输入“扣除额合计”≈单据层面“Allowance（折让/扣减）合计金额”。上下文链路：Invoice → LegalMonetaryTotal → AllowanceTotalAmount。</v>
      </c>
      <c r="J391" s="19"/>
      <c r="K391" s="19" t="s">
        <v>1969</v>
      </c>
      <c r="L391" s="20" t="s">
        <v>1970</v>
      </c>
      <c r="M391" s="25" t="s">
        <v>101</v>
      </c>
      <c r="N391" s="20" t="s">
        <v>3013</v>
      </c>
      <c r="O391" s="20" t="s">
        <v>64</v>
      </c>
      <c r="P391" s="20"/>
      <c r="Q391" s="26" t="str">
        <f>IF(S391="","",LEN(S391)-LEN(SUBSTITUTE(S391,"/",""))+IF(ISNUMBER(SEARCH("@",S391)),0,1))</f>
        <v>3</v>
      </c>
      <c r="R391" s="26"/>
      <c r="S391" s="19" t="s">
        <v>1971</v>
      </c>
      <c r="T391" s="19" t="s">
        <v>1972</v>
      </c>
      <c r="U391" s="20"/>
      <c r="V391" s="20"/>
      <c r="W391" s="20"/>
      <c r="X391" s="46"/>
      <c r="Y391" s="20"/>
      <c r="Z391" s="20"/>
      <c r="AA391" s="20" t="s">
        <v>68</v>
      </c>
      <c r="AB391" s="20" t="str">
        <f>IF(ISBLANK(S391),"是","否")</f>
        <v>否</v>
      </c>
      <c r="AC391" s="20" t="s">
        <v>76</v>
      </c>
      <c r="AD391" s="24">
        <v>40</v>
      </c>
      <c r="AE391" s="25" t="s">
        <v>1967</v>
      </c>
      <c r="AH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</row>
    <row r="392" ht="132.45112781954887" customHeight="1" spans="1:57" x14ac:dyDescent="0.25">
      <c r="A392" s="20" t="s">
        <v>682</v>
      </c>
      <c r="B392" s="27"/>
      <c r="C392" s="20" t="s">
        <v>57</v>
      </c>
      <c r="D392" s="21" t="s">
        <v>58</v>
      </c>
      <c r="E392" s="22" t="s">
        <v>59</v>
      </c>
      <c r="F392" s="21" t="s">
        <v>1973</v>
      </c>
      <c r="G392" s="23" t="s">
        <v>1973</v>
      </c>
      <c r="H392" s="20" t="str">
        <f>SUBSTITUTE(SUBSTITUTE(SUBSTITUTE(S392,"/@","_"),"/cac:","_"),"/cbc:","_")</f>
        <v/>
      </c>
      <c r="I392" s="20" t="str">
        <f>SUBSTITUTE(SUBSTITUTE(SUBSTITUTE(T392,"/@","_"),"/cac:","_"),"/cbc:","_")</f>
        <v>Invoice 中存在 BuyerCustomerParty（0..1）等“参与方对象”入口，但未见“是否存在共同购买方/共同受票方”的布尔指示字段；UBL 通常用“是否出现相应 Party/CustomerParty 结构”来表达，而非单独标识位。</v>
      </c>
      <c r="J392" s="19"/>
      <c r="K392" s="19"/>
      <c r="L392" s="20"/>
      <c r="M392" s="25" t="s">
        <v>204</v>
      </c>
      <c r="N392" s="20" t="s">
        <v>3013</v>
      </c>
      <c r="O392" s="20"/>
      <c r="P392" s="20"/>
      <c r="Q392" s="26" t="str">
        <f>IF(S392="","",LEN(S392)-LEN(SUBSTITUTE(S392,"/",""))+IF(ISNUMBER(SEARCH("@",S392)),0,1))</f>
        <v/>
      </c>
      <c r="R392" s="26"/>
      <c r="S392" s="19"/>
      <c r="T392" s="19" t="s">
        <v>1975</v>
      </c>
      <c r="U392" s="20"/>
      <c r="V392" s="20" t="s">
        <v>1976</v>
      </c>
      <c r="W392" s="20"/>
      <c r="X392" s="46"/>
      <c r="Y392" s="20"/>
      <c r="Z392" s="20"/>
      <c r="AA392" s="20"/>
      <c r="AB392" s="20" t="str">
        <f>IF(ISBLANK(S392),"是","否")</f>
        <v>是</v>
      </c>
      <c r="AC392" s="20" t="s">
        <v>76</v>
      </c>
      <c r="AD392" s="24">
        <v>41</v>
      </c>
      <c r="AE392" s="25" t="s">
        <v>1973</v>
      </c>
      <c r="AH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</row>
    <row r="393" ht="111.8796992481203" customHeight="1" spans="1:57" x14ac:dyDescent="0.25">
      <c r="A393" s="20" t="s">
        <v>682</v>
      </c>
      <c r="B393" s="27"/>
      <c r="C393" s="20" t="s">
        <v>57</v>
      </c>
      <c r="D393" s="21" t="s">
        <v>58</v>
      </c>
      <c r="E393" s="22" t="s">
        <v>59</v>
      </c>
      <c r="F393" s="21" t="s">
        <v>1977</v>
      </c>
      <c r="G393" s="23" t="s">
        <v>1977</v>
      </c>
      <c r="H393" s="20" t="str">
        <f>SUBSTITUTE(SUBSTITUTE(SUBSTITUTE(S393,"/@","_"),"/cac:","_"),"/cbc:","_")</f>
        <v/>
      </c>
      <c r="I393" s="20" t="str">
        <f>SUBSTITUTE(SUBSTITUTE(SUBSTITUTE(T393,"/@","_"),"/cac:","_"),"/cbc:","_")</f>
        <v>在 Invoice 表头 BBIE 中未见“收购发票/收购类场景”专用标志；最接近是 InvoiceTypeCode（A code signifying the type of the Invoice.）但为“类型代码”而非“收购场景 Y/N 标志”。</v>
      </c>
      <c r="J393" s="19"/>
      <c r="K393" s="19"/>
      <c r="L393" s="25"/>
      <c r="M393" s="25" t="s">
        <v>204</v>
      </c>
      <c r="N393" s="20" t="s">
        <v>3013</v>
      </c>
      <c r="O393" s="19"/>
      <c r="P393" s="20"/>
      <c r="Q393" s="26" t="str">
        <f>IF(S393="","",LEN(S393)-LEN(SUBSTITUTE(S393,"/",""))+IF(ISNUMBER(SEARCH("@",S393)),0,1))</f>
        <v/>
      </c>
      <c r="R393" s="26"/>
      <c r="S393" s="19"/>
      <c r="T393" s="19" t="s">
        <v>1979</v>
      </c>
      <c r="U393" s="20"/>
      <c r="V393" s="25" t="s">
        <v>1980</v>
      </c>
      <c r="W393" s="19"/>
      <c r="X393" s="46"/>
      <c r="Y393" s="20"/>
      <c r="Z393" s="20"/>
      <c r="AA393" s="19"/>
      <c r="AB393" s="20" t="str">
        <f>IF(ISBLANK(S393),"是","否")</f>
        <v>是</v>
      </c>
      <c r="AC393" s="20" t="s">
        <v>76</v>
      </c>
      <c r="AD393" s="24">
        <v>75</v>
      </c>
      <c r="AE393" s="25" t="s">
        <v>1977</v>
      </c>
      <c r="AH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</row>
    <row r="394" ht="132.45112781954887" customHeight="1" spans="1:57" x14ac:dyDescent="0.25">
      <c r="A394" s="20" t="s">
        <v>682</v>
      </c>
      <c r="B394" s="27"/>
      <c r="C394" s="20" t="s">
        <v>57</v>
      </c>
      <c r="D394" s="21" t="s">
        <v>1981</v>
      </c>
      <c r="E394" s="22" t="s">
        <v>1982</v>
      </c>
      <c r="F394" s="21" t="s">
        <v>60</v>
      </c>
      <c r="G394" s="23" t="s">
        <v>60</v>
      </c>
      <c r="H394" s="20" t="str">
        <f>SUBSTITUTE(SUBSTITUTE(SUBSTITUTE(S394,"/@","_"),"/cac:","_"),"/cbc:","_")</f>
        <v/>
      </c>
      <c r="I394" s="20" t="str">
        <f>SUBSTITUTE(SUBSTITUTE(SUBSTITUTE(T394,"/@","_"),"/cac:","_"),"/cbc:","_")</f>
        <v>Invoice 可达的 ProjectReference 仅表示“项目信息引用”（Information about a project.），其 Details 也仅含 ID/UUID/IssueDate/WorkPhaseReference，未出现“建筑服务相关信息记录/子表主键ID”语义域对应字段。</v>
      </c>
      <c r="J394" s="19"/>
      <c r="K394" s="19"/>
      <c r="L394" s="20"/>
      <c r="M394" s="25" t="s">
        <v>63</v>
      </c>
      <c r="N394" s="20" t="s">
        <v>1280</v>
      </c>
      <c r="O394" s="19"/>
      <c r="P394" s="20"/>
      <c r="Q394" s="26" t="str">
        <f>IF(S394="","",LEN(S394)-LEN(SUBSTITUTE(S394,"/",""))+IF(ISNUMBER(SEARCH("@",S394)),0,1))</f>
        <v/>
      </c>
      <c r="R394" s="26"/>
      <c r="S394" s="19"/>
      <c r="T394" s="19" t="s">
        <v>1984</v>
      </c>
      <c r="U394" s="20"/>
      <c r="V394" s="20"/>
      <c r="W394" s="19"/>
      <c r="X394" s="46" t="s">
        <v>76</v>
      </c>
      <c r="Y394" s="20"/>
      <c r="Z394" s="20"/>
      <c r="AA394" s="19"/>
      <c r="AB394" s="20" t="str">
        <f>IF(ISBLANK(S394),"是","否")</f>
        <v>是</v>
      </c>
      <c r="AC394" s="20" t="s">
        <v>76</v>
      </c>
      <c r="AD394" s="24">
        <v>100</v>
      </c>
      <c r="AE394" s="25" t="s">
        <v>60</v>
      </c>
      <c r="AH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</row>
    <row r="395" ht="163.3082706766917" customHeight="1" spans="1:57" x14ac:dyDescent="0.25">
      <c r="A395" s="20" t="s">
        <v>682</v>
      </c>
      <c r="B395" s="27"/>
      <c r="C395" s="20" t="s">
        <v>57</v>
      </c>
      <c r="D395" s="21" t="s">
        <v>1981</v>
      </c>
      <c r="E395" s="22" t="s">
        <v>1982</v>
      </c>
      <c r="F395" s="21" t="s">
        <v>1985</v>
      </c>
      <c r="G395" s="23" t="s">
        <v>1985</v>
      </c>
      <c r="H395" s="20" t="str">
        <f>SUBSTITUTE(SUBSTITUTE(SUBSTITUTE(S395,"/@","_"),"/cac:","_"),"/cbc:","_")</f>
        <v/>
      </c>
      <c r="I395" s="20" t="str">
        <f>SUBSTITUTE(SUBSTITUTE(SUBSTITUTE(T395,"/@","_"),"/cac:","_"),"/cbc:","_")</f>
        <v>Invoice 虽有 ProjectReference（Information about a project.），但其可落位的 ProjectReference/ID 定义为“项目引用标识符”（An identifier for the referenced project.），与“建筑项目名称（名称/文本）”语义不一致；未找到“项目名称 Name/Text”对应行。</v>
      </c>
      <c r="J395" s="19"/>
      <c r="K395" s="19"/>
      <c r="L395" s="24"/>
      <c r="M395" s="25" t="s">
        <v>927</v>
      </c>
      <c r="N395" s="20" t="s">
        <v>3013</v>
      </c>
      <c r="O395" s="19"/>
      <c r="P395" s="20"/>
      <c r="Q395" s="26" t="str">
        <f>IF(S395="","",LEN(S395)-LEN(SUBSTITUTE(S395,"/",""))+IF(ISNUMBER(SEARCH("@",S395)),0,1))</f>
        <v/>
      </c>
      <c r="R395" s="26"/>
      <c r="S395" s="19"/>
      <c r="T395" s="19" t="s">
        <v>1987</v>
      </c>
      <c r="U395" s="20"/>
      <c r="V395" s="20"/>
      <c r="W395" s="19"/>
      <c r="X395" s="46"/>
      <c r="Y395" s="20"/>
      <c r="Z395" s="20"/>
      <c r="AA395" s="19"/>
      <c r="AB395" s="20" t="str">
        <f>IF(ISBLANK(S395),"是","否")</f>
        <v>是</v>
      </c>
      <c r="AC395" s="20" t="s">
        <v>76</v>
      </c>
      <c r="AD395" s="24">
        <v>101</v>
      </c>
      <c r="AE395" s="25" t="s">
        <v>1985</v>
      </c>
      <c r="AF395" s="24">
        <v>130</v>
      </c>
      <c r="AG395" s="25" t="s">
        <v>1985</v>
      </c>
      <c r="AH395" s="20"/>
      <c r="AI395" s="24"/>
      <c r="AJ395" s="25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</row>
    <row r="396" ht="111.8796992481203" customHeight="1" spans="1:57" x14ac:dyDescent="0.25">
      <c r="A396" s="20" t="s">
        <v>682</v>
      </c>
      <c r="B396" s="27"/>
      <c r="C396" s="20" t="s">
        <v>57</v>
      </c>
      <c r="D396" s="21" t="s">
        <v>1981</v>
      </c>
      <c r="E396" s="22" t="s">
        <v>1982</v>
      </c>
      <c r="F396" s="21" t="s">
        <v>1988</v>
      </c>
      <c r="G396" s="23" t="s">
        <v>1988</v>
      </c>
      <c r="H396" s="20" t="str">
        <f>SUBSTITUTE(SUBSTITUTE(SUBSTITUTE(S396,"/@","_"),"/cac:","_"),"/cbc:","_")</f>
        <v/>
      </c>
      <c r="I396" s="20" t="str">
        <f>SUBSTITUTE(SUBSTITUTE(SUBSTITUTE(T396,"/@","_"),"/cac:","_"),"/cbc:","_")</f>
        <v>Invoice 表未见“跨地（市）服务/跨区域提供服务”标志；表内可见的 Indicator 示例为 CopyIndicator（Indicates whether this document is a copy (true) or not (false).）但语义不符。</v>
      </c>
      <c r="J396" s="19"/>
      <c r="K396" s="19"/>
      <c r="L396" s="25"/>
      <c r="M396" s="25" t="s">
        <v>204</v>
      </c>
      <c r="N396" s="20" t="s">
        <v>3013</v>
      </c>
      <c r="O396" s="19"/>
      <c r="P396" s="20"/>
      <c r="Q396" s="26" t="str">
        <f>IF(S396="","",LEN(S396)-LEN(SUBSTITUTE(S396,"/",""))+IF(ISNUMBER(SEARCH("@",S396)),0,1))</f>
        <v/>
      </c>
      <c r="R396" s="26"/>
      <c r="S396" s="19"/>
      <c r="T396" s="19" t="s">
        <v>1990</v>
      </c>
      <c r="U396" s="20"/>
      <c r="V396" s="25"/>
      <c r="W396" s="19"/>
      <c r="X396" s="46"/>
      <c r="Y396" s="20"/>
      <c r="Z396" s="20"/>
      <c r="AA396" s="19"/>
      <c r="AB396" s="20" t="str">
        <f>IF(ISBLANK(S396),"是","否")</f>
        <v>是</v>
      </c>
      <c r="AC396" s="20" t="s">
        <v>76</v>
      </c>
      <c r="AD396" s="24">
        <v>102</v>
      </c>
      <c r="AE396" s="25" t="s">
        <v>1988</v>
      </c>
      <c r="AF396" s="24">
        <v>106</v>
      </c>
      <c r="AG396" s="25" t="s">
        <v>1988</v>
      </c>
      <c r="AH396" s="20"/>
      <c r="AI396" s="24"/>
      <c r="AJ396" s="25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</row>
    <row r="397" ht="101.59398496240601" customHeight="1" spans="1:57" x14ac:dyDescent="0.25">
      <c r="A397" s="20" t="s">
        <v>682</v>
      </c>
      <c r="B397" s="19" t="s">
        <v>139</v>
      </c>
      <c r="C397" s="20" t="s">
        <v>57</v>
      </c>
      <c r="D397" s="21" t="s">
        <v>1981</v>
      </c>
      <c r="E397" s="22" t="s">
        <v>1982</v>
      </c>
      <c r="F397" s="21" t="s">
        <v>1991</v>
      </c>
      <c r="G397" s="23" t="s">
        <v>1991</v>
      </c>
      <c r="H397" s="20" t="str">
        <f>SUBSTITUTE(SUBSTITUTE(SUBSTITUTE(S397,"/@","_"),"/cac:","_"),"/cbc:","_")</f>
        <v>Invoice_AdditionalDocumentReference_ID</v>
      </c>
      <c r="I397" s="20" t="str">
        <f>SUBSTITUTE(SUBSTITUTE(SUBSTITUTE(T397,"/@","_"),"/cac:","_"),"/cbc:","_")</f>
        <v>将“跨区域涉税事项报验管理编号”作为“附加单据引用”的标识号：Invoice 的 AdditionalDocumentReference（附加单据引用）→ DocumentReference.ID。</v>
      </c>
      <c r="J397" s="19"/>
      <c r="K397" s="19" t="s">
        <v>1993</v>
      </c>
      <c r="L397" s="24"/>
      <c r="M397" s="25" t="s">
        <v>913</v>
      </c>
      <c r="N397" s="20" t="s">
        <v>3013</v>
      </c>
      <c r="O397" s="28">
        <v>1</v>
      </c>
      <c r="P397" s="20"/>
      <c r="Q397" s="26" t="str">
        <f>IF(S397="","",LEN(S397)-LEN(SUBSTITUTE(S397,"/",""))+IF(ISNUMBER(SEARCH("@",S397)),0,1))</f>
        <v>3</v>
      </c>
      <c r="R397" s="26"/>
      <c r="S397" s="19" t="s">
        <v>173</v>
      </c>
      <c r="T397" s="19" t="s">
        <v>1994</v>
      </c>
      <c r="U397" s="20"/>
      <c r="V397" s="20"/>
      <c r="W397" s="19" t="s">
        <v>138</v>
      </c>
      <c r="X397" s="46"/>
      <c r="Y397" s="20"/>
      <c r="Z397" s="20"/>
      <c r="AA397" s="19" t="s">
        <v>68</v>
      </c>
      <c r="AB397" s="20" t="str">
        <f>IF(ISBLANK(S397),"是","否")</f>
        <v>否</v>
      </c>
      <c r="AC397" s="20" t="s">
        <v>76</v>
      </c>
      <c r="AD397" s="24">
        <v>103</v>
      </c>
      <c r="AE397" s="25" t="s">
        <v>1991</v>
      </c>
      <c r="AF397" s="24">
        <v>134</v>
      </c>
      <c r="AG397" s="25" t="s">
        <v>1991</v>
      </c>
      <c r="AH397" s="20"/>
      <c r="AI397" s="24"/>
      <c r="AJ397" s="25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</row>
    <row r="398" ht="111.8796992481203" customHeight="1" spans="1:57" x14ac:dyDescent="0.25">
      <c r="A398" s="20" t="s">
        <v>682</v>
      </c>
      <c r="B398" s="19" t="s">
        <v>316</v>
      </c>
      <c r="C398" s="20" t="s">
        <v>57</v>
      </c>
      <c r="D398" s="21" t="s">
        <v>1981</v>
      </c>
      <c r="E398" s="22" t="s">
        <v>1982</v>
      </c>
      <c r="F398" s="21" t="s">
        <v>1995</v>
      </c>
      <c r="G398" s="23" t="s">
        <v>1995</v>
      </c>
      <c r="H398" s="20" t="str">
        <f>SUBSTITUTE(SUBSTITUTE(SUBSTITUTE(S398,"/@","_"),"/cac:","_"),"/cbc:","_")</f>
        <v>Invoice_Delivery_DeliveryAddress_AddressLine_Line</v>
      </c>
      <c r="I398" s="20" t="str">
        <f>SUBSTITUTE(SUBSTITUTE(SUBSTITUTE(T398,"/@","_"),"/cac:","_"),"/cbc:","_")</f>
        <v>施工地点“详细地址”更像非结构化地址行；Invoice 头存在 Delivery（交付信息），其下有 DeliveryAddress（交付地址），AddressLine/Line 定义为非结构化地址行。</v>
      </c>
      <c r="J398" s="19"/>
      <c r="K398" s="19" t="s">
        <v>1997</v>
      </c>
      <c r="L398" s="20"/>
      <c r="M398" s="25" t="s">
        <v>1998</v>
      </c>
      <c r="N398" s="20" t="s">
        <v>3013</v>
      </c>
      <c r="O398" s="20" t="s">
        <v>165</v>
      </c>
      <c r="P398" s="20"/>
      <c r="Q398" s="26" t="str">
        <f>IF(S398="","",LEN(S398)-LEN(SUBSTITUTE(S398,"/",""))+IF(ISNUMBER(SEARCH("@",S398)),0,1))</f>
        <v>5</v>
      </c>
      <c r="R398" s="26"/>
      <c r="S398" s="19" t="s">
        <v>1999</v>
      </c>
      <c r="T398" s="19" t="s">
        <v>2000</v>
      </c>
      <c r="U398" s="20"/>
      <c r="V398" s="20"/>
      <c r="W398" s="20" t="s">
        <v>327</v>
      </c>
      <c r="X398" s="46"/>
      <c r="Y398" s="20"/>
      <c r="Z398" s="20"/>
      <c r="AA398" s="20" t="s">
        <v>68</v>
      </c>
      <c r="AB398" s="20" t="str">
        <f>IF(ISBLANK(S398),"是","否")</f>
        <v>否</v>
      </c>
      <c r="AC398" s="20" t="s">
        <v>76</v>
      </c>
      <c r="AD398" s="24">
        <v>104</v>
      </c>
      <c r="AE398" s="25" t="s">
        <v>1995</v>
      </c>
      <c r="AF398" s="24">
        <v>105</v>
      </c>
      <c r="AG398" s="25" t="s">
        <v>1995</v>
      </c>
      <c r="AH398" s="20"/>
      <c r="AI398" s="24"/>
      <c r="AJ398" s="25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</row>
    <row r="399" ht="142.73684210526315" customHeight="1" spans="1:57" x14ac:dyDescent="0.25">
      <c r="A399" s="20" t="s">
        <v>682</v>
      </c>
      <c r="B399" s="19" t="s">
        <v>2001</v>
      </c>
      <c r="C399" s="20" t="s">
        <v>57</v>
      </c>
      <c r="D399" s="21" t="s">
        <v>1981</v>
      </c>
      <c r="E399" s="22" t="s">
        <v>1982</v>
      </c>
      <c r="F399" s="21" t="s">
        <v>2002</v>
      </c>
      <c r="G399" s="23" t="s">
        <v>2002</v>
      </c>
      <c r="H399" s="20" t="str">
        <f>SUBSTITUTE(SUBSTITUTE(SUBSTITUTE(S399,"/@","_"),"/cac:","_"),"/cbc:","_")</f>
        <v>Invoice_ProjectReference_ID</v>
      </c>
      <c r="I399" s="20" t="str">
        <f>SUBSTITUTE(SUBSTITUTE(SUBSTITUTE(T399,"/@","_"),"/cac:","_"),"/cbc:","_")</f>
        <v>你字段是“项目编号”，UBL 在 Invoice 上有 ProjectReference（项目信息/项目引用），其 ID 定义为“被引用项目的标识”。但 UBL 语境偏“procurement project”，与“土地增值税项目”存在业务口径差异（仍可证伪/替换为扩展字段）。</v>
      </c>
      <c r="J399" s="19"/>
      <c r="K399" s="19" t="s">
        <v>2004</v>
      </c>
      <c r="L399" s="25"/>
      <c r="M399" s="25" t="s">
        <v>909</v>
      </c>
      <c r="N399" s="20" t="s">
        <v>3013</v>
      </c>
      <c r="O399" s="20" t="s">
        <v>165</v>
      </c>
      <c r="P399" s="20"/>
      <c r="Q399" s="26" t="str">
        <f>IF(S399="","",LEN(S399)-LEN(SUBSTITUTE(S399,"/",""))+IF(ISNUMBER(SEARCH("@",S399)),0,1))</f>
        <v>3</v>
      </c>
      <c r="R399" s="26"/>
      <c r="S399" s="19" t="s">
        <v>2005</v>
      </c>
      <c r="T399" s="19" t="s">
        <v>2006</v>
      </c>
      <c r="U399" s="20"/>
      <c r="V399" s="25"/>
      <c r="W399" s="20"/>
      <c r="X399" s="46"/>
      <c r="Y399" s="20"/>
      <c r="Z399" s="20"/>
      <c r="AA399" s="20" t="s">
        <v>68</v>
      </c>
      <c r="AB399" s="20" t="str">
        <f>IF(ISBLANK(S399),"是","否")</f>
        <v>否</v>
      </c>
      <c r="AC399" s="20" t="s">
        <v>76</v>
      </c>
      <c r="AD399" s="24">
        <v>105</v>
      </c>
      <c r="AE399" s="25" t="s">
        <v>2002</v>
      </c>
      <c r="AF399" s="37">
        <v>110</v>
      </c>
      <c r="AG399" s="35" t="s">
        <v>2002</v>
      </c>
      <c r="AH399" s="20"/>
      <c r="AI399" s="37"/>
      <c r="AJ399" s="35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</row>
    <row r="400" ht="70.73684210526315" customHeight="1" spans="1:57" x14ac:dyDescent="0.25">
      <c r="A400" s="20" t="s">
        <v>682</v>
      </c>
      <c r="B400" s="19" t="s">
        <v>41</v>
      </c>
      <c r="C400" s="20" t="s">
        <v>57</v>
      </c>
      <c r="D400" s="21" t="s">
        <v>1981</v>
      </c>
      <c r="E400" s="22" t="s">
        <v>1982</v>
      </c>
      <c r="F400" s="21" t="s">
        <v>2007</v>
      </c>
      <c r="G400" s="23" t="s">
        <v>2007</v>
      </c>
      <c r="H400" s="20" t="str">
        <f>SUBSTITUTE(SUBSTITUTE(SUBSTITUTE(S400,"/@","_"),"/cac:","_"),"/cbc:","_")</f>
        <v>Invoice_UUID</v>
      </c>
      <c r="I400" s="20" t="str">
        <f>SUBSTITUTE(SUBSTITUTE(SUBSTITUTE(T400,"/@","_"),"/cac:","_"),"/cbc:","_")</f>
        <v>你字段强调“系统内流水编号/内部追踪（区别于票面发票号码）”，与 Invoice 的 UUID（文档实例唯一标识）最一致。</v>
      </c>
      <c r="J400" s="19"/>
      <c r="K400" s="19" t="s">
        <v>2008</v>
      </c>
      <c r="L400" s="24"/>
      <c r="M400" s="25" t="s">
        <v>72</v>
      </c>
      <c r="N400" s="20" t="s">
        <v>3013</v>
      </c>
      <c r="O400" s="20" t="s">
        <v>64</v>
      </c>
      <c r="P400" s="20"/>
      <c r="Q400" s="26" t="str">
        <f>IF(S400="","",LEN(S400)-LEN(SUBSTITUTE(S400,"/",""))+IF(ISNUMBER(SEARCH("@",S400)),0,1))</f>
        <v>2</v>
      </c>
      <c r="R400" s="26"/>
      <c r="S400" s="19" t="s">
        <v>65</v>
      </c>
      <c r="T400" s="19" t="s">
        <v>2009</v>
      </c>
      <c r="U400" s="20"/>
      <c r="V400" s="20"/>
      <c r="W400" s="20"/>
      <c r="X400" s="46"/>
      <c r="Y400" s="20"/>
      <c r="Z400" s="20"/>
      <c r="AA400" s="20" t="s">
        <v>68</v>
      </c>
      <c r="AB400" s="20" t="str">
        <f>IF(ISBLANK(S400),"是","否")</f>
        <v>否</v>
      </c>
      <c r="AC400" s="20" t="s">
        <v>76</v>
      </c>
      <c r="AD400" s="24">
        <v>106</v>
      </c>
      <c r="AE400" s="25" t="s">
        <v>2007</v>
      </c>
      <c r="AH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</row>
    <row r="401" ht="91.30827067669172" customHeight="1" spans="1:57" x14ac:dyDescent="0.25">
      <c r="A401" s="20" t="s">
        <v>682</v>
      </c>
      <c r="B401" s="19" t="s">
        <v>316</v>
      </c>
      <c r="C401" s="20" t="s">
        <v>57</v>
      </c>
      <c r="D401" s="21" t="s">
        <v>1981</v>
      </c>
      <c r="E401" s="22" t="s">
        <v>1982</v>
      </c>
      <c r="F401" s="21" t="s">
        <v>2010</v>
      </c>
      <c r="G401" s="23" t="s">
        <v>2010</v>
      </c>
      <c r="H401" s="20" t="str">
        <f>SUBSTITUTE(SUBSTITUTE(SUBSTITUTE(S401,"/@","_"),"/cac:","_"),"/cbc:","_")</f>
        <v>Invoice_Delivery_DeliveryAddress_AddressLine_Line</v>
      </c>
      <c r="I401" s="20" t="str">
        <f>SUBSTITUTE(SUBSTITUTE(SUBSTITUTE(T401,"/@","_"),"/cac:","_"),"/cbc:","_")</f>
        <v>“建筑服务发生地”可按交付地址表达：Invoice→Delivery（交付信息）→DeliveryAddress（交付地址）→AddressLine/Line（非结构化地址行）。</v>
      </c>
      <c r="J401" s="19"/>
      <c r="K401" s="19" t="s">
        <v>2012</v>
      </c>
      <c r="L401" s="25" t="s">
        <v>2013</v>
      </c>
      <c r="M401" s="25" t="s">
        <v>1998</v>
      </c>
      <c r="N401" s="20" t="s">
        <v>3013</v>
      </c>
      <c r="O401" s="20" t="s">
        <v>165</v>
      </c>
      <c r="P401" s="20"/>
      <c r="Q401" s="26" t="str">
        <f>IF(S401="","",LEN(S401)-LEN(SUBSTITUTE(S401,"/",""))+IF(ISNUMBER(SEARCH("@",S401)),0,1))</f>
        <v>5</v>
      </c>
      <c r="R401" s="26"/>
      <c r="S401" s="19" t="s">
        <v>1999</v>
      </c>
      <c r="T401" s="19" t="s">
        <v>2014</v>
      </c>
      <c r="U401" s="20"/>
      <c r="V401" s="20"/>
      <c r="W401" s="20" t="s">
        <v>327</v>
      </c>
      <c r="X401" s="46"/>
      <c r="Y401" s="20"/>
      <c r="Z401" s="20"/>
      <c r="AA401" s="20" t="s">
        <v>68</v>
      </c>
      <c r="AB401" s="20" t="str">
        <f>IF(ISBLANK(S401),"是","否")</f>
        <v>否</v>
      </c>
      <c r="AC401" s="20" t="s">
        <v>76</v>
      </c>
      <c r="AD401" s="24">
        <v>107</v>
      </c>
      <c r="AE401" s="25" t="s">
        <v>2010</v>
      </c>
      <c r="AF401" s="24">
        <v>146</v>
      </c>
      <c r="AG401" s="25" t="s">
        <v>2010</v>
      </c>
      <c r="AH401" s="20"/>
      <c r="AI401" s="24"/>
      <c r="AJ401" s="25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</row>
    <row r="402" ht="60.45112781954887" customHeight="1" spans="1:57" x14ac:dyDescent="0.25">
      <c r="A402" s="20" t="s">
        <v>682</v>
      </c>
      <c r="B402" s="27"/>
      <c r="C402" s="20" t="s">
        <v>57</v>
      </c>
      <c r="D402" s="21" t="s">
        <v>2015</v>
      </c>
      <c r="E402" s="22" t="s">
        <v>2016</v>
      </c>
      <c r="F402" s="21" t="s">
        <v>60</v>
      </c>
      <c r="G402" s="23" t="s">
        <v>60</v>
      </c>
      <c r="H402" s="20" t="str">
        <f>SUBSTITUTE(SUBSTITUTE(SUBSTITUTE(S402,"/@","_"),"/cac:","_"),"/cbc:","_")</f>
        <v/>
      </c>
      <c r="I402" s="20" t="str">
        <f>SUBSTITUTE(SUBSTITUTE(SUBSTITUTE(T402,"/@","_"),"/cac:","_"),"/cbc:","_")</f>
        <v>“共同购买方信息表主键ID”是系统实现的明细表记录主键；UBL Invoice 无此类实现字段。</v>
      </c>
      <c r="J402" s="19"/>
      <c r="K402" s="19"/>
      <c r="L402" s="25"/>
      <c r="M402" s="25" t="s">
        <v>63</v>
      </c>
      <c r="N402" s="20" t="s">
        <v>1280</v>
      </c>
      <c r="O402" s="20"/>
      <c r="P402" s="20"/>
      <c r="Q402" s="26" t="str">
        <f>IF(S402="","",LEN(S402)-LEN(SUBSTITUTE(S402,"/",""))+IF(ISNUMBER(SEARCH("@",S402)),0,1))</f>
        <v/>
      </c>
      <c r="R402" s="26"/>
      <c r="S402" s="19"/>
      <c r="T402" s="19" t="s">
        <v>2018</v>
      </c>
      <c r="U402" s="20"/>
      <c r="V402" s="25"/>
      <c r="W402" s="20"/>
      <c r="X402" s="46" t="s">
        <v>76</v>
      </c>
      <c r="Y402" s="20"/>
      <c r="Z402" s="20"/>
      <c r="AA402" s="20"/>
      <c r="AB402" s="20" t="str">
        <f>IF(ISBLANK(S402),"是","否")</f>
        <v>是</v>
      </c>
      <c r="AC402" s="20" t="s">
        <v>76</v>
      </c>
      <c r="AD402" s="24">
        <v>108</v>
      </c>
      <c r="AE402" s="25" t="s">
        <v>60</v>
      </c>
      <c r="AF402" s="37">
        <v>237</v>
      </c>
      <c r="AG402" s="35" t="s">
        <v>1313</v>
      </c>
      <c r="AH402" s="20"/>
      <c r="AI402" s="37"/>
      <c r="AJ402" s="35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</row>
    <row r="403" ht="122.16541353383457" customHeight="1" spans="1:57" x14ac:dyDescent="0.25">
      <c r="A403" s="20" t="s">
        <v>682</v>
      </c>
      <c r="B403" s="27"/>
      <c r="C403" s="20" t="s">
        <v>57</v>
      </c>
      <c r="D403" s="21" t="s">
        <v>2015</v>
      </c>
      <c r="E403" s="22" t="s">
        <v>2016</v>
      </c>
      <c r="F403" s="21" t="s">
        <v>2019</v>
      </c>
      <c r="G403" s="23" t="s">
        <v>2019</v>
      </c>
      <c r="H403" s="20" t="str">
        <f>SUBSTITUTE(SUBSTITUTE(SUBSTITUTE(S403,"/@","_"),"/cac:","_"),"/cbc:","_")</f>
        <v/>
      </c>
      <c r="I403" s="20" t="str">
        <f>SUBSTITUTE(SUBSTITUTE(SUBSTITUTE(T403,"/@","_"),"/cac:","_"),"/cbc:","_")</f>
        <v>UBL Invoice 仅提供单一 BuyerCustomerParty（0..1）；无法表达“共同购买方列表”。最接近概念是 Party 的 Name（A name for this party），但缺少“共同购买方（多方）”语义落位。</v>
      </c>
      <c r="J403" s="19"/>
      <c r="K403" s="19"/>
      <c r="L403" s="25"/>
      <c r="M403" s="25" t="s">
        <v>889</v>
      </c>
      <c r="N403" s="20" t="s">
        <v>3013</v>
      </c>
      <c r="O403" s="20"/>
      <c r="P403" s="20"/>
      <c r="Q403" s="26" t="str">
        <f>IF(S403="","",LEN(S403)-LEN(SUBSTITUTE(S403,"/",""))+IF(ISNUMBER(SEARCH("@",S403)),0,1))</f>
        <v/>
      </c>
      <c r="R403" s="26"/>
      <c r="S403" s="19"/>
      <c r="T403" s="19" t="s">
        <v>2021</v>
      </c>
      <c r="U403" s="20"/>
      <c r="V403" s="20"/>
      <c r="W403" s="20"/>
      <c r="X403" s="46"/>
      <c r="Y403" s="20"/>
      <c r="Z403" s="20"/>
      <c r="AA403" s="20"/>
      <c r="AB403" s="20" t="str">
        <f>IF(ISBLANK(S403),"是","否")</f>
        <v>是</v>
      </c>
      <c r="AC403" s="20" t="s">
        <v>76</v>
      </c>
      <c r="AD403" s="24">
        <v>109</v>
      </c>
      <c r="AE403" s="25" t="s">
        <v>2019</v>
      </c>
      <c r="AH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</row>
    <row r="404" ht="111.8796992481203" customHeight="1" spans="1:57" x14ac:dyDescent="0.25">
      <c r="A404" s="20" t="s">
        <v>682</v>
      </c>
      <c r="B404" s="27"/>
      <c r="C404" s="20" t="s">
        <v>57</v>
      </c>
      <c r="D404" s="21" t="s">
        <v>2015</v>
      </c>
      <c r="E404" s="22" t="s">
        <v>2016</v>
      </c>
      <c r="F404" s="21" t="s">
        <v>2022</v>
      </c>
      <c r="G404" s="23" t="s">
        <v>2022</v>
      </c>
      <c r="H404" s="20" t="str">
        <f>SUBSTITUTE(SUBSTITUTE(SUBSTITUTE(S404,"/@","_"),"/cac:","_"),"/cbc:","_")</f>
        <v/>
      </c>
      <c r="I404" s="20" t="str">
        <f>SUBSTITUTE(SUBSTITUTE(SUBSTITUTE(T404,"/@","_"),"/cac:","_"),"/cbc:","_")</f>
        <v>最接近候选为 PartyIdentification 的 ID（An identifier for the party），但它用于“某个 Party 的标识”，且 Invoice 结构无“共同购买方列表”入口，无法语义一致落位。</v>
      </c>
      <c r="J404" s="19"/>
      <c r="K404" s="19"/>
      <c r="L404" s="20"/>
      <c r="M404" s="25" t="s">
        <v>2024</v>
      </c>
      <c r="N404" s="20" t="s">
        <v>3013</v>
      </c>
      <c r="O404" s="20"/>
      <c r="P404" s="20"/>
      <c r="Q404" s="26" t="str">
        <f>IF(S404="","",LEN(S404)-LEN(SUBSTITUTE(S404,"/",""))+IF(ISNUMBER(SEARCH("@",S404)),0,1))</f>
        <v/>
      </c>
      <c r="R404" s="26"/>
      <c r="S404" s="19"/>
      <c r="T404" s="19" t="s">
        <v>2025</v>
      </c>
      <c r="U404" s="20"/>
      <c r="V404" s="20"/>
      <c r="W404" s="20"/>
      <c r="X404" s="46"/>
      <c r="Y404" s="20"/>
      <c r="Z404" s="20"/>
      <c r="AA404" s="20"/>
      <c r="AB404" s="20" t="str">
        <f>IF(ISBLANK(S404),"是","否")</f>
        <v>是</v>
      </c>
      <c r="AC404" s="20" t="s">
        <v>76</v>
      </c>
      <c r="AD404" s="24">
        <v>110</v>
      </c>
      <c r="AE404" s="25" t="s">
        <v>2022</v>
      </c>
      <c r="AF404" s="24">
        <v>240</v>
      </c>
      <c r="AG404" s="25" t="s">
        <v>2026</v>
      </c>
      <c r="AH404" s="20"/>
      <c r="AI404" s="24"/>
      <c r="AJ404" s="25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</row>
    <row r="405" ht="91.30827067669172" customHeight="1" spans="1:57" x14ac:dyDescent="0.25">
      <c r="A405" s="20" t="s">
        <v>682</v>
      </c>
      <c r="B405" s="27"/>
      <c r="C405" s="20" t="s">
        <v>57</v>
      </c>
      <c r="D405" s="21" t="s">
        <v>2015</v>
      </c>
      <c r="E405" s="22" t="s">
        <v>2016</v>
      </c>
      <c r="F405" s="21" t="s">
        <v>2027</v>
      </c>
      <c r="G405" s="23" t="s">
        <v>2027</v>
      </c>
      <c r="H405" s="20" t="str">
        <f>SUBSTITUTE(SUBSTITUTE(SUBSTITUTE(S405,"/@","_"),"/cac:","_"),"/cbc:","_")</f>
        <v/>
      </c>
      <c r="I405" s="20" t="str">
        <f>SUBSTITUTE(SUBSTITUTE(SUBSTITUTE(T405,"/@","_"),"/cac:","_"),"/cbc:","_")</f>
        <v>“证件类型”在该 Summary Report 中无独立元素行可匹配（通常需依赖标识符的 scheme/属性表达，但此报告未提供对应“字段行”）；因此按规则未匹配。</v>
      </c>
      <c r="J405" s="19"/>
      <c r="K405" s="19"/>
      <c r="L405" s="25"/>
      <c r="M405" s="25" t="s">
        <v>1939</v>
      </c>
      <c r="N405" s="20" t="s">
        <v>3013</v>
      </c>
      <c r="O405" s="20"/>
      <c r="P405" s="20"/>
      <c r="Q405" s="26" t="str">
        <f>IF(S405="","",LEN(S405)-LEN(SUBSTITUTE(S405,"/",""))+IF(ISNUMBER(SEARCH("@",S405)),0,1))</f>
        <v/>
      </c>
      <c r="R405" s="26"/>
      <c r="S405" s="19"/>
      <c r="T405" s="19" t="s">
        <v>2028</v>
      </c>
      <c r="U405" s="20"/>
      <c r="V405" s="25"/>
      <c r="W405" s="20"/>
      <c r="X405" s="46"/>
      <c r="Y405" s="20"/>
      <c r="Z405" s="20"/>
      <c r="AA405" s="20"/>
      <c r="AB405" s="20" t="str">
        <f>IF(ISBLANK(S405),"是","否")</f>
        <v>是</v>
      </c>
      <c r="AC405" s="20" t="s">
        <v>76</v>
      </c>
      <c r="AD405" s="24">
        <v>111</v>
      </c>
      <c r="AE405" s="25" t="s">
        <v>2027</v>
      </c>
      <c r="AF405" s="37">
        <v>241</v>
      </c>
      <c r="AG405" s="35" t="s">
        <v>2029</v>
      </c>
      <c r="AH405" s="20"/>
      <c r="AI405" s="37"/>
      <c r="AJ405" s="35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</row>
    <row r="406" ht="70.73684210526315" customHeight="1" spans="1:57" x14ac:dyDescent="0.25">
      <c r="A406" s="20" t="s">
        <v>682</v>
      </c>
      <c r="B406" s="19" t="s">
        <v>41</v>
      </c>
      <c r="C406" s="20" t="s">
        <v>57</v>
      </c>
      <c r="D406" s="21" t="s">
        <v>2015</v>
      </c>
      <c r="E406" s="22" t="s">
        <v>2016</v>
      </c>
      <c r="F406" s="21" t="s">
        <v>2007</v>
      </c>
      <c r="G406" s="23" t="s">
        <v>2007</v>
      </c>
      <c r="H406" s="20" t="str">
        <f>SUBSTITUTE(SUBSTITUTE(SUBSTITUTE(S406,"/@","_"),"/cac:","_"),"/cbc:","_")</f>
        <v>Invoice_UUID</v>
      </c>
      <c r="I406" s="20" t="str">
        <f>SUBSTITUTE(SUBSTITUTE(SUBSTITUTE(T406,"/@","_"),"/cac:","_"),"/cbc:","_")</f>
        <v>与“系统内部追踪用的发票流水号（区别于票面发票号码）”更贴近：UUID 可作为文档实例的内部唯一追踪号。</v>
      </c>
      <c r="J406" s="19"/>
      <c r="K406" s="19" t="s">
        <v>2030</v>
      </c>
      <c r="L406" s="25"/>
      <c r="M406" s="25" t="s">
        <v>72</v>
      </c>
      <c r="N406" s="20" t="s">
        <v>3013</v>
      </c>
      <c r="O406" s="20" t="s">
        <v>64</v>
      </c>
      <c r="P406" s="20"/>
      <c r="Q406" s="26" t="str">
        <f>IF(S406="","",LEN(S406)-LEN(SUBSTITUTE(S406,"/",""))+IF(ISNUMBER(SEARCH("@",S406)),0,1))</f>
        <v>2</v>
      </c>
      <c r="R406" s="26"/>
      <c r="S406" s="19" t="s">
        <v>65</v>
      </c>
      <c r="T406" s="19" t="s">
        <v>2031</v>
      </c>
      <c r="U406" s="20"/>
      <c r="V406" s="25"/>
      <c r="W406" s="20"/>
      <c r="X406" s="46"/>
      <c r="Y406" s="20"/>
      <c r="Z406" s="20"/>
      <c r="AA406" s="20" t="s">
        <v>68</v>
      </c>
      <c r="AB406" s="20" t="str">
        <f>IF(ISBLANK(S406),"是","否")</f>
        <v>否</v>
      </c>
      <c r="AC406" s="20" t="s">
        <v>76</v>
      </c>
      <c r="AD406" s="24">
        <v>112</v>
      </c>
      <c r="AE406" s="25" t="s">
        <v>2007</v>
      </c>
      <c r="AH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</row>
    <row r="407" ht="70.73684210526315" customHeight="1" spans="1:57" x14ac:dyDescent="0.25">
      <c r="A407" s="20" t="s">
        <v>682</v>
      </c>
      <c r="B407" s="27"/>
      <c r="C407" s="20" t="s">
        <v>57</v>
      </c>
      <c r="D407" s="21" t="s">
        <v>2032</v>
      </c>
      <c r="E407" s="22" t="s">
        <v>2033</v>
      </c>
      <c r="F407" s="21" t="s">
        <v>60</v>
      </c>
      <c r="G407" s="23" t="s">
        <v>60</v>
      </c>
      <c r="H407" s="20" t="str">
        <f>SUBSTITUTE(SUBSTITUTE(SUBSTITUTE(S407,"/@","_"),"/cac:","_"),"/cbc:","_")</f>
        <v/>
      </c>
      <c r="I407" s="20" t="str">
        <f>SUBSTITUTE(SUBSTITUTE(SUBSTITUTE(T407,"/@","_"),"/cac:","_"),"/cbc:","_")</f>
        <v>“不动产经营租赁服务信息表主键ID”是系统实现的明细表记录主键；UBL Invoice 无此类实现字段。</v>
      </c>
      <c r="J407" s="19"/>
      <c r="K407" s="19"/>
      <c r="L407" s="20"/>
      <c r="M407" s="25" t="s">
        <v>63</v>
      </c>
      <c r="N407" s="20" t="s">
        <v>1280</v>
      </c>
      <c r="O407" s="20"/>
      <c r="P407" s="20"/>
      <c r="Q407" s="26" t="str">
        <f>IF(S407="","",LEN(S407)-LEN(SUBSTITUTE(S407,"/",""))+IF(ISNUMBER(SEARCH("@",S407)),0,1))</f>
        <v/>
      </c>
      <c r="R407" s="26"/>
      <c r="S407" s="19"/>
      <c r="T407" s="19" t="s">
        <v>2035</v>
      </c>
      <c r="U407" s="20"/>
      <c r="V407" s="20"/>
      <c r="W407" s="20"/>
      <c r="X407" s="46" t="s">
        <v>76</v>
      </c>
      <c r="Y407" s="20"/>
      <c r="Z407" s="20"/>
      <c r="AA407" s="20"/>
      <c r="AB407" s="20" t="str">
        <f>IF(ISBLANK(S407),"是","否")</f>
        <v>是</v>
      </c>
      <c r="AC407" s="20" t="s">
        <v>76</v>
      </c>
      <c r="AD407" s="24">
        <v>113</v>
      </c>
      <c r="AE407" s="25" t="s">
        <v>60</v>
      </c>
      <c r="AH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</row>
    <row r="408" ht="81.02255639097744" customHeight="1" spans="1:57" x14ac:dyDescent="0.25">
      <c r="A408" s="20" t="s">
        <v>682</v>
      </c>
      <c r="B408" s="19" t="s">
        <v>97</v>
      </c>
      <c r="C408" s="20" t="s">
        <v>57</v>
      </c>
      <c r="D408" s="21" t="s">
        <v>2036</v>
      </c>
      <c r="E408" s="22" t="s">
        <v>2037</v>
      </c>
      <c r="F408" s="21" t="s">
        <v>2038</v>
      </c>
      <c r="G408" s="23" t="s">
        <v>2038</v>
      </c>
      <c r="H408" s="20" t="str">
        <f>SUBSTITUTE(SUBSTITUTE(SUBSTITUTE(S408,"/@","_"),"/cac:","_"),"/cbc:","_")</f>
        <v>Invoice_LegalMonetaryTotal_TaxInclusiveAmount</v>
      </c>
      <c r="I408" s="20" t="str">
        <f>SUBSTITUTE(SUBSTITUTE(SUBSTITUTE(T408,"/@","_"),"/cac:","_"),"/cbc:","_")</f>
        <v>含税总额口径，和“实际成交含税金额（含税）”语义最贴近；位于 Invoice → LegalMonetaryTotal（MonetaryTotal）下。</v>
      </c>
      <c r="J408" s="19"/>
      <c r="K408" s="19" t="s">
        <v>2040</v>
      </c>
      <c r="L408" s="20"/>
      <c r="M408" s="25" t="s">
        <v>909</v>
      </c>
      <c r="N408" s="20" t="s">
        <v>3013</v>
      </c>
      <c r="O408" s="20" t="s">
        <v>64</v>
      </c>
      <c r="P408" s="20"/>
      <c r="Q408" s="26" t="str">
        <f>IF(S408="","",LEN(S408)-LEN(SUBSTITUTE(S408,"/",""))+IF(ISNUMBER(SEARCH("@",S408)),0,1))</f>
        <v>3</v>
      </c>
      <c r="R408" s="26"/>
      <c r="S408" s="19" t="s">
        <v>102</v>
      </c>
      <c r="T408" s="19" t="s">
        <v>2041</v>
      </c>
      <c r="U408" s="20"/>
      <c r="V408" s="20"/>
      <c r="W408" s="20"/>
      <c r="X408" s="46"/>
      <c r="Y408" s="20"/>
      <c r="Z408" s="20"/>
      <c r="AA408" s="20" t="s">
        <v>68</v>
      </c>
      <c r="AB408" s="20" t="str">
        <f>IF(ISBLANK(S408),"是","否")</f>
        <v>否</v>
      </c>
      <c r="AC408" s="20" t="s">
        <v>76</v>
      </c>
      <c r="AD408" s="24">
        <v>114</v>
      </c>
      <c r="AE408" s="25" t="s">
        <v>2038</v>
      </c>
      <c r="AF408" s="24">
        <v>221</v>
      </c>
      <c r="AG408" s="25" t="s">
        <v>2042</v>
      </c>
      <c r="AH408" s="20"/>
      <c r="AI408" s="24"/>
      <c r="AJ408" s="25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</row>
    <row r="409" ht="81.02255639097744" customHeight="1" spans="1:57" x14ac:dyDescent="0.25">
      <c r="A409" s="20" t="s">
        <v>682</v>
      </c>
      <c r="B409" s="19" t="s">
        <v>97</v>
      </c>
      <c r="C409" s="20" t="s">
        <v>57</v>
      </c>
      <c r="D409" s="21" t="s">
        <v>2036</v>
      </c>
      <c r="E409" s="22" t="s">
        <v>2037</v>
      </c>
      <c r="F409" s="21" t="s">
        <v>2043</v>
      </c>
      <c r="G409" s="23" t="s">
        <v>2043</v>
      </c>
      <c r="H409" s="20" t="str">
        <f>SUBSTITUTE(SUBSTITUTE(SUBSTITUTE(S409,"/@","_"),"/cac:","_"),"/cbc:","_")</f>
        <v>Invoice_LegalMonetaryTotal_PayableAmount</v>
      </c>
      <c r="I409" s="20" t="str">
        <f>SUBSTITUTE(SUBSTITUTE(SUBSTITUTE(T409,"/@","_"),"/cac:","_"),"/cbc:","_")</f>
        <v>若你们“实际成交含税金额”更偏“最终应付/应收金额”（可能已考虑预付、舍入等），则该字段也成立；但语义更偏“应付”。</v>
      </c>
      <c r="J409" s="19"/>
      <c r="K409" s="19" t="s">
        <v>2045</v>
      </c>
      <c r="L409" s="24"/>
      <c r="M409" s="25" t="s">
        <v>909</v>
      </c>
      <c r="N409" s="20" t="s">
        <v>3013</v>
      </c>
      <c r="O409" s="20" t="s">
        <v>165</v>
      </c>
      <c r="P409" s="20"/>
      <c r="Q409" s="26" t="str">
        <f>IF(S409="","",LEN(S409)-LEN(SUBSTITUTE(S409,"/",""))+IF(ISNUMBER(SEARCH("@",S409)),0,1))</f>
        <v>3</v>
      </c>
      <c r="R409" s="26"/>
      <c r="S409" s="19" t="s">
        <v>2046</v>
      </c>
      <c r="T409" s="19" t="s">
        <v>2047</v>
      </c>
      <c r="U409" s="20"/>
      <c r="V409" s="20"/>
      <c r="W409" s="20"/>
      <c r="X409" s="46"/>
      <c r="Y409" s="20"/>
      <c r="Z409" s="20"/>
      <c r="AA409" s="20" t="s">
        <v>68</v>
      </c>
      <c r="AB409" s="20" t="str">
        <f>IF(ISBLANK(S409),"是","否")</f>
        <v>否</v>
      </c>
      <c r="AC409" s="20" t="s">
        <v>76</v>
      </c>
      <c r="AD409" s="24">
        <v>115</v>
      </c>
      <c r="AE409" s="25" t="s">
        <v>2043</v>
      </c>
      <c r="AF409" s="24">
        <v>220</v>
      </c>
      <c r="AG409" s="25" t="s">
        <v>2048</v>
      </c>
      <c r="AH409" s="20"/>
      <c r="AI409" s="24"/>
      <c r="AJ409" s="25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</row>
    <row r="410" ht="101.59398496240601" customHeight="1" spans="1:57" x14ac:dyDescent="0.25">
      <c r="A410" s="20" t="s">
        <v>682</v>
      </c>
      <c r="B410" s="19" t="s">
        <v>1306</v>
      </c>
      <c r="C410" s="20" t="s">
        <v>57</v>
      </c>
      <c r="D410" s="21" t="s">
        <v>2036</v>
      </c>
      <c r="E410" s="22" t="s">
        <v>2037</v>
      </c>
      <c r="F410" s="21" t="s">
        <v>2049</v>
      </c>
      <c r="G410" s="23" t="s">
        <v>2049</v>
      </c>
      <c r="H410" s="20" t="str">
        <f>SUBSTITUTE(SUBSTITUTE(SUBSTITUTE(S410,"/@","_"),"/cac:","_"),"/cbc:","_")</f>
        <v>Invoice_InvoiceLine_InvoicedQuantity_unitCode</v>
      </c>
      <c r="I410" s="20" t="str">
        <f>SUBSTITUTE(SUBSTITUTE(SUBSTITUTE(T410,"/@","_"),"/cac:","_"),"/cbc:","_")</f>
        <v>含义：输入为“面积单位”，在 UBL 中最接近的是“数量字段的计量单位”，可落在 InvoiceLine 的 InvoicedQuantity 上；单位由 Quantity. Type 的 unitCode 属性表达。</v>
      </c>
      <c r="J410" s="19"/>
      <c r="K410" s="19" t="s">
        <v>2051</v>
      </c>
      <c r="L410" s="25"/>
      <c r="M410" s="25" t="s">
        <v>909</v>
      </c>
      <c r="N410" s="20" t="s">
        <v>3013</v>
      </c>
      <c r="O410" s="20" t="s">
        <v>64</v>
      </c>
      <c r="P410" s="20"/>
      <c r="Q410" s="26" t="str">
        <f>IF(S410="","",LEN(S410)-LEN(SUBSTITUTE(S410,"/",""))+IF(ISNUMBER(SEARCH("@",S410)),0,1))</f>
        <v>3</v>
      </c>
      <c r="R410" s="26"/>
      <c r="S410" s="19" t="s">
        <v>1342</v>
      </c>
      <c r="T410" s="40" t="s">
        <v>2052</v>
      </c>
      <c r="U410" s="20"/>
      <c r="V410" s="25"/>
      <c r="W410" s="20"/>
      <c r="X410" s="46"/>
      <c r="Y410" s="20"/>
      <c r="Z410" s="20"/>
      <c r="AA410" s="20" t="s">
        <v>68</v>
      </c>
      <c r="AB410" s="20" t="str">
        <f>IF(ISBLANK(S410),"是","否")</f>
        <v>否</v>
      </c>
      <c r="AC410" s="20" t="s">
        <v>76</v>
      </c>
      <c r="AD410" s="24">
        <v>116</v>
      </c>
      <c r="AE410" s="25" t="s">
        <v>2049</v>
      </c>
      <c r="AF410" s="37">
        <v>222</v>
      </c>
      <c r="AG410" s="35" t="s">
        <v>2053</v>
      </c>
      <c r="AH410" s="20"/>
      <c r="AI410" s="37"/>
      <c r="AJ410" s="35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</row>
    <row r="411" ht="122.16541353383457" customHeight="1" spans="1:57" x14ac:dyDescent="0.25">
      <c r="A411" s="20" t="s">
        <v>682</v>
      </c>
      <c r="B411" s="27"/>
      <c r="C411" s="20" t="s">
        <v>57</v>
      </c>
      <c r="D411" s="21" t="s">
        <v>2036</v>
      </c>
      <c r="E411" s="22" t="s">
        <v>2037</v>
      </c>
      <c r="F411" s="21" t="s">
        <v>1988</v>
      </c>
      <c r="G411" s="23" t="s">
        <v>1988</v>
      </c>
      <c r="H411" s="20" t="str">
        <f>SUBSTITUTE(SUBSTITUTE(SUBSTITUTE(S411,"/@","_"),"/cac:","_"),"/cbc:","_")</f>
        <v/>
      </c>
      <c r="I411" s="20" t="str">
        <f>SUBSTITUTE(SUBSTITUTE(SUBSTITUTE(T411,"/@","_"),"/cac:","_"),"/cbc:","_")</f>
        <v>未找到语义一致字段：在 Invoice 及可达的 Address 相关字段中，能定位到的是 Region/District 等“地区文本”字段，并非“跨地（市）标志”这类跨区域涉税规则的布尔/枚举标识，含义不一致而淘汰。</v>
      </c>
      <c r="J411" s="19"/>
      <c r="K411" s="19"/>
      <c r="L411" s="25"/>
      <c r="M411" s="25" t="s">
        <v>204</v>
      </c>
      <c r="N411" s="20" t="s">
        <v>3013</v>
      </c>
      <c r="O411" s="20"/>
      <c r="P411" s="20"/>
      <c r="Q411" s="26" t="str">
        <f>IF(S411="","",LEN(S411)-LEN(SUBSTITUTE(S411,"/",""))+IF(ISNUMBER(SEARCH("@",S411)),0,1))</f>
        <v/>
      </c>
      <c r="R411" s="26"/>
      <c r="S411" s="19"/>
      <c r="T411" s="40" t="s">
        <v>2054</v>
      </c>
      <c r="U411" s="20"/>
      <c r="V411" s="20"/>
      <c r="W411" s="20"/>
      <c r="X411" s="46"/>
      <c r="Y411" s="20"/>
      <c r="Z411" s="20"/>
      <c r="AA411" s="20"/>
      <c r="AB411" s="20" t="str">
        <f>IF(ISBLANK(S411),"是","否")</f>
        <v>是</v>
      </c>
      <c r="AC411" s="20" t="s">
        <v>76</v>
      </c>
      <c r="AD411" s="24">
        <v>117</v>
      </c>
      <c r="AE411" s="25" t="s">
        <v>1988</v>
      </c>
      <c r="AH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</row>
    <row r="412" ht="132.45112781954887" customHeight="1" spans="1:57" x14ac:dyDescent="0.25">
      <c r="A412" s="20" t="s">
        <v>682</v>
      </c>
      <c r="B412" s="19" t="s">
        <v>316</v>
      </c>
      <c r="C412" s="20" t="s">
        <v>57</v>
      </c>
      <c r="D412" s="21" t="s">
        <v>2036</v>
      </c>
      <c r="E412" s="22" t="s">
        <v>2037</v>
      </c>
      <c r="F412" s="21" t="s">
        <v>1995</v>
      </c>
      <c r="G412" s="23" t="s">
        <v>1995</v>
      </c>
      <c r="H412" s="20" t="str">
        <f>SUBSTITUTE(SUBSTITUTE(SUBSTITUTE(S412,"/@","_"),"/cac:","_"),"/cbc:","_")</f>
        <v>Invoice_Delivery_DeliveryAddress_AddressLine_Line</v>
      </c>
      <c r="I412" s="20" t="str">
        <f>SUBSTITUTE(SUBSTITUTE(SUBSTITUTE(T412,"/@","_"),"/cac:","_"),"/cbc:","_")</f>
        <v>含义：输入为“具体地址（详细地址）”，最贴近的是 AddressLine/Line 的“非结构化地址行文本”；上下文：Invoice 可关联 Delivery，Delivery 下有 DeliveryAddress（Address）从而可达 AddressLine/Line。</v>
      </c>
      <c r="J412" s="19"/>
      <c r="K412" s="19" t="s">
        <v>1997</v>
      </c>
      <c r="L412" s="24"/>
      <c r="M412" s="25" t="s">
        <v>1998</v>
      </c>
      <c r="N412" s="20" t="s">
        <v>3013</v>
      </c>
      <c r="O412" s="20" t="s">
        <v>165</v>
      </c>
      <c r="P412" s="20"/>
      <c r="Q412" s="26" t="str">
        <f>IF(S412="","",LEN(S412)-LEN(SUBSTITUTE(S412,"/",""))+IF(ISNUMBER(SEARCH("@",S412)),0,1))</f>
        <v>5</v>
      </c>
      <c r="R412" s="26"/>
      <c r="S412" s="19" t="s">
        <v>1999</v>
      </c>
      <c r="T412" s="40" t="s">
        <v>2055</v>
      </c>
      <c r="U412" s="20"/>
      <c r="V412" s="20"/>
      <c r="W412" s="20" t="s">
        <v>327</v>
      </c>
      <c r="X412" s="46"/>
      <c r="Y412" s="20"/>
      <c r="Z412" s="20"/>
      <c r="AA412" s="20" t="s">
        <v>68</v>
      </c>
      <c r="AB412" s="20" t="str">
        <f>IF(ISBLANK(S412),"是","否")</f>
        <v>否</v>
      </c>
      <c r="AC412" s="20" t="s">
        <v>76</v>
      </c>
      <c r="AD412" s="24">
        <v>118</v>
      </c>
      <c r="AE412" s="25" t="s">
        <v>1995</v>
      </c>
      <c r="AF412" s="24">
        <v>216</v>
      </c>
      <c r="AG412" s="25" t="s">
        <v>2056</v>
      </c>
      <c r="AH412" s="20"/>
      <c r="AI412" s="24"/>
      <c r="AJ412" s="25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</row>
    <row r="413" ht="111.8796992481203" customHeight="1" spans="1:57" x14ac:dyDescent="0.25">
      <c r="A413" s="20" t="s">
        <v>682</v>
      </c>
      <c r="B413" s="19" t="s">
        <v>41</v>
      </c>
      <c r="C413" s="20" t="s">
        <v>57</v>
      </c>
      <c r="D413" s="21" t="s">
        <v>2036</v>
      </c>
      <c r="E413" s="22" t="s">
        <v>2037</v>
      </c>
      <c r="F413" s="21" t="s">
        <v>2057</v>
      </c>
      <c r="G413" s="23" t="s">
        <v>2057</v>
      </c>
      <c r="H413" s="20" t="str">
        <f>SUBSTITUTE(SUBSTITUTE(SUBSTITUTE(S413,"/@","_"),"/cac:","_"),"/cbc:","_")</f>
        <v>Invoice_ContractDocumentReference</v>
      </c>
      <c r="I413" s="20" t="str">
        <f>SUBSTITUTE(SUBSTITUTE(SUBSTITUTE(T413,"/@","_"),"/cac:","_"),"/cbc:","_")</f>
        <v>候选1（首选）：输入包含“网签合同备案编号”，与“合同引用”语义更可解释一致；但该行是 DocumentReference 对象本身（并非具体编号字段），用于承载“合同类编号/引用”。</v>
      </c>
      <c r="J413" s="19"/>
      <c r="K413" s="19" t="s">
        <v>2059</v>
      </c>
      <c r="L413" s="25"/>
      <c r="M413" s="25" t="s">
        <v>909</v>
      </c>
      <c r="N413" s="20" t="s">
        <v>3013</v>
      </c>
      <c r="O413" s="20" t="s">
        <v>49</v>
      </c>
      <c r="P413" s="20"/>
      <c r="Q413" s="26" t="str">
        <f>IF(S413="","",LEN(S413)-LEN(SUBSTITUTE(S413,"/",""))+IF(ISNUMBER(SEARCH("@",S413)),0,1))</f>
        <v>2</v>
      </c>
      <c r="R413" s="26"/>
      <c r="S413" s="19" t="s">
        <v>2060</v>
      </c>
      <c r="T413" s="40" t="s">
        <v>2061</v>
      </c>
      <c r="U413" s="20"/>
      <c r="V413" s="25"/>
      <c r="W413" s="20"/>
      <c r="X413" s="46"/>
      <c r="Y413" s="20"/>
      <c r="Z413" s="20"/>
      <c r="AA413" s="20" t="s">
        <v>222</v>
      </c>
      <c r="AB413" s="20" t="str">
        <f>IF(ISBLANK(S413),"是","否")</f>
        <v>否</v>
      </c>
      <c r="AC413" s="20" t="s">
        <v>76</v>
      </c>
      <c r="AD413" s="24">
        <v>119</v>
      </c>
      <c r="AE413" s="25" t="s">
        <v>2057</v>
      </c>
      <c r="AF413" s="24">
        <v>115</v>
      </c>
      <c r="AG413" s="25" t="s">
        <v>2057</v>
      </c>
      <c r="AH413" s="20"/>
      <c r="AI413" s="24"/>
      <c r="AJ413" s="25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</row>
    <row r="414" ht="81.02255639097744" customHeight="1" spans="1:57" x14ac:dyDescent="0.25">
      <c r="A414" s="20" t="s">
        <v>682</v>
      </c>
      <c r="B414" s="19" t="s">
        <v>41</v>
      </c>
      <c r="C414" s="20" t="s">
        <v>57</v>
      </c>
      <c r="D414" s="21" t="s">
        <v>2036</v>
      </c>
      <c r="E414" s="22" t="s">
        <v>2037</v>
      </c>
      <c r="F414" s="21" t="s">
        <v>2062</v>
      </c>
      <c r="G414" s="23" t="s">
        <v>2062</v>
      </c>
      <c r="H414" s="20" t="str">
        <f>SUBSTITUTE(SUBSTITUTE(SUBSTITUTE(S414,"/@","_"),"/cac:","_"),"/cbc:","_")</f>
        <v>Invoice_AdditionalDocumentReference</v>
      </c>
      <c r="I414" s="20" t="str">
        <f>SUBSTITUTE(SUBSTITUTE(SUBSTITUTE(T414,"/@","_"),"/cac:","_"),"/cbc:","_")</f>
        <v>候选1（首选）：输入为“房屋产权证书/不动产权证号”，更像“证书/证明类附加材料引用”，可解释落位到“附加文档引用”对象。</v>
      </c>
      <c r="J414" s="19"/>
      <c r="K414" s="19" t="s">
        <v>2064</v>
      </c>
      <c r="L414" s="25"/>
      <c r="M414" s="25" t="s">
        <v>927</v>
      </c>
      <c r="N414" s="20" t="s">
        <v>3013</v>
      </c>
      <c r="O414" s="20" t="s">
        <v>49</v>
      </c>
      <c r="P414" s="20"/>
      <c r="Q414" s="26" t="str">
        <f>IF(S414="","",LEN(S414)-LEN(SUBSTITUTE(S414,"/",""))+IF(ISNUMBER(SEARCH("@",S414)),0,1))</f>
        <v>2</v>
      </c>
      <c r="R414" s="26"/>
      <c r="S414" s="19" t="s">
        <v>2065</v>
      </c>
      <c r="T414" s="40" t="s">
        <v>2066</v>
      </c>
      <c r="U414" s="20"/>
      <c r="V414" s="25"/>
      <c r="W414" s="20"/>
      <c r="X414" s="46"/>
      <c r="Y414" s="20"/>
      <c r="Z414" s="20"/>
      <c r="AA414" s="20" t="s">
        <v>222</v>
      </c>
      <c r="AB414" s="20" t="str">
        <f>IF(ISBLANK(S414),"是","否")</f>
        <v>否</v>
      </c>
      <c r="AC414" s="20" t="s">
        <v>76</v>
      </c>
      <c r="AD414" s="24">
        <v>120</v>
      </c>
      <c r="AE414" s="25" t="s">
        <v>2062</v>
      </c>
      <c r="AF414" s="37">
        <v>111</v>
      </c>
      <c r="AG414" s="35" t="s">
        <v>2062</v>
      </c>
      <c r="AH414" s="20"/>
      <c r="AI414" s="37"/>
      <c r="AJ414" s="35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</row>
    <row r="415" ht="101.59398496240601" customHeight="1" spans="1:57" x14ac:dyDescent="0.25">
      <c r="A415" s="20" t="s">
        <v>682</v>
      </c>
      <c r="B415" s="27"/>
      <c r="C415" s="20" t="s">
        <v>57</v>
      </c>
      <c r="D415" s="21" t="s">
        <v>2036</v>
      </c>
      <c r="E415" s="22" t="s">
        <v>2037</v>
      </c>
      <c r="F415" s="21" t="s">
        <v>60</v>
      </c>
      <c r="G415" s="23" t="s">
        <v>60</v>
      </c>
      <c r="H415" s="20" t="str">
        <f>SUBSTITUTE(SUBSTITUTE(SUBSTITUTE(S415,"/@","_"),"/cac:","_"),"/cbc:","_")</f>
        <v/>
      </c>
      <c r="I415" s="20" t="str">
        <f>SUBSTITUTE(SUBSTITUTE(SUBSTITUTE(T415,"/@","_"),"/cac:","_"),"/cbc:","_")</f>
        <v>该 fid 指“数电票不动产销售/租赁服务扩展信息表主键”，UBL 报告中未见对应“不动产服务扩展对象/记录主键”；Invoice/UUID 仅标识“发票文档实例”，语义不等同。</v>
      </c>
      <c r="J415" s="19"/>
      <c r="K415" s="19"/>
      <c r="L415" s="25"/>
      <c r="M415" s="25" t="s">
        <v>63</v>
      </c>
      <c r="N415" s="20" t="s">
        <v>1280</v>
      </c>
      <c r="O415" s="20"/>
      <c r="P415" s="20"/>
      <c r="Q415" s="26" t="str">
        <f>IF(S415="","",LEN(S415)-LEN(SUBSTITUTE(S415,"/",""))+IF(ISNUMBER(SEARCH("@",S415)),0,1))</f>
        <v/>
      </c>
      <c r="R415" s="26"/>
      <c r="S415" s="19"/>
      <c r="T415" s="19" t="s">
        <v>2068</v>
      </c>
      <c r="U415" s="20"/>
      <c r="V415" s="25"/>
      <c r="W415" s="20"/>
      <c r="X415" s="46" t="s">
        <v>76</v>
      </c>
      <c r="Y415" s="20"/>
      <c r="Z415" s="20"/>
      <c r="AA415" s="20"/>
      <c r="AB415" s="20" t="str">
        <f>IF(ISBLANK(S415),"是","否")</f>
        <v>是</v>
      </c>
      <c r="AC415" s="20" t="s">
        <v>76</v>
      </c>
      <c r="AD415" s="24">
        <v>121</v>
      </c>
      <c r="AE415" s="25" t="s">
        <v>60</v>
      </c>
      <c r="AH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</row>
    <row r="416" ht="91.30827067669172" customHeight="1" spans="1:57" x14ac:dyDescent="0.25">
      <c r="A416" s="20" t="s">
        <v>682</v>
      </c>
      <c r="B416" s="19" t="s">
        <v>2001</v>
      </c>
      <c r="C416" s="20" t="s">
        <v>57</v>
      </c>
      <c r="D416" s="21" t="s">
        <v>2036</v>
      </c>
      <c r="E416" s="22" t="s">
        <v>2037</v>
      </c>
      <c r="F416" s="21" t="s">
        <v>2002</v>
      </c>
      <c r="G416" s="23" t="s">
        <v>2002</v>
      </c>
      <c r="H416" s="20" t="str">
        <f>SUBSTITUTE(SUBSTITUTE(SUBSTITUTE(S416,"/@","_"),"/cac:","_"),"/cbc:","_")</f>
        <v>Invoice_ProjectReference_ID</v>
      </c>
      <c r="I416" s="20" t="str">
        <f>SUBSTITUTE(SUBSTITUTE(SUBSTITUTE(T416,"/@","_"),"/cac:","_"),"/cbc:","_")</f>
        <v>“土地增值税项目编号”最接近“项目编号”：Invoice 具备 ProjectReference 入口，且 Project Reference. Details 下的 ID 定义为项目标识。</v>
      </c>
      <c r="J416" s="19"/>
      <c r="K416" s="19" t="s">
        <v>2004</v>
      </c>
      <c r="L416" s="24"/>
      <c r="M416" s="25" t="s">
        <v>909</v>
      </c>
      <c r="N416" s="20" t="s">
        <v>3013</v>
      </c>
      <c r="O416" s="20" t="s">
        <v>165</v>
      </c>
      <c r="P416" s="20"/>
      <c r="Q416" s="26" t="str">
        <f>IF(S416="","",LEN(S416)-LEN(SUBSTITUTE(S416,"/",""))+IF(ISNUMBER(SEARCH("@",S416)),0,1))</f>
        <v>3</v>
      </c>
      <c r="R416" s="26"/>
      <c r="S416" s="19" t="s">
        <v>2005</v>
      </c>
      <c r="T416" s="19" t="s">
        <v>2069</v>
      </c>
      <c r="U416" s="20"/>
      <c r="V416" s="20"/>
      <c r="W416" s="20"/>
      <c r="X416" s="46"/>
      <c r="Y416" s="20"/>
      <c r="Z416" s="20"/>
      <c r="AA416" s="20" t="s">
        <v>68</v>
      </c>
      <c r="AB416" s="20" t="str">
        <f>IF(ISBLANK(S416),"是","否")</f>
        <v>否</v>
      </c>
      <c r="AC416" s="20" t="s">
        <v>76</v>
      </c>
      <c r="AD416" s="24">
        <v>122</v>
      </c>
      <c r="AE416" s="25" t="s">
        <v>2002</v>
      </c>
      <c r="AF416" s="37">
        <v>217</v>
      </c>
      <c r="AG416" s="35" t="s">
        <v>2070</v>
      </c>
      <c r="AH416" s="20"/>
      <c r="AI416" s="37"/>
      <c r="AJ416" s="35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</row>
    <row r="417" ht="50.16541353383458" customHeight="1" spans="1:57" x14ac:dyDescent="0.25">
      <c r="A417" s="20" t="s">
        <v>682</v>
      </c>
      <c r="B417" s="19" t="s">
        <v>41</v>
      </c>
      <c r="C417" s="20" t="s">
        <v>57</v>
      </c>
      <c r="D417" s="21" t="s">
        <v>2036</v>
      </c>
      <c r="E417" s="22" t="s">
        <v>2037</v>
      </c>
      <c r="F417" s="21" t="s">
        <v>2007</v>
      </c>
      <c r="G417" s="23" t="s">
        <v>2007</v>
      </c>
      <c r="H417" s="20" t="str">
        <f>SUBSTITUTE(SUBSTITUTE(SUBSTITUTE(S417,"/@","_"),"/cac:","_"),"/cbc:","_")</f>
        <v>Invoice_ProfileExecutionID</v>
      </c>
      <c r="I417" s="20" t="str">
        <f>SUBSTITUTE(SUBSTITUTE(SUBSTITUTE(T417,"/@","_"),"/cac:","_"),"/cbc:","_")</f>
        <v>与“发票开具/处理过程中的业务流水编号”更贴近“执行实例标识”。</v>
      </c>
      <c r="J417" s="19"/>
      <c r="K417" s="19" t="s">
        <v>2071</v>
      </c>
      <c r="L417" s="25"/>
      <c r="M417" s="25" t="s">
        <v>72</v>
      </c>
      <c r="N417" s="20" t="s">
        <v>3013</v>
      </c>
      <c r="O417" s="20" t="s">
        <v>64</v>
      </c>
      <c r="P417" s="20"/>
      <c r="Q417" s="26" t="str">
        <f>IF(S417="","",LEN(S417)-LEN(SUBSTITUTE(S417,"/",""))+IF(ISNUMBER(SEARCH("@",S417)),0,1))</f>
        <v>2</v>
      </c>
      <c r="R417" s="26"/>
      <c r="S417" s="19" t="s">
        <v>73</v>
      </c>
      <c r="T417" s="19" t="s">
        <v>2072</v>
      </c>
      <c r="U417" s="20"/>
      <c r="V417" s="25"/>
      <c r="W417" s="20" t="s">
        <v>75</v>
      </c>
      <c r="X417" s="46"/>
      <c r="Y417" s="20"/>
      <c r="Z417" s="20"/>
      <c r="AA417" s="20" t="s">
        <v>68</v>
      </c>
      <c r="AB417" s="20" t="str">
        <f>IF(ISBLANK(S417),"是","否")</f>
        <v>否</v>
      </c>
      <c r="AC417" s="20" t="s">
        <v>76</v>
      </c>
      <c r="AD417" s="24">
        <v>153</v>
      </c>
      <c r="AE417" s="25" t="s">
        <v>2007</v>
      </c>
      <c r="AH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</row>
    <row r="418" ht="91.30827067669172" customHeight="1" spans="1:57" x14ac:dyDescent="0.25">
      <c r="A418" s="20" t="s">
        <v>682</v>
      </c>
      <c r="B418" s="19" t="s">
        <v>316</v>
      </c>
      <c r="C418" s="20" t="s">
        <v>57</v>
      </c>
      <c r="D418" s="21" t="s">
        <v>2036</v>
      </c>
      <c r="E418" s="22" t="s">
        <v>2037</v>
      </c>
      <c r="F418" s="21" t="s">
        <v>2010</v>
      </c>
      <c r="G418" s="23" t="s">
        <v>2010</v>
      </c>
      <c r="H418" s="20" t="str">
        <f>SUBSTITUTE(SUBSTITUTE(SUBSTITUTE(S418,"/@","_"),"/cac:","_"),"/cbc:","_")</f>
        <v>Invoice_Delivery_DeliveryLocation_Address_AddressLine_Line</v>
      </c>
      <c r="I418" s="20" t="str">
        <f>SUBSTITUTE(SUBSTITUTE(SUBSTITUTE(T418,"/@","_"),"/cac:","_"),"/cbc:","_")</f>
        <v>你的字段是“省市区县”合并串时，最稳妥是落在 AddressLine/Line（非结构化整行地址）；链路使用 Delivery → DeliveryLocation → Address。</v>
      </c>
      <c r="J418" s="19"/>
      <c r="K418" s="19" t="s">
        <v>1997</v>
      </c>
      <c r="L418" s="25"/>
      <c r="M418" s="25" t="s">
        <v>1998</v>
      </c>
      <c r="N418" s="20" t="s">
        <v>3013</v>
      </c>
      <c r="O418" s="20" t="s">
        <v>165</v>
      </c>
      <c r="P418" s="20"/>
      <c r="Q418" s="26" t="str">
        <f>IF(S418="","",LEN(S418)-LEN(SUBSTITUTE(S418,"/",""))+IF(ISNUMBER(SEARCH("@",S418)),0,1))</f>
        <v>6</v>
      </c>
      <c r="R418" s="26"/>
      <c r="S418" s="19" t="s">
        <v>2074</v>
      </c>
      <c r="T418" s="19" t="s">
        <v>2075</v>
      </c>
      <c r="U418" s="20"/>
      <c r="V418" s="25"/>
      <c r="W418" s="20" t="s">
        <v>327</v>
      </c>
      <c r="X418" s="46"/>
      <c r="Y418" s="20"/>
      <c r="Z418" s="20"/>
      <c r="AA418" s="20" t="s">
        <v>68</v>
      </c>
      <c r="AB418" s="20" t="str">
        <f>IF(ISBLANK(S418),"是","否")</f>
        <v>否</v>
      </c>
      <c r="AC418" s="20" t="s">
        <v>76</v>
      </c>
      <c r="AD418" s="24">
        <v>124</v>
      </c>
      <c r="AE418" s="25" t="s">
        <v>2010</v>
      </c>
      <c r="AF418" s="24">
        <v>112</v>
      </c>
      <c r="AG418" s="25" t="s">
        <v>2010</v>
      </c>
      <c r="AH418" s="20"/>
      <c r="AI418" s="24"/>
      <c r="AJ418" s="25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</row>
    <row r="419" ht="101.59398496240601" customHeight="1" spans="1:57" x14ac:dyDescent="0.25">
      <c r="A419" s="20" t="s">
        <v>682</v>
      </c>
      <c r="B419" s="19" t="s">
        <v>1306</v>
      </c>
      <c r="C419" s="20" t="s">
        <v>57</v>
      </c>
      <c r="D419" s="21" t="s">
        <v>2032</v>
      </c>
      <c r="E419" s="22" t="s">
        <v>2033</v>
      </c>
      <c r="F419" s="21" t="s">
        <v>2049</v>
      </c>
      <c r="G419" s="23" t="s">
        <v>2049</v>
      </c>
      <c r="H419" s="20" t="str">
        <f>SUBSTITUTE(SUBSTITUTE(SUBSTITUTE(S419,"/@","_"),"/cac:","_"),"/cbc:","_")</f>
        <v>Invoice_InvoiceLine_InvoicedQuantity_unitCode</v>
      </c>
      <c r="I419" s="20" t="str">
        <f>SUBSTITUTE(SUBSTITUTE(SUBSTITUTE(T419,"/@","_"),"/cac:","_"),"/cbc:","_")</f>
        <v>“面积单位”在 UBL 中通常以数量/度量的 @unitCode 表达（unitCode=单位类型）。此处以明细数量 InvoicedQuantity 作为宿主元素，属性含义为“单位代码”。</v>
      </c>
      <c r="J419" s="19"/>
      <c r="K419" s="19" t="s">
        <v>2076</v>
      </c>
      <c r="L419" s="24"/>
      <c r="M419" s="25" t="s">
        <v>909</v>
      </c>
      <c r="N419" s="20" t="s">
        <v>3013</v>
      </c>
      <c r="O419" s="20" t="s">
        <v>64</v>
      </c>
      <c r="P419" s="20"/>
      <c r="Q419" s="26" t="str">
        <f>IF(S419="","",LEN(S419)-LEN(SUBSTITUTE(S419,"/",""))+IF(ISNUMBER(SEARCH("@",S419)),0,1))</f>
        <v>3</v>
      </c>
      <c r="R419" s="26"/>
      <c r="S419" s="19" t="s">
        <v>1342</v>
      </c>
      <c r="T419" s="19" t="s">
        <v>2077</v>
      </c>
      <c r="U419" s="20"/>
      <c r="V419" s="20"/>
      <c r="W419" s="20"/>
      <c r="X419" s="46"/>
      <c r="Y419" s="20"/>
      <c r="Z419" s="20"/>
      <c r="AA419" s="20" t="s">
        <v>68</v>
      </c>
      <c r="AB419" s="20" t="str">
        <f>IF(ISBLANK(S419),"是","否")</f>
        <v>否</v>
      </c>
      <c r="AC419" s="20" t="s">
        <v>76</v>
      </c>
      <c r="AD419" s="24">
        <v>125</v>
      </c>
      <c r="AE419" s="25" t="s">
        <v>2049</v>
      </c>
      <c r="AF419" s="24">
        <v>107</v>
      </c>
      <c r="AG419" s="25" t="s">
        <v>2049</v>
      </c>
      <c r="AH419" s="20"/>
      <c r="AI419" s="24"/>
      <c r="AJ419" s="25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</row>
    <row r="420" ht="81.02255639097744" customHeight="1" spans="1:57" x14ac:dyDescent="0.25">
      <c r="A420" s="20" t="s">
        <v>682</v>
      </c>
      <c r="B420" s="19" t="s">
        <v>2078</v>
      </c>
      <c r="C420" s="20" t="s">
        <v>57</v>
      </c>
      <c r="D420" s="21" t="s">
        <v>2032</v>
      </c>
      <c r="E420" s="22" t="s">
        <v>2033</v>
      </c>
      <c r="F420" s="21" t="s">
        <v>2079</v>
      </c>
      <c r="G420" s="23" t="s">
        <v>2079</v>
      </c>
      <c r="H420" s="20" t="str">
        <f>SUBSTITUTE(SUBSTITUTE(SUBSTITUTE(S420,"/@","_"),"/cac:","_"),"/cbc:","_")</f>
        <v>Invoice_Delivery_Shipment_ShipmentStage_TransportMeans_RoadTransport_LicensePlateID</v>
      </c>
      <c r="I420" s="20" t="str">
        <f>SUBSTITUTE(SUBSTITUTE(SUBSTITUTE(T420,"/@","_"),"/cac:","_"),"/cbc:","_")</f>
        <v>语义最贴近“车牌号”；链路可由 Invoice 的 Delivery 进入，并在交付/运输链路下落到 RoadTransport 的 LicensePlateID。</v>
      </c>
      <c r="J420" s="19"/>
      <c r="K420" s="19" t="s">
        <v>2081</v>
      </c>
      <c r="L420" s="24"/>
      <c r="M420" s="25" t="s">
        <v>2082</v>
      </c>
      <c r="N420" s="20" t="s">
        <v>3013</v>
      </c>
      <c r="O420" s="20" t="s">
        <v>64</v>
      </c>
      <c r="P420" s="20"/>
      <c r="Q420" s="26" t="str">
        <f>IF(S420="","",LEN(S420)-LEN(SUBSTITUTE(S420,"/",""))+IF(ISNUMBER(SEARCH("@",S420)),0,1))</f>
        <v>7</v>
      </c>
      <c r="R420" s="26"/>
      <c r="S420" s="19" t="s">
        <v>2083</v>
      </c>
      <c r="T420" s="19" t="s">
        <v>2084</v>
      </c>
      <c r="U420" s="20"/>
      <c r="V420" s="20"/>
      <c r="W420" s="20"/>
      <c r="X420" s="46"/>
      <c r="Y420" s="20"/>
      <c r="Z420" s="20"/>
      <c r="AA420" s="20" t="s">
        <v>68</v>
      </c>
      <c r="AB420" s="20" t="str">
        <f>IF(ISBLANK(S420),"是","否")</f>
        <v>否</v>
      </c>
      <c r="AC420" s="20" t="s">
        <v>76</v>
      </c>
      <c r="AD420" s="24">
        <v>126</v>
      </c>
      <c r="AE420" s="25" t="s">
        <v>2079</v>
      </c>
      <c r="AF420" s="37">
        <v>223</v>
      </c>
      <c r="AG420" s="35" t="s">
        <v>2079</v>
      </c>
      <c r="AH420" s="20"/>
      <c r="AI420" s="37"/>
      <c r="AJ420" s="35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</row>
    <row r="421" ht="111.8796992481203" customHeight="1" spans="1:57" x14ac:dyDescent="0.25">
      <c r="A421" s="20" t="s">
        <v>682</v>
      </c>
      <c r="B421" s="27"/>
      <c r="C421" s="20" t="s">
        <v>57</v>
      </c>
      <c r="D421" s="21" t="s">
        <v>2032</v>
      </c>
      <c r="E421" s="22" t="s">
        <v>2033</v>
      </c>
      <c r="F421" s="21" t="s">
        <v>1988</v>
      </c>
      <c r="G421" s="23" t="s">
        <v>1988</v>
      </c>
      <c r="H421" s="20" t="str">
        <f>SUBSTITUTE(SUBSTITUTE(SUBSTITUTE(S421,"/@","_"),"/cac:","_"),"/cbc:","_")</f>
        <v/>
      </c>
      <c r="I421" s="20" t="str">
        <f>SUBSTITUTE(SUBSTITUTE(SUBSTITUTE(T421,"/@","_"),"/cac:","_"),"/cbc:","_")</f>
        <v>在 Invoice/Delivery/Shipment/Tax 等链路相关表中未找到与“跨地（市）标志（跨地市发生）”语义一致的 UBL 字段；属于地方税务/行业口径标志，需通过扩展或业务侧自定义承载。</v>
      </c>
      <c r="J421" s="19"/>
      <c r="K421" s="19"/>
      <c r="L421" s="24"/>
      <c r="M421" s="25" t="s">
        <v>204</v>
      </c>
      <c r="N421" s="20" t="s">
        <v>3013</v>
      </c>
      <c r="O421" s="20"/>
      <c r="P421" s="20"/>
      <c r="Q421" s="26" t="str">
        <f>IF(S421="","",LEN(S421)-LEN(SUBSTITUTE(S421,"/",""))+IF(ISNUMBER(SEARCH("@",S421)),0,1))</f>
        <v/>
      </c>
      <c r="R421" s="26"/>
      <c r="S421" s="19"/>
      <c r="T421" s="19" t="s">
        <v>2085</v>
      </c>
      <c r="U421" s="20"/>
      <c r="V421" s="20"/>
      <c r="W421" s="20"/>
      <c r="X421" s="46"/>
      <c r="Y421" s="20"/>
      <c r="Z421" s="20"/>
      <c r="AA421" s="20"/>
      <c r="AB421" s="20" t="str">
        <f>IF(ISBLANK(S421),"是","否")</f>
        <v>是</v>
      </c>
      <c r="AC421" s="20" t="s">
        <v>76</v>
      </c>
      <c r="AD421" s="24">
        <v>127</v>
      </c>
      <c r="AE421" s="25" t="s">
        <v>1988</v>
      </c>
      <c r="AH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</row>
    <row r="422" ht="101.59398496240601" customHeight="1" spans="1:57" x14ac:dyDescent="0.25">
      <c r="A422" s="20" t="s">
        <v>682</v>
      </c>
      <c r="B422" s="19" t="s">
        <v>316</v>
      </c>
      <c r="C422" s="20" t="s">
        <v>57</v>
      </c>
      <c r="D422" s="21" t="s">
        <v>2032</v>
      </c>
      <c r="E422" s="22" t="s">
        <v>2033</v>
      </c>
      <c r="F422" s="21" t="s">
        <v>1995</v>
      </c>
      <c r="G422" s="23" t="s">
        <v>1995</v>
      </c>
      <c r="H422" s="20" t="str">
        <f>SUBSTITUTE(SUBSTITUTE(SUBSTITUTE(S422,"/@","_"),"/cac:","_"),"/cbc:","_")</f>
        <v>Invoice_Delivery_DeliveryLocation_Address_AddressLine_Line</v>
      </c>
      <c r="I422" s="20" t="str">
        <f>SUBSTITUTE(SUBSTITUTE(SUBSTITUTE(T422,"/@","_"),"/cac:","_"),"/cbc:","_")</f>
        <v>“具体地址”更像一条非结构化地址行；并且字段语义偏“发生地点/坐落”，优先落在 DeliveryLocation 的 Address → AddressLine → Line。</v>
      </c>
      <c r="J422" s="19"/>
      <c r="K422" s="19" t="s">
        <v>2086</v>
      </c>
      <c r="L422" s="25"/>
      <c r="M422" s="25" t="s">
        <v>1998</v>
      </c>
      <c r="N422" s="20" t="s">
        <v>3013</v>
      </c>
      <c r="O422" s="20" t="s">
        <v>165</v>
      </c>
      <c r="P422" s="20"/>
      <c r="Q422" s="26" t="str">
        <f>IF(S422="","",LEN(S422)-LEN(SUBSTITUTE(S422,"/",""))+IF(ISNUMBER(SEARCH("@",S422)),0,1))</f>
        <v>6</v>
      </c>
      <c r="R422" s="26"/>
      <c r="S422" s="19" t="s">
        <v>2074</v>
      </c>
      <c r="T422" s="19" t="s">
        <v>2087</v>
      </c>
      <c r="U422" s="20"/>
      <c r="V422" s="25"/>
      <c r="W422" s="20"/>
      <c r="X422" s="46"/>
      <c r="Y422" s="20"/>
      <c r="Z422" s="20"/>
      <c r="AA422" s="20" t="s">
        <v>68</v>
      </c>
      <c r="AB422" s="20" t="str">
        <f>IF(ISBLANK(S422),"是","否")</f>
        <v>否</v>
      </c>
      <c r="AC422" s="20" t="s">
        <v>76</v>
      </c>
      <c r="AD422" s="24">
        <v>128</v>
      </c>
      <c r="AE422" s="25" t="s">
        <v>1995</v>
      </c>
      <c r="AH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</row>
    <row r="423" ht="81.02255639097744" customHeight="1" spans="1:57" x14ac:dyDescent="0.25">
      <c r="A423" s="20" t="s">
        <v>682</v>
      </c>
      <c r="B423" s="19" t="s">
        <v>1845</v>
      </c>
      <c r="C423" s="20" t="s">
        <v>57</v>
      </c>
      <c r="D423" s="21" t="s">
        <v>2032</v>
      </c>
      <c r="E423" s="22" t="s">
        <v>2033</v>
      </c>
      <c r="F423" s="21" t="s">
        <v>2088</v>
      </c>
      <c r="G423" s="23" t="s">
        <v>2088</v>
      </c>
      <c r="H423" s="20" t="str">
        <f>SUBSTITUTE(SUBSTITUTE(SUBSTITUTE(S423,"/@","_"),"/cac:","_"),"/cbc:","_")</f>
        <v>Invoice_InvoicePeriod_EndDate</v>
      </c>
      <c r="I423" s="20" t="str">
        <f>SUBSTITUTE(SUBSTITUTE(SUBSTITUTE(T423,"/@","_"),"/cac:","_"),"/cbc:","_")</f>
        <v>“租赁期止”可解释为发票适用期间的结束日期：Invoice 具备 InvoicePeriod（Period），Period 下 EndDate 表达期间结束日。</v>
      </c>
      <c r="J423" s="19"/>
      <c r="K423" s="19" t="s">
        <v>2090</v>
      </c>
      <c r="L423" s="20"/>
      <c r="M423" s="25" t="s">
        <v>909</v>
      </c>
      <c r="N423" s="20" t="s">
        <v>3013</v>
      </c>
      <c r="O423" s="20" t="s">
        <v>64</v>
      </c>
      <c r="P423" s="20"/>
      <c r="Q423" s="26" t="str">
        <f>IF(S423="","",LEN(S423)-LEN(SUBSTITUTE(S423,"/",""))+IF(ISNUMBER(SEARCH("@",S423)),0,1))</f>
        <v>3</v>
      </c>
      <c r="R423" s="26"/>
      <c r="S423" s="19" t="s">
        <v>2091</v>
      </c>
      <c r="T423" s="19" t="s">
        <v>2092</v>
      </c>
      <c r="U423" s="20" t="s">
        <v>2093</v>
      </c>
      <c r="V423" s="20"/>
      <c r="W423" s="20"/>
      <c r="X423" s="46"/>
      <c r="Y423" s="20"/>
      <c r="Z423" s="20"/>
      <c r="AA423" s="20" t="s">
        <v>68</v>
      </c>
      <c r="AB423" s="20" t="str">
        <f>IF(ISBLANK(S423),"是","否")</f>
        <v>否</v>
      </c>
      <c r="AC423" s="20" t="s">
        <v>76</v>
      </c>
      <c r="AD423" s="24">
        <v>129</v>
      </c>
      <c r="AE423" s="25" t="s">
        <v>2088</v>
      </c>
      <c r="AF423" s="37">
        <v>109</v>
      </c>
      <c r="AG423" s="35" t="s">
        <v>2094</v>
      </c>
      <c r="AH423" s="20"/>
      <c r="AI423" s="37"/>
      <c r="AJ423" s="35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</row>
    <row r="424" ht="132.45112781954887" customHeight="1" spans="1:57" x14ac:dyDescent="0.25">
      <c r="A424" s="20" t="s">
        <v>682</v>
      </c>
      <c r="B424" s="27"/>
      <c r="C424" s="20" t="s">
        <v>57</v>
      </c>
      <c r="D424" s="21" t="s">
        <v>2032</v>
      </c>
      <c r="E424" s="22" t="s">
        <v>2033</v>
      </c>
      <c r="F424" s="21" t="s">
        <v>2062</v>
      </c>
      <c r="G424" s="23" t="s">
        <v>2062</v>
      </c>
      <c r="H424" s="20" t="str">
        <f>SUBSTITUTE(SUBSTITUTE(SUBSTITUTE(S424,"/@","_"),"/cac:","_"),"/cbc:","_")</f>
        <v/>
      </c>
      <c r="I424" s="20" t="str">
        <f>SUBSTITUTE(SUBSTITUTE(SUBSTITUTE(T424,"/@","_"),"/cac:","_"),"/cbc:","_")</f>
        <v>在 Invoice 及可达的 CommonLibrary（交付/地点/税务/参与方）链路中，未找到与“房屋产权证书/不动产权证号（权属证书编号）”语义直接对应的标准字段；该信息通常需以附加业务属性/扩展或作为外部凭证引用来表达。</v>
      </c>
      <c r="J424" s="19"/>
      <c r="K424" s="19"/>
      <c r="L424" s="25" t="s">
        <v>2095</v>
      </c>
      <c r="M424" s="25" t="s">
        <v>927</v>
      </c>
      <c r="N424" s="20" t="s">
        <v>3013</v>
      </c>
      <c r="O424" s="20"/>
      <c r="P424" s="20"/>
      <c r="Q424" s="26" t="str">
        <f>IF(S424="","",LEN(S424)-LEN(SUBSTITUTE(S424,"/",""))+IF(ISNUMBER(SEARCH("@",S424)),0,1))</f>
        <v/>
      </c>
      <c r="R424" s="26"/>
      <c r="S424" s="19"/>
      <c r="T424" s="19" t="s">
        <v>2096</v>
      </c>
      <c r="U424" s="20"/>
      <c r="V424" s="25"/>
      <c r="W424" s="20"/>
      <c r="X424" s="46"/>
      <c r="Y424" s="20"/>
      <c r="Z424" s="20"/>
      <c r="AA424" s="20"/>
      <c r="AB424" s="20" t="str">
        <f>IF(ISBLANK(S424),"是","否")</f>
        <v>是</v>
      </c>
      <c r="AC424" s="20" t="s">
        <v>76</v>
      </c>
      <c r="AD424" s="24">
        <v>130</v>
      </c>
      <c r="AE424" s="25" t="s">
        <v>2062</v>
      </c>
      <c r="AH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</row>
    <row r="425" ht="60.45112781954887" customHeight="1" spans="1:57" x14ac:dyDescent="0.25">
      <c r="A425" s="20" t="s">
        <v>682</v>
      </c>
      <c r="B425" s="19" t="s">
        <v>41</v>
      </c>
      <c r="C425" s="20" t="s">
        <v>57</v>
      </c>
      <c r="D425" s="21" t="s">
        <v>2032</v>
      </c>
      <c r="E425" s="22" t="s">
        <v>2033</v>
      </c>
      <c r="F425" s="21" t="s">
        <v>2007</v>
      </c>
      <c r="G425" s="23" t="s">
        <v>2007</v>
      </c>
      <c r="H425" s="20" t="str">
        <f>SUBSTITUTE(SUBSTITUTE(SUBSTITUTE(S425,"/@","_"),"/cac:","_"),"/cbc:","_")</f>
        <v>Invoice_UUID</v>
      </c>
      <c r="I425" s="20" t="str">
        <f>SUBSTITUTE(SUBSTITUTE(SUBSTITUTE(T425,"/@","_"),"/cac:","_"),"/cbc:","_")</f>
        <v>若“发票流水号”强调系统内追踪/唯一实例号，与 UUID（文档实例唯一标识）更一致。</v>
      </c>
      <c r="J425" s="19"/>
      <c r="K425" s="19" t="s">
        <v>2008</v>
      </c>
      <c r="L425" s="20"/>
      <c r="M425" s="25" t="s">
        <v>72</v>
      </c>
      <c r="N425" s="20" t="s">
        <v>3013</v>
      </c>
      <c r="O425" s="20" t="s">
        <v>64</v>
      </c>
      <c r="P425" s="20"/>
      <c r="Q425" s="26" t="str">
        <f>IF(S425="","",LEN(S425)-LEN(SUBSTITUTE(S425,"/",""))+IF(ISNUMBER(SEARCH("@",S425)),0,1))</f>
        <v>2</v>
      </c>
      <c r="R425" s="26"/>
      <c r="S425" s="19" t="s">
        <v>65</v>
      </c>
      <c r="T425" s="19" t="s">
        <v>2097</v>
      </c>
      <c r="U425" s="20"/>
      <c r="V425" s="20"/>
      <c r="W425" s="20"/>
      <c r="X425" s="46"/>
      <c r="Y425" s="20"/>
      <c r="Z425" s="20"/>
      <c r="AA425" s="20" t="s">
        <v>68</v>
      </c>
      <c r="AB425" s="20" t="str">
        <f>IF(ISBLANK(S425),"是","否")</f>
        <v>否</v>
      </c>
      <c r="AC425" s="20" t="s">
        <v>76</v>
      </c>
      <c r="AD425" s="24">
        <v>131</v>
      </c>
      <c r="AE425" s="25" t="s">
        <v>2007</v>
      </c>
      <c r="AH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</row>
    <row r="426" ht="111.8796992481203" customHeight="1" spans="1:57" x14ac:dyDescent="0.25">
      <c r="A426" s="20" t="s">
        <v>682</v>
      </c>
      <c r="B426" s="19" t="s">
        <v>282</v>
      </c>
      <c r="C426" s="20" t="s">
        <v>57</v>
      </c>
      <c r="D426" s="21" t="s">
        <v>2032</v>
      </c>
      <c r="E426" s="22" t="s">
        <v>2033</v>
      </c>
      <c r="F426" s="21" t="s">
        <v>2010</v>
      </c>
      <c r="G426" s="23" t="s">
        <v>2010</v>
      </c>
      <c r="H426" s="20" t="str">
        <f>SUBSTITUTE(SUBSTITUTE(SUBSTITUTE(S426,"/@","_"),"/cac:","_"),"/cbc:","_")</f>
        <v>Invoice_Delivery_DeliveryAddress_CountrySubentity</v>
      </c>
      <c r="I426" s="20" t="str">
        <f>SUBSTITUTE(SUBSTITUTE(SUBSTITUTE(T426,"/@","_"),"/cac:","_"),"/cbc:","_")</f>
        <v>语义域=地点/地理；用发票交付/发生地的 Address 表达（Invoice→Delivery→DeliveryAddress）。 该输入字段“省市区县”是组合字段，UBL按省/州（CountrySubentity）拆分存放。</v>
      </c>
      <c r="J426" s="19" t="s">
        <v>2098</v>
      </c>
      <c r="K426" s="19" t="s">
        <v>2099</v>
      </c>
      <c r="L426" s="20"/>
      <c r="M426" s="25" t="s">
        <v>1998</v>
      </c>
      <c r="N426" s="20" t="s">
        <v>3013</v>
      </c>
      <c r="O426" s="20" t="s">
        <v>64</v>
      </c>
      <c r="P426" s="20"/>
      <c r="Q426" s="26" t="str">
        <f>IF(S426="","",LEN(S426)-LEN(SUBSTITUTE(S426,"/",""))+IF(ISNUMBER(SEARCH("@",S426)),0,1))</f>
        <v>4</v>
      </c>
      <c r="R426" s="26"/>
      <c r="S426" s="19" t="s">
        <v>2100</v>
      </c>
      <c r="T426" s="19" t="s">
        <v>2101</v>
      </c>
      <c r="U426" s="20"/>
      <c r="V426" s="20"/>
      <c r="W426" s="20" t="s">
        <v>2102</v>
      </c>
      <c r="X426" s="46"/>
      <c r="Y426" s="20"/>
      <c r="Z426" s="20"/>
      <c r="AA426" s="20" t="s">
        <v>68</v>
      </c>
      <c r="AB426" s="20" t="str">
        <f>IF(ISBLANK(S426),"是","否")</f>
        <v>否</v>
      </c>
      <c r="AC426" s="20" t="s">
        <v>76</v>
      </c>
      <c r="AD426" s="24">
        <v>132</v>
      </c>
      <c r="AE426" s="25" t="s">
        <v>2010</v>
      </c>
      <c r="AH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</row>
    <row r="427" ht="81.02255639097744" customHeight="1" spans="1:57" x14ac:dyDescent="0.25">
      <c r="A427" s="20" t="s">
        <v>682</v>
      </c>
      <c r="B427" s="19" t="s">
        <v>1845</v>
      </c>
      <c r="C427" s="20" t="s">
        <v>57</v>
      </c>
      <c r="D427" s="21" t="s">
        <v>2032</v>
      </c>
      <c r="E427" s="22" t="s">
        <v>2033</v>
      </c>
      <c r="F427" s="21" t="s">
        <v>2103</v>
      </c>
      <c r="G427" s="23" t="s">
        <v>2103</v>
      </c>
      <c r="H427" s="20" t="str">
        <f>SUBSTITUTE(SUBSTITUTE(SUBSTITUTE(S427,"/@","_"),"/cac:","_"),"/cbc:","_")</f>
        <v>Invoice_InvoicePeriod_StartDate</v>
      </c>
      <c r="I427" s="20" t="str">
        <f>SUBSTITUTE(SUBSTITUTE(SUBSTITUTE(T427,"/@","_"),"/cac:","_"),"/cbc:","_")</f>
        <v>语义域=交易单据/期间；InvoicePeriod 的定义是“the period covered by this invoice”，可承载“租赁期”这类服务期间起始日。</v>
      </c>
      <c r="J427" s="19"/>
      <c r="K427" s="19" t="s">
        <v>2105</v>
      </c>
      <c r="L427" s="20"/>
      <c r="M427" s="25" t="s">
        <v>909</v>
      </c>
      <c r="N427" s="20" t="s">
        <v>3013</v>
      </c>
      <c r="O427" s="20" t="s">
        <v>64</v>
      </c>
      <c r="P427" s="20"/>
      <c r="Q427" s="26" t="str">
        <f>IF(S427="","",LEN(S427)-LEN(SUBSTITUTE(S427,"/",""))+IF(ISNUMBER(SEARCH("@",S427)),0,1))</f>
        <v>3</v>
      </c>
      <c r="R427" s="26"/>
      <c r="S427" s="19" t="s">
        <v>2106</v>
      </c>
      <c r="T427" s="19" t="s">
        <v>2107</v>
      </c>
      <c r="U427" s="20" t="s">
        <v>2093</v>
      </c>
      <c r="V427" s="20"/>
      <c r="W427" s="20"/>
      <c r="X427" s="46"/>
      <c r="Y427" s="20"/>
      <c r="Z427" s="20"/>
      <c r="AA427" s="20" t="s">
        <v>68</v>
      </c>
      <c r="AB427" s="20" t="str">
        <f>IF(ISBLANK(S427),"是","否")</f>
        <v>否</v>
      </c>
      <c r="AC427" s="20" t="s">
        <v>76</v>
      </c>
      <c r="AD427" s="24">
        <v>133</v>
      </c>
      <c r="AE427" s="25" t="s">
        <v>2103</v>
      </c>
      <c r="AF427" s="37">
        <v>108</v>
      </c>
      <c r="AG427" s="35" t="s">
        <v>2103</v>
      </c>
      <c r="AH427" s="20"/>
      <c r="AI427" s="37"/>
      <c r="AJ427" s="35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</row>
    <row r="428" ht="132.45112781954887" customHeight="1" spans="1:57" x14ac:dyDescent="0.25">
      <c r="A428" s="20" t="s">
        <v>682</v>
      </c>
      <c r="B428" s="27"/>
      <c r="C428" s="20" t="s">
        <v>57</v>
      </c>
      <c r="D428" s="21" t="s">
        <v>2108</v>
      </c>
      <c r="E428" s="22" t="s">
        <v>2109</v>
      </c>
      <c r="F428" s="21" t="s">
        <v>60</v>
      </c>
      <c r="G428" s="23" t="s">
        <v>60</v>
      </c>
      <c r="H428" s="20" t="str">
        <f>SUBSTITUTE(SUBSTITUTE(SUBSTITUTE(S428,"/@","_"),"/cac:","_"),"/cbc:","_")</f>
        <v/>
      </c>
      <c r="I428" s="20" t="str">
        <f>SUBSTITUTE(SUBSTITUTE(SUBSTITUTE(T428,"/@","_"),"/cac:","_"),"/cbc:","_")</f>
        <v>【未匹配】在该 HTML 的 Invoice 表及可达 Details 中未找到语义等价的“差额扣除额清单表主键ID/系统内记录主键”标准 UBL 行；该字段更像系统内部数据库主键，若需承载通常需走扩展，但本任务禁止强行匹配/编造。</v>
      </c>
      <c r="J428" s="19"/>
      <c r="K428" s="19"/>
      <c r="L428" s="24"/>
      <c r="M428" s="25" t="s">
        <v>63</v>
      </c>
      <c r="N428" s="20" t="s">
        <v>1280</v>
      </c>
      <c r="O428" s="20"/>
      <c r="P428" s="20"/>
      <c r="Q428" s="26" t="str">
        <f>IF(S428="","",LEN(S428)-LEN(SUBSTITUTE(S428,"/",""))+IF(ISNUMBER(SEARCH("@",S428)),0,1))</f>
        <v/>
      </c>
      <c r="R428" s="26"/>
      <c r="S428" s="19"/>
      <c r="T428" s="19" t="s">
        <v>2111</v>
      </c>
      <c r="U428" s="20"/>
      <c r="V428" s="20"/>
      <c r="W428" s="20"/>
      <c r="X428" s="46" t="s">
        <v>76</v>
      </c>
      <c r="Y428" s="20"/>
      <c r="Z428" s="20"/>
      <c r="AA428" s="20"/>
      <c r="AB428" s="20" t="str">
        <f>IF(ISBLANK(S428),"是","否")</f>
        <v>是</v>
      </c>
      <c r="AC428" s="20" t="s">
        <v>76</v>
      </c>
      <c r="AD428" s="24">
        <v>134</v>
      </c>
      <c r="AE428" s="25" t="s">
        <v>60</v>
      </c>
      <c r="AH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</row>
    <row r="429" ht="142.73684210526315" customHeight="1" spans="1:57" x14ac:dyDescent="0.25">
      <c r="A429" s="20" t="s">
        <v>682</v>
      </c>
      <c r="B429" s="19" t="s">
        <v>1169</v>
      </c>
      <c r="C429" s="20" t="s">
        <v>57</v>
      </c>
      <c r="D429" s="21" t="s">
        <v>2108</v>
      </c>
      <c r="E429" s="22" t="s">
        <v>2109</v>
      </c>
      <c r="F429" s="21" t="s">
        <v>2112</v>
      </c>
      <c r="G429" s="23" t="s">
        <v>2112</v>
      </c>
      <c r="H429" s="20" t="str">
        <f>SUBSTITUTE(SUBSTITUTE(SUBSTITUTE(S429,"/@","_"),"/cac:","_"),"/cbc:","_")</f>
        <v>Invoice_AllowanceCharge_Amount</v>
      </c>
      <c r="I429" s="20" t="str">
        <f>SUBSTITUTE(SUBSTITUTE(SUBSTITUTE(T429,"/@","_"),"/cac:","_"),"/cbc:","_")</f>
        <v>语义最接近“扣除金额=某项扣减的金额值”；Invoice 在单据层支持 AllowanceCharge 聚合。 但 UBL 的 AllowanceCharge 语义是“charge/discount”，与“差额扣除（计税基础扣除）”不完全等价，属于“可解释一致”的候选。</v>
      </c>
      <c r="J429" s="19"/>
      <c r="K429" s="19" t="s">
        <v>2114</v>
      </c>
      <c r="L429" s="20"/>
      <c r="M429" s="25" t="s">
        <v>101</v>
      </c>
      <c r="N429" s="20" t="s">
        <v>3013</v>
      </c>
      <c r="O429" s="20" t="s">
        <v>165</v>
      </c>
      <c r="P429" s="20"/>
      <c r="Q429" s="26" t="str">
        <f>IF(S429="","",LEN(S429)-LEN(SUBSTITUTE(S429,"/",""))+IF(ISNUMBER(SEARCH("@",S429)),0,1))</f>
        <v>3</v>
      </c>
      <c r="R429" s="26"/>
      <c r="S429" s="19" t="s">
        <v>1213</v>
      </c>
      <c r="T429" s="19" t="s">
        <v>2115</v>
      </c>
      <c r="U429" s="20"/>
      <c r="V429" s="20"/>
      <c r="W429" s="20" t="s">
        <v>2116</v>
      </c>
      <c r="X429" s="46"/>
      <c r="Y429" s="20"/>
      <c r="Z429" s="20"/>
      <c r="AA429" s="20" t="s">
        <v>68</v>
      </c>
      <c r="AB429" s="20" t="str">
        <f>IF(ISBLANK(S429),"是","否")</f>
        <v>否</v>
      </c>
      <c r="AC429" s="20" t="s">
        <v>76</v>
      </c>
      <c r="AD429" s="24">
        <v>135</v>
      </c>
      <c r="AE429" s="25" t="s">
        <v>2112</v>
      </c>
      <c r="AF429" s="24">
        <v>199</v>
      </c>
      <c r="AG429" s="25" t="s">
        <v>2117</v>
      </c>
      <c r="AH429" s="20"/>
      <c r="AI429" s="24"/>
      <c r="AJ429" s="25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</row>
    <row r="430" ht="60.45112781954887" customHeight="1" spans="1:57" x14ac:dyDescent="0.25">
      <c r="A430" s="20" t="s">
        <v>682</v>
      </c>
      <c r="B430" s="19" t="s">
        <v>41</v>
      </c>
      <c r="C430" s="20" t="s">
        <v>57</v>
      </c>
      <c r="D430" s="21" t="s">
        <v>2108</v>
      </c>
      <c r="E430" s="22" t="s">
        <v>2109</v>
      </c>
      <c r="F430" s="21" t="s">
        <v>2118</v>
      </c>
      <c r="G430" s="23" t="s">
        <v>2118</v>
      </c>
      <c r="H430" s="20" t="str">
        <f>SUBSTITUTE(SUBSTITUTE(SUBSTITUTE(S430,"/@","_"),"/cac:","_"),"/cbc:","_")</f>
        <v>Invoice_ID</v>
      </c>
      <c r="I430" s="20" t="str">
        <f>SUBSTITUTE(SUBSTITUTE(SUBSTITUTE(T430,"/@","_"),"/cac:","_"),"/cbc:","_")</f>
        <v>“数电发票号码”本质仍为发票文档标识号；UBL 中对应 Invoice 的 ID（Invoice Number）。</v>
      </c>
      <c r="J430" s="19" t="s">
        <v>83</v>
      </c>
      <c r="K430" s="19" t="s">
        <v>2119</v>
      </c>
      <c r="L430" s="20"/>
      <c r="M430" s="25" t="s">
        <v>909</v>
      </c>
      <c r="N430" s="20" t="s">
        <v>3013</v>
      </c>
      <c r="O430" s="20" t="s">
        <v>165</v>
      </c>
      <c r="P430" s="20"/>
      <c r="Q430" s="26" t="str">
        <f>IF(S430="","",LEN(S430)-LEN(SUBSTITUTE(S430,"/",""))+IF(ISNUMBER(SEARCH("@",S430)),0,1))</f>
        <v>2</v>
      </c>
      <c r="R430" s="26"/>
      <c r="S430" s="19" t="s">
        <v>86</v>
      </c>
      <c r="T430" s="19" t="s">
        <v>2120</v>
      </c>
      <c r="U430" s="20"/>
      <c r="V430" s="20"/>
      <c r="W430" s="20"/>
      <c r="X430" s="46"/>
      <c r="Y430" s="20"/>
      <c r="Z430" s="20"/>
      <c r="AA430" s="20" t="s">
        <v>68</v>
      </c>
      <c r="AB430" s="20" t="str">
        <f>IF(ISBLANK(S430),"是","否")</f>
        <v>否</v>
      </c>
      <c r="AC430" s="20" t="s">
        <v>76</v>
      </c>
      <c r="AD430" s="24">
        <v>136</v>
      </c>
      <c r="AE430" s="25" t="s">
        <v>2118</v>
      </c>
      <c r="AF430" s="24">
        <v>193</v>
      </c>
      <c r="AG430" s="25" t="s">
        <v>2118</v>
      </c>
      <c r="AH430" s="20"/>
      <c r="AI430" s="24"/>
      <c r="AJ430" s="25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</row>
    <row r="431" ht="91.30827067669172" customHeight="1" spans="1:57" x14ac:dyDescent="0.25">
      <c r="A431" s="20" t="s">
        <v>682</v>
      </c>
      <c r="B431" s="19" t="s">
        <v>97</v>
      </c>
      <c r="C431" s="20" t="s">
        <v>57</v>
      </c>
      <c r="D431" s="21" t="s">
        <v>2108</v>
      </c>
      <c r="E431" s="22" t="s">
        <v>2109</v>
      </c>
      <c r="F431" s="21" t="s">
        <v>2121</v>
      </c>
      <c r="G431" s="23" t="s">
        <v>2121</v>
      </c>
      <c r="H431" s="20" t="str">
        <f>SUBSTITUTE(SUBSTITUTE(SUBSTITUTE(S431,"/@","_"),"/cac:","_"),"/cbc:","_")</f>
        <v>Invoice_LegalMonetaryTotal_PayableAmount</v>
      </c>
      <c r="I431" s="20" t="str">
        <f>SUBSTITUTE(SUBSTITUTE(SUBSTITUTE(T431,"/@","_"),"/cac:","_"),"/cbc:","_")</f>
        <v>仅在“凭证金额≈该发票应付总额”这一口径下可解释匹配；若“凭证”是独立业务单据金额，UBL Invoice 未见可直接落位的“凭证合计金额”字段。</v>
      </c>
      <c r="J431" s="19"/>
      <c r="K431" s="19" t="s">
        <v>2045</v>
      </c>
      <c r="L431" s="20"/>
      <c r="M431" s="25" t="s">
        <v>101</v>
      </c>
      <c r="N431" s="20" t="s">
        <v>3013</v>
      </c>
      <c r="O431" s="20" t="s">
        <v>165</v>
      </c>
      <c r="P431" s="20"/>
      <c r="Q431" s="26" t="str">
        <f>IF(S431="","",LEN(S431)-LEN(SUBSTITUTE(S431,"/",""))+IF(ISNUMBER(SEARCH("@",S431)),0,1))</f>
        <v>3</v>
      </c>
      <c r="R431" s="26"/>
      <c r="S431" s="19" t="s">
        <v>2046</v>
      </c>
      <c r="T431" s="19" t="s">
        <v>2123</v>
      </c>
      <c r="U431" s="20"/>
      <c r="V431" s="20"/>
      <c r="W431" s="20"/>
      <c r="X431" s="46"/>
      <c r="Y431" s="20"/>
      <c r="Z431" s="20"/>
      <c r="AA431" s="20" t="s">
        <v>68</v>
      </c>
      <c r="AB431" s="20" t="str">
        <f>IF(ISBLANK(S431),"是","否")</f>
        <v>否</v>
      </c>
      <c r="AC431" s="20" t="s">
        <v>76</v>
      </c>
      <c r="AD431" s="24">
        <v>137</v>
      </c>
      <c r="AE431" s="25" t="s">
        <v>2121</v>
      </c>
      <c r="AF431" s="24">
        <v>198</v>
      </c>
      <c r="AG431" s="25" t="s">
        <v>2121</v>
      </c>
      <c r="AH431" s="20"/>
      <c r="AI431" s="24"/>
      <c r="AJ431" s="25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</row>
    <row r="432" ht="81.02255639097744" customHeight="1" spans="1:57" x14ac:dyDescent="0.25">
      <c r="A432" s="20" t="s">
        <v>682</v>
      </c>
      <c r="B432" s="19" t="s">
        <v>139</v>
      </c>
      <c r="C432" s="20" t="s">
        <v>57</v>
      </c>
      <c r="D432" s="21" t="s">
        <v>2108</v>
      </c>
      <c r="E432" s="22" t="s">
        <v>2109</v>
      </c>
      <c r="F432" s="21" t="s">
        <v>2124</v>
      </c>
      <c r="G432" s="23" t="s">
        <v>2124</v>
      </c>
      <c r="H432" s="20" t="str">
        <f>SUBSTITUTE(SUBSTITUTE(SUBSTITUTE(S432,"/@","_"),"/cac:","_"),"/cbc:","_")</f>
        <v>Invoice_AdditionalDocumentReference_ID</v>
      </c>
      <c r="I432" s="20" t="str">
        <f>SUBSTITUTE(SUBSTITUTE(SUBSTITUTE(T432,"/@","_"),"/cac:","_"),"/cbc:","_")</f>
        <v>将“凭证”视为“被引用的外部单据”，最通用入口是 Invoice 的 AdditionalDocumentReference（附加文档引用）。</v>
      </c>
      <c r="J432" s="19"/>
      <c r="K432" s="19" t="s">
        <v>1993</v>
      </c>
      <c r="L432" s="20"/>
      <c r="M432" s="25" t="s">
        <v>909</v>
      </c>
      <c r="N432" s="20" t="s">
        <v>3013</v>
      </c>
      <c r="O432" s="20" t="s">
        <v>165</v>
      </c>
      <c r="P432" s="20"/>
      <c r="Q432" s="26" t="str">
        <f>IF(S432="","",LEN(S432)-LEN(SUBSTITUTE(S432,"/",""))+IF(ISNUMBER(SEARCH("@",S432)),0,1))</f>
        <v>3</v>
      </c>
      <c r="R432" s="26"/>
      <c r="S432" s="19" t="s">
        <v>173</v>
      </c>
      <c r="T432" s="19" t="s">
        <v>2126</v>
      </c>
      <c r="U432" s="20"/>
      <c r="V432" s="20"/>
      <c r="W432" s="20" t="s">
        <v>2127</v>
      </c>
      <c r="X432" s="46"/>
      <c r="Y432" s="20"/>
      <c r="Z432" s="20"/>
      <c r="AA432" s="20" t="s">
        <v>68</v>
      </c>
      <c r="AB432" s="20" t="str">
        <f>IF(ISBLANK(S432),"是","否")</f>
        <v>否</v>
      </c>
      <c r="AC432" s="20" t="s">
        <v>76</v>
      </c>
      <c r="AD432" s="24">
        <v>138</v>
      </c>
      <c r="AE432" s="25" t="s">
        <v>2124</v>
      </c>
      <c r="AF432" s="24">
        <v>196</v>
      </c>
      <c r="AG432" s="25" t="s">
        <v>2124</v>
      </c>
      <c r="AH432" s="20"/>
      <c r="AI432" s="24"/>
      <c r="AJ432" s="25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</row>
    <row r="433" ht="91.30827067669172" customHeight="1" spans="1:57" x14ac:dyDescent="0.25">
      <c r="A433" s="20" t="s">
        <v>682</v>
      </c>
      <c r="B433" s="19" t="s">
        <v>139</v>
      </c>
      <c r="C433" s="20" t="s">
        <v>57</v>
      </c>
      <c r="D433" s="21" t="s">
        <v>2108</v>
      </c>
      <c r="E433" s="22" t="s">
        <v>2109</v>
      </c>
      <c r="F433" s="21" t="s">
        <v>2128</v>
      </c>
      <c r="G433" s="23" t="s">
        <v>2128</v>
      </c>
      <c r="H433" s="20" t="str">
        <f>SUBSTITUTE(SUBSTITUTE(SUBSTITUTE(S433,"/@","_"),"/cac:","_"),"/cbc:","_")</f>
        <v>Invoice_AdditionalDocumentReference_DocumentType</v>
      </c>
      <c r="I433" s="20" t="str">
        <f>SUBSTITUTE(SUBSTITUTE(SUBSTITUTE(T433,"/@","_"),"/cac:","_"),"/cbc:","_")</f>
        <v>输入举例为“收款凭证/付款凭证…”更像文本类型名；因此优先用 DocumentType（text）。</v>
      </c>
      <c r="J433" s="19"/>
      <c r="K433" s="19" t="s">
        <v>2130</v>
      </c>
      <c r="L433" s="24"/>
      <c r="M433" s="25" t="s">
        <v>927</v>
      </c>
      <c r="N433" s="20" t="s">
        <v>3013</v>
      </c>
      <c r="O433" s="20" t="s">
        <v>64</v>
      </c>
      <c r="P433" s="20"/>
      <c r="Q433" s="26" t="str">
        <f>IF(S433="","",LEN(S433)-LEN(SUBSTITUTE(S433,"/",""))+IF(ISNUMBER(SEARCH("@",S433)),0,1))</f>
        <v>3</v>
      </c>
      <c r="R433" s="26"/>
      <c r="S433" s="19" t="s">
        <v>2131</v>
      </c>
      <c r="T433" s="19" t="s">
        <v>2132</v>
      </c>
      <c r="U433" s="20"/>
      <c r="V433" s="20" t="s">
        <v>2133</v>
      </c>
      <c r="W433" s="20"/>
      <c r="X433" s="46"/>
      <c r="Y433" s="20"/>
      <c r="Z433" s="20"/>
      <c r="AA433" s="20" t="s">
        <v>68</v>
      </c>
      <c r="AB433" s="20" t="str">
        <f>IF(ISBLANK(S433),"是","否")</f>
        <v>否</v>
      </c>
      <c r="AC433" s="20" t="s">
        <v>76</v>
      </c>
      <c r="AD433" s="24">
        <v>139</v>
      </c>
      <c r="AE433" s="25" t="s">
        <v>2128</v>
      </c>
      <c r="AF433" s="24">
        <v>192</v>
      </c>
      <c r="AG433" s="25" t="s">
        <v>2128</v>
      </c>
      <c r="AH433" s="20"/>
      <c r="AI433" s="24"/>
      <c r="AJ433" s="25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</row>
    <row r="434" ht="60.45112781954887" customHeight="1" spans="1:57" x14ac:dyDescent="0.25">
      <c r="A434" s="20" t="s">
        <v>682</v>
      </c>
      <c r="B434" s="27"/>
      <c r="C434" s="20" t="s">
        <v>57</v>
      </c>
      <c r="D434" s="21" t="s">
        <v>2108</v>
      </c>
      <c r="E434" s="22" t="s">
        <v>2109</v>
      </c>
      <c r="F434" s="21" t="s">
        <v>77</v>
      </c>
      <c r="G434" s="23" t="s">
        <v>77</v>
      </c>
      <c r="H434" s="20" t="str">
        <f>SUBSTITUTE(SUBSTITUTE(SUBSTITUTE(S434,"/@","_"),"/cac:","_"),"/cbc:","_")</f>
        <v/>
      </c>
      <c r="I434" s="20" t="str">
        <f>SUBSTITUTE(SUBSTITUTE(SUBSTITUTE(T434,"/@","_"),"/cac:","_"),"/cbc:","_")</f>
        <v>同上：Invoice Summary Report 表内未出现与“中国票面发票代码”语义一致的独立字段行。</v>
      </c>
      <c r="J434" s="19"/>
      <c r="K434" s="19"/>
      <c r="L434" s="24"/>
      <c r="M434" s="25" t="s">
        <v>909</v>
      </c>
      <c r="N434" s="20" t="s">
        <v>3013</v>
      </c>
      <c r="O434" s="20"/>
      <c r="P434" s="20"/>
      <c r="Q434" s="26" t="str">
        <f>IF(S434="","",LEN(S434)-LEN(SUBSTITUTE(S434,"/",""))+IF(ISNUMBER(SEARCH("@",S434)),0,1))</f>
        <v/>
      </c>
      <c r="R434" s="26"/>
      <c r="S434" s="19"/>
      <c r="T434" s="19" t="s">
        <v>2134</v>
      </c>
      <c r="U434" s="20"/>
      <c r="V434" s="20"/>
      <c r="W434" s="20"/>
      <c r="X434" s="46"/>
      <c r="Y434" s="20"/>
      <c r="Z434" s="20"/>
      <c r="AA434" s="20"/>
      <c r="AB434" s="20" t="str">
        <f>IF(ISBLANK(S434),"是","否")</f>
        <v>是</v>
      </c>
      <c r="AC434" s="20" t="s">
        <v>76</v>
      </c>
      <c r="AD434" s="24">
        <v>140</v>
      </c>
      <c r="AE434" s="25" t="s">
        <v>77</v>
      </c>
      <c r="AF434" s="24">
        <v>194</v>
      </c>
      <c r="AG434" s="25" t="s">
        <v>2135</v>
      </c>
      <c r="AH434" s="20"/>
      <c r="AI434" s="24"/>
      <c r="AJ434" s="25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</row>
    <row r="435" ht="39.879699248120296" customHeight="1" spans="1:57" x14ac:dyDescent="0.25">
      <c r="A435" s="20" t="s">
        <v>682</v>
      </c>
      <c r="B435" s="19" t="s">
        <v>41</v>
      </c>
      <c r="C435" s="20" t="s">
        <v>57</v>
      </c>
      <c r="D435" s="21" t="s">
        <v>2108</v>
      </c>
      <c r="E435" s="22" t="s">
        <v>2109</v>
      </c>
      <c r="F435" s="21" t="s">
        <v>2136</v>
      </c>
      <c r="G435" s="23" t="s">
        <v>2136</v>
      </c>
      <c r="H435" s="20" t="str">
        <f>SUBSTITUTE(SUBSTITUTE(SUBSTITUTE(S435,"/@","_"),"/cac:","_"),"/cbc:","_")</f>
        <v>Invoice_IssueDate</v>
      </c>
      <c r="I435" s="20" t="str">
        <f>SUBSTITUTE(SUBSTITUTE(SUBSTITUTE(T435,"/@","_"),"/cac:","_"),"/cbc:","_")</f>
        <v>与“开具日期/开票日期”一致（IssueDate）。</v>
      </c>
      <c r="J435" s="19" t="s">
        <v>122</v>
      </c>
      <c r="K435" s="19" t="s">
        <v>2137</v>
      </c>
      <c r="L435" s="20" t="s">
        <v>2138</v>
      </c>
      <c r="M435" s="25" t="s">
        <v>909</v>
      </c>
      <c r="N435" s="20" t="s">
        <v>3013</v>
      </c>
      <c r="O435" s="20" t="s">
        <v>165</v>
      </c>
      <c r="P435" s="20"/>
      <c r="Q435" s="26" t="str">
        <f>IF(S435="","",LEN(S435)-LEN(SUBSTITUTE(S435,"/",""))+IF(ISNUMBER(SEARCH("@",S435)),0,1))</f>
        <v>2</v>
      </c>
      <c r="R435" s="26"/>
      <c r="S435" s="19" t="s">
        <v>125</v>
      </c>
      <c r="T435" s="19" t="s">
        <v>2139</v>
      </c>
      <c r="U435" s="20"/>
      <c r="V435" s="20"/>
      <c r="W435" s="20"/>
      <c r="X435" s="46"/>
      <c r="Y435" s="20"/>
      <c r="Z435" s="20"/>
      <c r="AA435" s="20" t="s">
        <v>68</v>
      </c>
      <c r="AB435" s="20" t="str">
        <f>IF(ISBLANK(S435),"是","否")</f>
        <v>否</v>
      </c>
      <c r="AC435" s="20" t="s">
        <v>76</v>
      </c>
      <c r="AD435" s="24">
        <v>141</v>
      </c>
      <c r="AE435" s="25" t="s">
        <v>2136</v>
      </c>
      <c r="AF435" s="24">
        <v>197</v>
      </c>
      <c r="AG435" s="25" t="s">
        <v>2136</v>
      </c>
      <c r="AH435" s="20"/>
      <c r="AI435" s="24"/>
      <c r="AJ435" s="25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</row>
    <row r="436" ht="39.879699248120296" customHeight="1" spans="1:57" x14ac:dyDescent="0.25">
      <c r="A436" s="20" t="s">
        <v>682</v>
      </c>
      <c r="B436" s="19" t="s">
        <v>41</v>
      </c>
      <c r="C436" s="20" t="s">
        <v>57</v>
      </c>
      <c r="D436" s="21" t="s">
        <v>2108</v>
      </c>
      <c r="E436" s="22" t="s">
        <v>2109</v>
      </c>
      <c r="F436" s="21" t="s">
        <v>89</v>
      </c>
      <c r="G436" s="23" t="s">
        <v>89</v>
      </c>
      <c r="H436" s="20" t="str">
        <f>SUBSTITUTE(SUBSTITUTE(SUBSTITUTE(S436,"/@","_"),"/cac:","_"),"/cbc:","_")</f>
        <v>Invoice_ID</v>
      </c>
      <c r="I436" s="20" t="str">
        <f>SUBSTITUTE(SUBSTITUTE(SUBSTITUTE(T436,"/@","_"),"/cac:","_"),"/cbc:","_")</f>
        <v>与“发票号码”一致（Invoice_ID）。</v>
      </c>
      <c r="J436" s="19" t="s">
        <v>83</v>
      </c>
      <c r="K436" s="19" t="s">
        <v>2119</v>
      </c>
      <c r="L436" s="20"/>
      <c r="M436" s="25" t="s">
        <v>909</v>
      </c>
      <c r="N436" s="20" t="s">
        <v>3013</v>
      </c>
      <c r="O436" s="20" t="s">
        <v>165</v>
      </c>
      <c r="P436" s="20"/>
      <c r="Q436" s="26" t="str">
        <f>IF(S436="","",LEN(S436)-LEN(SUBSTITUTE(S436,"/",""))+IF(ISNUMBER(SEARCH("@",S436)),0,1))</f>
        <v>2</v>
      </c>
      <c r="R436" s="26"/>
      <c r="S436" s="19" t="s">
        <v>86</v>
      </c>
      <c r="T436" s="19" t="s">
        <v>2140</v>
      </c>
      <c r="U436" s="20"/>
      <c r="V436" s="20"/>
      <c r="W436" s="20"/>
      <c r="X436" s="46"/>
      <c r="Y436" s="20"/>
      <c r="Z436" s="20"/>
      <c r="AA436" s="20" t="s">
        <v>68</v>
      </c>
      <c r="AB436" s="20" t="str">
        <f>IF(ISBLANK(S436),"是","否")</f>
        <v>否</v>
      </c>
      <c r="AC436" s="20" t="s">
        <v>76</v>
      </c>
      <c r="AD436" s="24">
        <v>142</v>
      </c>
      <c r="AE436" s="25" t="s">
        <v>89</v>
      </c>
      <c r="AF436" s="24">
        <v>195</v>
      </c>
      <c r="AG436" s="25" t="s">
        <v>2141</v>
      </c>
      <c r="AH436" s="20"/>
      <c r="AI436" s="24"/>
      <c r="AJ436" s="25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</row>
    <row r="437" ht="60.45112781954887" customHeight="1" spans="1:57" x14ac:dyDescent="0.25">
      <c r="A437" s="20" t="s">
        <v>682</v>
      </c>
      <c r="B437" s="19" t="s">
        <v>41</v>
      </c>
      <c r="C437" s="20" t="s">
        <v>57</v>
      </c>
      <c r="D437" s="21" t="s">
        <v>2108</v>
      </c>
      <c r="E437" s="22" t="s">
        <v>2109</v>
      </c>
      <c r="F437" s="21" t="s">
        <v>157</v>
      </c>
      <c r="G437" s="23" t="s">
        <v>157</v>
      </c>
      <c r="H437" s="20" t="str">
        <f>SUBSTITUTE(SUBSTITUTE(SUBSTITUTE(S437,"/@","_"),"/cac:","_"),"/cbc:","_")</f>
        <v>Invoice_Note</v>
      </c>
      <c r="I437" s="20" t="str">
        <f>SUBSTITUTE(SUBSTITUTE(SUBSTITUTE(T437,"/@","_"),"/cac:","_"),"/cbc:","_")</f>
        <v>与“备注/补充说明”高度一致（自由文本备注，可多条）。</v>
      </c>
      <c r="J437" s="19"/>
      <c r="K437" s="19" t="s">
        <v>2142</v>
      </c>
      <c r="L437" s="20"/>
      <c r="M437" s="25" t="s">
        <v>913</v>
      </c>
      <c r="N437" s="20" t="s">
        <v>3013</v>
      </c>
      <c r="O437" s="20" t="s">
        <v>49</v>
      </c>
      <c r="P437" s="20"/>
      <c r="Q437" s="26" t="str">
        <f>IF(S437="","",LEN(S437)-LEN(SUBSTITUTE(S437,"/",""))+IF(ISNUMBER(SEARCH("@",S437)),0,1))</f>
        <v>2</v>
      </c>
      <c r="R437" s="26"/>
      <c r="S437" s="19" t="s">
        <v>155</v>
      </c>
      <c r="T437" s="19" t="s">
        <v>2143</v>
      </c>
      <c r="U437" s="20"/>
      <c r="V437" s="20"/>
      <c r="W437" s="20"/>
      <c r="X437" s="46"/>
      <c r="Y437" s="20"/>
      <c r="Z437" s="20"/>
      <c r="AA437" s="20" t="s">
        <v>68</v>
      </c>
      <c r="AB437" s="20" t="str">
        <f>IF(ISBLANK(S437),"是","否")</f>
        <v>否</v>
      </c>
      <c r="AC437" s="20" t="s">
        <v>76</v>
      </c>
      <c r="AD437" s="24">
        <v>143</v>
      </c>
      <c r="AE437" s="25" t="s">
        <v>157</v>
      </c>
      <c r="AF437" s="37">
        <v>200</v>
      </c>
      <c r="AG437" s="35" t="s">
        <v>2144</v>
      </c>
      <c r="AH437" s="20"/>
      <c r="AI437" s="37"/>
      <c r="AJ437" s="35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</row>
    <row r="438" ht="70.73684210526315" customHeight="1" spans="1:57" x14ac:dyDescent="0.25">
      <c r="A438" s="20" t="s">
        <v>682</v>
      </c>
      <c r="B438" s="19" t="s">
        <v>41</v>
      </c>
      <c r="C438" s="20" t="s">
        <v>57</v>
      </c>
      <c r="D438" s="21" t="s">
        <v>2108</v>
      </c>
      <c r="E438" s="22" t="s">
        <v>2109</v>
      </c>
      <c r="F438" s="21" t="s">
        <v>2007</v>
      </c>
      <c r="G438" s="23" t="s">
        <v>2007</v>
      </c>
      <c r="H438" s="20" t="str">
        <f>SUBSTITUTE(SUBSTITUTE(SUBSTITUTE(S438,"/@","_"),"/cac:","_"),"/cbc:","_")</f>
        <v>Invoice_UUID</v>
      </c>
      <c r="I438" s="20" t="str">
        <f>SUBSTITUTE(SUBSTITUTE(SUBSTITUTE(T438,"/@","_"),"/cac:","_"),"/cbc:","_")</f>
        <v>“发票流水号(系统内业务流水标识)”更像“文档实例唯一标识”，优先 UUID；与票面 ID（发票号码）区分。</v>
      </c>
      <c r="J438" s="19"/>
      <c r="K438" s="19" t="s">
        <v>2008</v>
      </c>
      <c r="L438" s="20"/>
      <c r="M438" s="25" t="s">
        <v>72</v>
      </c>
      <c r="N438" s="20" t="s">
        <v>3013</v>
      </c>
      <c r="O438" s="20" t="s">
        <v>64</v>
      </c>
      <c r="P438" s="20"/>
      <c r="Q438" s="26" t="str">
        <f>IF(S438="","",LEN(S438)-LEN(SUBSTITUTE(S438,"/",""))+IF(ISNUMBER(SEARCH("@",S438)),0,1))</f>
        <v>2</v>
      </c>
      <c r="R438" s="26"/>
      <c r="S438" s="19" t="s">
        <v>65</v>
      </c>
      <c r="T438" s="19" t="s">
        <v>2145</v>
      </c>
      <c r="U438" s="20"/>
      <c r="V438" s="20"/>
      <c r="W438" s="20"/>
      <c r="X438" s="46"/>
      <c r="Y438" s="20"/>
      <c r="Z438" s="20"/>
      <c r="AA438" s="20" t="s">
        <v>68</v>
      </c>
      <c r="AB438" s="20" t="str">
        <f>IF(ISBLANK(S438),"是","否")</f>
        <v>否</v>
      </c>
      <c r="AC438" s="20" t="s">
        <v>76</v>
      </c>
      <c r="AD438" s="24">
        <v>144</v>
      </c>
      <c r="AE438" s="25" t="s">
        <v>2007</v>
      </c>
      <c r="AH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</row>
    <row r="439" ht="132.45112781954887" customHeight="1" spans="1:57" x14ac:dyDescent="0.25">
      <c r="A439" s="20" t="s">
        <v>682</v>
      </c>
      <c r="B439" s="19" t="s">
        <v>1542</v>
      </c>
      <c r="C439" s="20" t="s">
        <v>57</v>
      </c>
      <c r="D439" s="21" t="s">
        <v>2146</v>
      </c>
      <c r="E439" s="22" t="s">
        <v>2147</v>
      </c>
      <c r="F439" s="21" t="s">
        <v>2148</v>
      </c>
      <c r="G439" s="23" t="s">
        <v>2148</v>
      </c>
      <c r="H439" s="20" t="str">
        <f>SUBSTITUTE(SUBSTITUTE(SUBSTITUTE(S439,"/@","_"),"/cac:","_"),"/cbc:","_")</f>
        <v>Invoice_InvoiceLine_Item_AdditionalItemProperty_Name</v>
      </c>
      <c r="I439" s="20" t="str">
        <f>SUBSTITUTE(SUBSTITUTE(SUBSTITUTE(T439,"/@","_"),"/cac:","_"),"/cbc:","_")</f>
        <v>若将“附加要素”建模为“商品/服务条目的附加属性(AdditionalItemProperty)”，则 Name 可承载“附加要素名称(项目/地点/运输等标签)”。路径链路：Invoice→InvoiceLine→Item→AdditionalItemProperty。</v>
      </c>
      <c r="J439" s="19"/>
      <c r="K439" s="19" t="s">
        <v>2150</v>
      </c>
      <c r="L439" s="24"/>
      <c r="M439" s="25" t="s">
        <v>909</v>
      </c>
      <c r="N439" s="20" t="s">
        <v>3013</v>
      </c>
      <c r="O439" s="20" t="s">
        <v>165</v>
      </c>
      <c r="P439" s="20"/>
      <c r="Q439" s="26" t="str">
        <f>IF(S439="","",LEN(S439)-LEN(SUBSTITUTE(S439,"/",""))+IF(ISNUMBER(SEARCH("@",S439)),0,1))</f>
        <v>5</v>
      </c>
      <c r="R439" s="26"/>
      <c r="S439" s="19" t="s">
        <v>1549</v>
      </c>
      <c r="T439" s="19" t="s">
        <v>2151</v>
      </c>
      <c r="U439" s="20"/>
      <c r="V439" s="20"/>
      <c r="W439" s="20" t="s">
        <v>2152</v>
      </c>
      <c r="X439" s="46"/>
      <c r="Y439" s="20"/>
      <c r="Z439" s="20"/>
      <c r="AA439" s="20" t="s">
        <v>68</v>
      </c>
      <c r="AB439" s="20" t="str">
        <f>IF(ISBLANK(S439),"是","否")</f>
        <v>否</v>
      </c>
      <c r="AC439" s="20" t="s">
        <v>76</v>
      </c>
      <c r="AD439" s="24">
        <v>145</v>
      </c>
      <c r="AE439" s="25" t="s">
        <v>2148</v>
      </c>
      <c r="AF439" s="24">
        <v>255</v>
      </c>
      <c r="AG439" s="25" t="s">
        <v>2153</v>
      </c>
      <c r="AH439" s="20"/>
      <c r="AI439" s="24"/>
      <c r="AJ439" s="25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</row>
    <row r="440" ht="91.30827067669172" customHeight="1" spans="1:57" x14ac:dyDescent="0.25">
      <c r="A440" s="20" t="s">
        <v>682</v>
      </c>
      <c r="B440" s="19" t="s">
        <v>1542</v>
      </c>
      <c r="C440" s="20" t="s">
        <v>57</v>
      </c>
      <c r="D440" s="21" t="s">
        <v>2146</v>
      </c>
      <c r="E440" s="22" t="s">
        <v>2147</v>
      </c>
      <c r="F440" s="21" t="s">
        <v>2154</v>
      </c>
      <c r="G440" s="23" t="s">
        <v>2154</v>
      </c>
      <c r="H440" s="20" t="str">
        <f>SUBSTITUTE(SUBSTITUTE(SUBSTITUTE(S440,"/@","_"),"/cac:","_"),"/cbc:","_")</f>
        <v>Invoice_InvoiceLine_Item_AdditionalItemProperty_NameCode</v>
      </c>
      <c r="I440" s="20" t="str">
        <f>SUBSTITUTE(SUBSTITUTE(SUBSTITUTE(T440,"/@","_"),"/cac:","_"),"/cbc:","_")</f>
        <v>若“附加要素类型”本质是对“要素名称/类别”的代码化分类（而非纯文本标签），则用 NameCode 更一致（名称的代码表达）。</v>
      </c>
      <c r="J440" s="19"/>
      <c r="K440" s="19" t="s">
        <v>2156</v>
      </c>
      <c r="L440" s="24"/>
      <c r="M440" s="25" t="s">
        <v>2157</v>
      </c>
      <c r="N440" s="20" t="s">
        <v>3013</v>
      </c>
      <c r="O440" s="20" t="s">
        <v>64</v>
      </c>
      <c r="P440" s="20"/>
      <c r="Q440" s="26" t="str">
        <f>IF(S440="","",LEN(S440)-LEN(SUBSTITUTE(S440,"/",""))+IF(ISNUMBER(SEARCH("@",S440)),0,1))</f>
        <v>5</v>
      </c>
      <c r="R440" s="26"/>
      <c r="S440" s="19" t="s">
        <v>2158</v>
      </c>
      <c r="T440" s="19" t="s">
        <v>2159</v>
      </c>
      <c r="U440" s="20"/>
      <c r="V440" s="20" t="s">
        <v>2160</v>
      </c>
      <c r="W440" s="20"/>
      <c r="X440" s="46"/>
      <c r="Y440" s="20"/>
      <c r="Z440" s="20"/>
      <c r="AA440" s="20" t="s">
        <v>68</v>
      </c>
      <c r="AB440" s="20" t="str">
        <f>IF(ISBLANK(S440),"是","否")</f>
        <v>否</v>
      </c>
      <c r="AC440" s="20" t="s">
        <v>76</v>
      </c>
      <c r="AD440" s="24">
        <v>146</v>
      </c>
      <c r="AE440" s="25" t="s">
        <v>2154</v>
      </c>
      <c r="AF440" s="37">
        <v>256</v>
      </c>
      <c r="AG440" s="35" t="s">
        <v>2161</v>
      </c>
      <c r="AH440" s="20"/>
      <c r="AI440" s="37"/>
      <c r="AJ440" s="35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</row>
    <row r="441" ht="70.73684210526315" customHeight="1" spans="1:57" x14ac:dyDescent="0.25">
      <c r="A441" s="20" t="s">
        <v>682</v>
      </c>
      <c r="B441" s="19" t="s">
        <v>1542</v>
      </c>
      <c r="C441" s="20" t="s">
        <v>57</v>
      </c>
      <c r="D441" s="21" t="s">
        <v>2146</v>
      </c>
      <c r="E441" s="22" t="s">
        <v>2147</v>
      </c>
      <c r="F441" s="21" t="s">
        <v>2162</v>
      </c>
      <c r="G441" s="23" t="s">
        <v>2162</v>
      </c>
      <c r="H441" s="20" t="str">
        <f>SUBSTITUTE(SUBSTITUTE(SUBSTITUTE(S441,"/@","_"),"/cac:","_"),"/cbc:","_")</f>
        <v>Invoice_InvoiceLine_Item_AdditionalItemProperty_Value</v>
      </c>
      <c r="I441" s="20" t="str">
        <f>SUBSTITUTE(SUBSTITUTE(SUBSTITUTE(T441,"/@","_"),"/cac:","_"),"/cbc:","_")</f>
        <v>与“附加要素内容（承载实际数据）”的 key-value 结构最一致：Name/NameCode + Value。</v>
      </c>
      <c r="J441" s="19"/>
      <c r="K441" s="19" t="s">
        <v>2164</v>
      </c>
      <c r="L441" s="24"/>
      <c r="M441" s="25" t="s">
        <v>889</v>
      </c>
      <c r="N441" s="20" t="s">
        <v>3013</v>
      </c>
      <c r="O441" s="20" t="s">
        <v>64</v>
      </c>
      <c r="P441" s="20"/>
      <c r="Q441" s="26" t="str">
        <f>IF(S441="","",LEN(S441)-LEN(SUBSTITUTE(S441,"/",""))+IF(ISNUMBER(SEARCH("@",S441)),0,1))</f>
        <v>5</v>
      </c>
      <c r="R441" s="26"/>
      <c r="S441" s="19" t="s">
        <v>1557</v>
      </c>
      <c r="T441" s="19" t="s">
        <v>2165</v>
      </c>
      <c r="U441" s="20"/>
      <c r="V441" s="20"/>
      <c r="W441" s="20" t="s">
        <v>2166</v>
      </c>
      <c r="X441" s="46"/>
      <c r="Y441" s="20"/>
      <c r="Z441" s="20"/>
      <c r="AA441" s="20" t="s">
        <v>68</v>
      </c>
      <c r="AB441" s="20" t="str">
        <f>IF(ISBLANK(S441),"是","否")</f>
        <v>否</v>
      </c>
      <c r="AC441" s="20" t="s">
        <v>76</v>
      </c>
      <c r="AD441" s="24">
        <v>147</v>
      </c>
      <c r="AE441" s="25" t="s">
        <v>2162</v>
      </c>
      <c r="AH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</row>
    <row r="442" ht="70.73684210526315" customHeight="1" spans="1:57" x14ac:dyDescent="0.25">
      <c r="A442" s="20" t="s">
        <v>682</v>
      </c>
      <c r="B442" s="19" t="s">
        <v>1542</v>
      </c>
      <c r="C442" s="20" t="s">
        <v>57</v>
      </c>
      <c r="D442" s="21" t="s">
        <v>2146</v>
      </c>
      <c r="E442" s="22" t="s">
        <v>2147</v>
      </c>
      <c r="F442" s="21" t="s">
        <v>60</v>
      </c>
      <c r="G442" s="23" t="s">
        <v>60</v>
      </c>
      <c r="H442" s="20" t="str">
        <f>SUBSTITUTE(SUBSTITUTE(SUBSTITUTE(S442,"/@","_"),"/cac:","_"),"/cbc:","_")</f>
        <v>Invoice_InvoiceLine_Item_AdditionalItemProperty_ID</v>
      </c>
      <c r="I442" s="20" t="str">
        <f>SUBSTITUTE(SUBSTITUTE(SUBSTITUTE(T442,"/@","_"),"/cac:","_"),"/cbc:","_")</f>
        <v>对“附加要素信息表主键ID（单条附加要素明细记录的唯一标识）”最贴近的是 ItemProperty 的 ID（属性记录标识）。</v>
      </c>
      <c r="J442" s="19"/>
      <c r="K442" s="19" t="s">
        <v>2168</v>
      </c>
      <c r="L442" s="24"/>
      <c r="M442" s="25" t="s">
        <v>63</v>
      </c>
      <c r="N442" s="20" t="s">
        <v>1280</v>
      </c>
      <c r="O442" s="20" t="s">
        <v>64</v>
      </c>
      <c r="P442" s="20"/>
      <c r="Q442" s="26" t="str">
        <f>IF(S442="","",LEN(S442)-LEN(SUBSTITUTE(S442,"/",""))+IF(ISNUMBER(SEARCH("@",S442)),0,1))</f>
        <v>5</v>
      </c>
      <c r="R442" s="26"/>
      <c r="S442" s="19" t="s">
        <v>2169</v>
      </c>
      <c r="T442" s="19" t="s">
        <v>2170</v>
      </c>
      <c r="U442" s="20"/>
      <c r="V442" s="20"/>
      <c r="W442" s="20"/>
      <c r="X442" s="46" t="s">
        <v>76</v>
      </c>
      <c r="Y442" s="20"/>
      <c r="Z442" s="20"/>
      <c r="AA442" s="20" t="s">
        <v>68</v>
      </c>
      <c r="AB442" s="20" t="str">
        <f>IF(ISBLANK(S442),"是","否")</f>
        <v>否</v>
      </c>
      <c r="AC442" s="20" t="s">
        <v>76</v>
      </c>
      <c r="AD442" s="24">
        <v>148</v>
      </c>
      <c r="AE442" s="25" t="s">
        <v>60</v>
      </c>
      <c r="AF442" s="37">
        <v>253</v>
      </c>
      <c r="AG442" s="35" t="s">
        <v>1313</v>
      </c>
      <c r="AH442" s="20"/>
      <c r="AI442" s="37"/>
      <c r="AJ442" s="35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</row>
    <row r="443" ht="70.73684210526315" customHeight="1" spans="1:57" x14ac:dyDescent="0.25">
      <c r="A443" s="20" t="s">
        <v>682</v>
      </c>
      <c r="B443" s="19" t="s">
        <v>41</v>
      </c>
      <c r="C443" s="20" t="s">
        <v>57</v>
      </c>
      <c r="D443" s="21" t="s">
        <v>2146</v>
      </c>
      <c r="E443" s="22" t="s">
        <v>2147</v>
      </c>
      <c r="F443" s="21" t="s">
        <v>2007</v>
      </c>
      <c r="G443" s="23" t="s">
        <v>2007</v>
      </c>
      <c r="H443" s="20" t="str">
        <f>SUBSTITUTE(SUBSTITUTE(SUBSTITUTE(S443,"/@","_"),"/cac:","_"),"/cbc:","_")</f>
        <v>Invoice_UUID</v>
      </c>
      <c r="I443" s="20" t="str">
        <f>SUBSTITUTE(SUBSTITUTE(SUBSTITUTE(T443,"/@","_"),"/cac:","_"),"/cbc:","_")</f>
        <v>“发票流水号（用于关联主数据/明细/扩展表）”若用于跨表关联的稳定唯一键，UUID 更符合“全局唯一标识”语义。</v>
      </c>
      <c r="J443" s="19"/>
      <c r="K443" s="19" t="s">
        <v>2008</v>
      </c>
      <c r="L443" s="24"/>
      <c r="M443" s="25" t="s">
        <v>72</v>
      </c>
      <c r="N443" s="20" t="s">
        <v>3013</v>
      </c>
      <c r="O443" s="20" t="s">
        <v>64</v>
      </c>
      <c r="P443" s="20"/>
      <c r="Q443" s="26" t="str">
        <f>IF(S443="","",LEN(S443)-LEN(SUBSTITUTE(S443,"/",""))+IF(ISNUMBER(SEARCH("@",S443)),0,1))</f>
        <v>2</v>
      </c>
      <c r="R443" s="26"/>
      <c r="S443" s="19" t="s">
        <v>65</v>
      </c>
      <c r="T443" s="19" t="s">
        <v>2171</v>
      </c>
      <c r="U443" s="20"/>
      <c r="V443" s="20"/>
      <c r="W443" s="20"/>
      <c r="X443" s="46"/>
      <c r="Y443" s="20"/>
      <c r="Z443" s="20"/>
      <c r="AA443" s="20" t="s">
        <v>68</v>
      </c>
      <c r="AB443" s="20" t="str">
        <f>IF(ISBLANK(S443),"是","否")</f>
        <v>否</v>
      </c>
      <c r="AC443" s="20" t="s">
        <v>76</v>
      </c>
      <c r="AD443" s="24">
        <v>149</v>
      </c>
      <c r="AE443" s="25" t="s">
        <v>2007</v>
      </c>
      <c r="AH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</row>
    <row r="444" ht="81.02255639097744" customHeight="1" spans="1:57" x14ac:dyDescent="0.25">
      <c r="A444" s="20" t="s">
        <v>1663</v>
      </c>
      <c r="B444" s="19" t="s">
        <v>2172</v>
      </c>
      <c r="C444" s="20" t="s">
        <v>57</v>
      </c>
      <c r="D444" s="21" t="s">
        <v>2173</v>
      </c>
      <c r="E444" s="22" t="s">
        <v>2174</v>
      </c>
      <c r="F444" s="21" t="s">
        <v>60</v>
      </c>
      <c r="G444" s="20" t="s">
        <v>2175</v>
      </c>
      <c r="H444" s="20" t="str">
        <f>SUBSTITUTE(SUBSTITUTE(SUBSTITUTE(S444,"/@","_"),"/cac:","_"),"/cbc:","_")</f>
        <v>Invoice_Delivery_Shipment_ID</v>
      </c>
      <c r="I444" s="20" t="str">
        <f>SUBSTITUTE(SUBSTITUTE(SUBSTITUTE(T444,"/@","_"),"/cac:","_"),"/cbc:","_")</f>
        <v>语义最接近“Shipment 标识（运单/货运标识）”；但你字段定义是“系统内主键”，口径不完全一致（UBL不表达数据库主键）。</v>
      </c>
      <c r="J444" s="19" t="s">
        <v>2177</v>
      </c>
      <c r="K444" s="19" t="s">
        <v>2178</v>
      </c>
      <c r="L444" s="24"/>
      <c r="M444" s="25" t="s">
        <v>63</v>
      </c>
      <c r="N444" s="25">
        <v>0</v>
      </c>
      <c r="O444" s="25">
        <v>1</v>
      </c>
      <c r="P444" s="20"/>
      <c r="Q444" s="26" t="str">
        <f>IF(S444="","",LEN(S444)-LEN(SUBSTITUTE(S444,"/",""))+IF(ISNUMBER(SEARCH("@",S444)),0,1))</f>
        <v>4</v>
      </c>
      <c r="R444" s="26"/>
      <c r="S444" s="19" t="s">
        <v>2179</v>
      </c>
      <c r="T444" s="19" t="s">
        <v>2180</v>
      </c>
      <c r="U444" s="20"/>
      <c r="V444" s="20"/>
      <c r="W444" s="19"/>
      <c r="X444" s="46" t="s">
        <v>76</v>
      </c>
      <c r="Y444" s="20"/>
      <c r="Z444" s="20"/>
      <c r="AA444" s="20" t="s">
        <v>68</v>
      </c>
      <c r="AB444" s="20" t="str">
        <f>IF(ISBLANK(S444),"是","否")</f>
        <v>否</v>
      </c>
      <c r="AC444" s="20" t="s">
        <v>76</v>
      </c>
      <c r="AD444" s="24">
        <v>150</v>
      </c>
      <c r="AE444" s="25" t="s">
        <v>60</v>
      </c>
      <c r="AF444" s="24">
        <v>203</v>
      </c>
      <c r="AG444" s="25" t="s">
        <v>1313</v>
      </c>
      <c r="AH444" s="20"/>
      <c r="AI444" s="24"/>
      <c r="AJ444" s="25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</row>
    <row r="445" ht="111.8796992481203" customHeight="1" spans="1:57" x14ac:dyDescent="0.25">
      <c r="A445" s="20" t="s">
        <v>1663</v>
      </c>
      <c r="B445" s="19" t="s">
        <v>316</v>
      </c>
      <c r="C445" s="20" t="s">
        <v>57</v>
      </c>
      <c r="D445" s="21" t="s">
        <v>2173</v>
      </c>
      <c r="E445" s="22" t="s">
        <v>2174</v>
      </c>
      <c r="F445" s="21" t="s">
        <v>2181</v>
      </c>
      <c r="G445" s="20" t="s">
        <v>2182</v>
      </c>
      <c r="H445" s="20" t="str">
        <f>SUBSTITUTE(SUBSTITUTE(SUBSTITUTE(S445,"/@","_"),"/cac:","_"),"/cbc:","_")</f>
        <v>Invoice_Delivery_Shipment_Delivery_DeliveryAddress_AddressLine_Line</v>
      </c>
      <c r="I445" s="20" t="str">
        <f>SUBSTITUTE(SUBSTITUTE(SUBSTITUTE(T445,"/@","_"),"/cac:","_"),"/cbc:","_")</f>
        <v>“到达地”更像 Shipment 的交付目的地地址：Shipment→Delivery（该票运送）→DeliveryAddress（交付地址）→AddressLine.Line（非结构化地址行，可承载省市区县串）。</v>
      </c>
      <c r="J445" s="19"/>
      <c r="K445" s="19" t="s">
        <v>1997</v>
      </c>
      <c r="L445" s="24"/>
      <c r="M445" s="25" t="s">
        <v>1998</v>
      </c>
      <c r="N445" s="25" t="s">
        <v>1024</v>
      </c>
      <c r="O445" s="25">
        <v>1</v>
      </c>
      <c r="P445" s="20"/>
      <c r="Q445" s="26" t="str">
        <f>IF(S445="","",LEN(S445)-LEN(SUBSTITUTE(S445,"/",""))+IF(ISNUMBER(SEARCH("@",S445)),0,1))</f>
        <v>7</v>
      </c>
      <c r="R445" s="26"/>
      <c r="S445" s="19" t="s">
        <v>2184</v>
      </c>
      <c r="T445" s="19" t="s">
        <v>2185</v>
      </c>
      <c r="U445" s="20"/>
      <c r="V445" s="20"/>
      <c r="W445" s="19" t="s">
        <v>327</v>
      </c>
      <c r="X445" s="46"/>
      <c r="Y445" s="20"/>
      <c r="Z445" s="20"/>
      <c r="AA445" s="20" t="s">
        <v>68</v>
      </c>
      <c r="AB445" s="20" t="str">
        <f>IF(ISBLANK(S445),"是","否")</f>
        <v>否</v>
      </c>
      <c r="AC445" s="20" t="s">
        <v>76</v>
      </c>
      <c r="AD445" s="24">
        <v>151</v>
      </c>
      <c r="AE445" s="25" t="s">
        <v>2181</v>
      </c>
      <c r="AF445" s="24">
        <v>209</v>
      </c>
      <c r="AG445" s="25" t="s">
        <v>2181</v>
      </c>
      <c r="AH445" s="20"/>
      <c r="AI445" s="24"/>
      <c r="AJ445" s="25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</row>
    <row r="446" ht="126.3157894736842" customHeight="1" spans="1:57" x14ac:dyDescent="0.25">
      <c r="A446" s="20" t="s">
        <v>1663</v>
      </c>
      <c r="B446" s="19" t="s">
        <v>2186</v>
      </c>
      <c r="C446" s="20" t="s">
        <v>57</v>
      </c>
      <c r="D446" s="21" t="s">
        <v>2173</v>
      </c>
      <c r="E446" s="22" t="s">
        <v>2174</v>
      </c>
      <c r="F446" s="21" t="s">
        <v>2187</v>
      </c>
      <c r="G446" s="20" t="s">
        <v>2188</v>
      </c>
      <c r="H446" s="20" t="str">
        <f>SUBSTITUTE(SUBSTITUTE(SUBSTITUTE(S446,"/@","_"),"/cac:","_"),"/cbc:","_")</f>
        <v>Invoice_Delivery_Shipment_ShipmentStage_TransportModeCode</v>
      </c>
      <c r="I446" s="20" t="str">
        <f>SUBSTITUTE(SUBSTITUTE(SUBSTITUTE(T446,"/@","_"),"/cac:","_"),"/cbc:","_")</f>
        <v>你示例值“公路/铁路/水路/航空”更符合“运输方式/运输模式（method of transport）”，优先匹配 TransportModeCode。</v>
      </c>
      <c r="J446" s="19" t="s">
        <v>2190</v>
      </c>
      <c r="K446" s="19" t="s">
        <v>2191</v>
      </c>
      <c r="L446" s="25"/>
      <c r="M446" s="25" t="s">
        <v>927</v>
      </c>
      <c r="N446" s="25" t="s">
        <v>1024</v>
      </c>
      <c r="O446" s="25" t="s">
        <v>64</v>
      </c>
      <c r="P446" s="20"/>
      <c r="Q446" s="26" t="str">
        <f>IF(S446="","",LEN(S446)-LEN(SUBSTITUTE(S446,"/",""))+IF(ISNUMBER(SEARCH("@",S446)),0,1))</f>
        <v>5</v>
      </c>
      <c r="R446" s="26"/>
      <c r="S446" s="19" t="s">
        <v>2192</v>
      </c>
      <c r="T446" s="19" t="s">
        <v>2193</v>
      </c>
      <c r="U446" s="20"/>
      <c r="V446" s="25"/>
      <c r="W446" s="19"/>
      <c r="X446" s="46"/>
      <c r="Y446" s="20"/>
      <c r="Z446" s="20"/>
      <c r="AA446" s="20" t="s">
        <v>68</v>
      </c>
      <c r="AB446" s="20" t="str">
        <f>IF(ISBLANK(S446),"是","否")</f>
        <v>否</v>
      </c>
      <c r="AC446" s="20" t="s">
        <v>76</v>
      </c>
      <c r="AD446" s="24">
        <v>152</v>
      </c>
      <c r="AE446" s="25" t="s">
        <v>2187</v>
      </c>
      <c r="AF446" s="24">
        <v>206</v>
      </c>
      <c r="AG446" s="25" t="s">
        <v>2187</v>
      </c>
      <c r="AH446" s="20"/>
      <c r="AI446" s="24"/>
      <c r="AJ446" s="25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</row>
    <row r="447" ht="91.30827067669172" customHeight="1" spans="1:57" x14ac:dyDescent="0.25">
      <c r="A447" s="20" t="s">
        <v>1663</v>
      </c>
      <c r="B447" s="19" t="s">
        <v>316</v>
      </c>
      <c r="C447" s="20" t="s">
        <v>57</v>
      </c>
      <c r="D447" s="21" t="s">
        <v>2173</v>
      </c>
      <c r="E447" s="22" t="s">
        <v>2174</v>
      </c>
      <c r="F447" s="21" t="s">
        <v>2194</v>
      </c>
      <c r="G447" s="23" t="s">
        <v>2194</v>
      </c>
      <c r="H447" s="20" t="str">
        <f>SUBSTITUTE(SUBSTITUTE(SUBSTITUTE(S447,"/@","_"),"/cac:","_"),"/cbc:","_")</f>
        <v>Invoice_Delivery_Shipment_Delivery_Despatch_DespatchAddress_AddressLine_Line</v>
      </c>
      <c r="I447" s="20" t="str">
        <f>SUBSTITUTE(SUBSTITUTE(SUBSTITUTE(T447,"/@","_"),"/cac:","_"),"/cbc:","_")</f>
        <v>“起运地”更像提货/发运地（pickup）：Delivery→Despatch（pickup）→DespatchAddress（提货地址）→AddressLine.Line（承载省市区县串）。</v>
      </c>
      <c r="J447" s="19"/>
      <c r="K447" s="19" t="s">
        <v>1997</v>
      </c>
      <c r="L447" s="20"/>
      <c r="M447" s="25" t="s">
        <v>927</v>
      </c>
      <c r="N447" s="20" t="s">
        <v>3013</v>
      </c>
      <c r="O447" s="20" t="s">
        <v>165</v>
      </c>
      <c r="P447" s="20"/>
      <c r="Q447" s="26" t="str">
        <f>IF(S447="","",LEN(S447)-LEN(SUBSTITUTE(S447,"/",""))+IF(ISNUMBER(SEARCH("@",S447)),0,1))</f>
        <v>8</v>
      </c>
      <c r="R447" s="26"/>
      <c r="S447" s="19" t="s">
        <v>2196</v>
      </c>
      <c r="T447" s="19" t="s">
        <v>2197</v>
      </c>
      <c r="U447" s="20"/>
      <c r="V447" s="20"/>
      <c r="W447" s="19" t="s">
        <v>327</v>
      </c>
      <c r="X447" s="46"/>
      <c r="Y447" s="20"/>
      <c r="Z447" s="20"/>
      <c r="AA447" s="20" t="s">
        <v>68</v>
      </c>
      <c r="AB447" s="20" t="str">
        <f>IF(ISBLANK(S447),"是","否")</f>
        <v>否</v>
      </c>
      <c r="AC447" s="20" t="s">
        <v>76</v>
      </c>
      <c r="AD447" s="24">
        <v>154</v>
      </c>
      <c r="AE447" s="25" t="s">
        <v>2194</v>
      </c>
      <c r="AF447" s="37">
        <v>208</v>
      </c>
      <c r="AG447" s="35" t="s">
        <v>2194</v>
      </c>
      <c r="AH447" s="20"/>
      <c r="AI447" s="37"/>
      <c r="AJ447" s="35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</row>
    <row r="448" ht="60.45112781954887" customHeight="1" spans="1:57" x14ac:dyDescent="0.25">
      <c r="A448" s="20" t="s">
        <v>1663</v>
      </c>
      <c r="B448" s="19" t="s">
        <v>41</v>
      </c>
      <c r="C448" s="20" t="s">
        <v>57</v>
      </c>
      <c r="D448" s="21" t="s">
        <v>2198</v>
      </c>
      <c r="E448" s="22" t="s">
        <v>2199</v>
      </c>
      <c r="F448" s="21" t="s">
        <v>2007</v>
      </c>
      <c r="G448" s="23" t="s">
        <v>2007</v>
      </c>
      <c r="H448" s="20" t="str">
        <f>SUBSTITUTE(SUBSTITUTE(SUBSTITUTE(S448,"/@","_"),"/cac:","_"),"/cbc:","_")</f>
        <v>Invoice_UUID</v>
      </c>
      <c r="I448" s="20" t="str">
        <f>SUBSTITUTE(SUBSTITUTE(SUBSTITUTE(T448,"/@","_"),"/cac:","_"),"/cbc:","_")</f>
        <v>“系统内唯一流水标识/用于关联子表”更贴近文档实例级唯一标识（UUID），而非票面号码。</v>
      </c>
      <c r="J448" s="19"/>
      <c r="K448" s="19" t="s">
        <v>2008</v>
      </c>
      <c r="L448" s="20"/>
      <c r="M448" s="25" t="s">
        <v>72</v>
      </c>
      <c r="N448" s="20" t="s">
        <v>3013</v>
      </c>
      <c r="O448" s="20" t="s">
        <v>64</v>
      </c>
      <c r="P448" s="20"/>
      <c r="Q448" s="26" t="str">
        <f>IF(S448="","",LEN(S448)-LEN(SUBSTITUTE(S448,"/",""))+IF(ISNUMBER(SEARCH("@",S448)),0,1))</f>
        <v>2</v>
      </c>
      <c r="R448" s="26"/>
      <c r="S448" s="19" t="s">
        <v>65</v>
      </c>
      <c r="T448" s="19" t="s">
        <v>2200</v>
      </c>
      <c r="U448" s="20"/>
      <c r="V448" s="20"/>
      <c r="W448" s="19"/>
      <c r="X448" s="46"/>
      <c r="Y448" s="20"/>
      <c r="Z448" s="20"/>
      <c r="AA448" s="20" t="s">
        <v>68</v>
      </c>
      <c r="AB448" s="20" t="str">
        <f>IF(ISBLANK(S448),"是","否")</f>
        <v>否</v>
      </c>
      <c r="AC448" s="20" t="s">
        <v>76</v>
      </c>
      <c r="AD448" s="24">
        <v>166</v>
      </c>
      <c r="AE448" s="25" t="s">
        <v>2007</v>
      </c>
      <c r="AH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</row>
    <row r="449" ht="81.02255639097744" customHeight="1" spans="1:57" x14ac:dyDescent="0.25">
      <c r="A449" s="20" t="s">
        <v>1663</v>
      </c>
      <c r="B449" s="19" t="s">
        <v>1357</v>
      </c>
      <c r="C449" s="20" t="s">
        <v>57</v>
      </c>
      <c r="D449" s="21" t="s">
        <v>2173</v>
      </c>
      <c r="E449" s="22" t="s">
        <v>2174</v>
      </c>
      <c r="F449" s="21" t="s">
        <v>2201</v>
      </c>
      <c r="G449" s="23" t="s">
        <v>2201</v>
      </c>
      <c r="H449" s="20" t="str">
        <f>SUBSTITUTE(SUBSTITUTE(SUBSTITUTE(S449,"/@","_"),"/cac:","_"),"/cbc:","_")</f>
        <v>Invoice_Delivery_Shipment_GoodsItem_Item_Name</v>
      </c>
      <c r="I449" s="20" t="str">
        <f>SUBSTITUTE(SUBSTITUTE(SUBSTITUTE(T449,"/@","_"),"/cac:","_"),"/cbc:","_")</f>
        <v>运输“货物名称”在 UBL 更贴近“Item 的短名称（Name）”。路径链路：Invoice→Delivery→Shipment→GoodsItem→Item→Name。</v>
      </c>
      <c r="J449" s="19" t="s">
        <v>2203</v>
      </c>
      <c r="K449" s="19" t="s">
        <v>2204</v>
      </c>
      <c r="L449" s="20"/>
      <c r="M449" s="25" t="s">
        <v>927</v>
      </c>
      <c r="N449" s="20" t="s">
        <v>3013</v>
      </c>
      <c r="O449" s="20" t="s">
        <v>64</v>
      </c>
      <c r="P449" s="20"/>
      <c r="Q449" s="26" t="str">
        <f>IF(S449="","",LEN(S449)-LEN(SUBSTITUTE(S449,"/",""))+IF(ISNUMBER(SEARCH("@",S449)),0,1))</f>
        <v>6</v>
      </c>
      <c r="R449" s="26"/>
      <c r="S449" s="19" t="s">
        <v>2205</v>
      </c>
      <c r="T449" s="19" t="s">
        <v>2206</v>
      </c>
      <c r="U449" s="20"/>
      <c r="V449" s="20"/>
      <c r="W449" s="19"/>
      <c r="X449" s="46"/>
      <c r="Y449" s="20"/>
      <c r="Z449" s="20"/>
      <c r="AA449" s="20" t="s">
        <v>68</v>
      </c>
      <c r="AB449" s="20" t="str">
        <f>IF(ISBLANK(S449),"是","否")</f>
        <v>否</v>
      </c>
      <c r="AC449" s="20" t="s">
        <v>76</v>
      </c>
      <c r="AD449" s="24">
        <v>155</v>
      </c>
      <c r="AE449" s="25" t="s">
        <v>2201</v>
      </c>
      <c r="AF449" s="24">
        <v>207</v>
      </c>
      <c r="AG449" s="25" t="s">
        <v>2201</v>
      </c>
      <c r="AH449" s="20"/>
      <c r="AI449" s="24"/>
      <c r="AJ449" s="25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</row>
    <row r="450" ht="101.59398496240601" customHeight="1" spans="1:57" x14ac:dyDescent="0.25">
      <c r="A450" s="20" t="s">
        <v>1663</v>
      </c>
      <c r="B450" s="19" t="s">
        <v>2078</v>
      </c>
      <c r="C450" s="20" t="s">
        <v>57</v>
      </c>
      <c r="D450" s="21" t="s">
        <v>2173</v>
      </c>
      <c r="E450" s="22" t="s">
        <v>2174</v>
      </c>
      <c r="F450" s="21" t="s">
        <v>2207</v>
      </c>
      <c r="G450" s="23" t="s">
        <v>2207</v>
      </c>
      <c r="H450" s="20" t="str">
        <f>SUBSTITUTE(SUBSTITUTE(SUBSTITUTE(S450,"/@","_"),"/cac:","_"),"/cbc:","_")</f>
        <v>Invoice_Delivery_Shipment_ShipmentStage_TransportMeans_RoadTransport_LicensePlateID</v>
      </c>
      <c r="I450" s="20" t="str">
        <f>SUBSTITUTE(SUBSTITUTE(SUBSTITUTE(T450,"/@","_"),"/cac:","_"),"/cbc:","_")</f>
        <v>“运输工具牌号”与 RoadTransport/LicensePlateID 语义一致；链路：Invoice→Delivery→Shipment→ShipmentStage→TransportMeans→RoadTransport→LicensePlateID。</v>
      </c>
      <c r="J450" s="19" t="s">
        <v>2209</v>
      </c>
      <c r="K450" s="19" t="s">
        <v>2210</v>
      </c>
      <c r="L450" s="24"/>
      <c r="M450" s="25" t="s">
        <v>1998</v>
      </c>
      <c r="N450" s="20" t="s">
        <v>3013</v>
      </c>
      <c r="O450" s="20" t="s">
        <v>165</v>
      </c>
      <c r="P450" s="20"/>
      <c r="Q450" s="26" t="str">
        <f>IF(S450="","",LEN(S450)-LEN(SUBSTITUTE(S450,"/",""))+IF(ISNUMBER(SEARCH("@",S450)),0,1))</f>
        <v>7</v>
      </c>
      <c r="R450" s="26"/>
      <c r="S450" s="19" t="s">
        <v>2083</v>
      </c>
      <c r="T450" s="19" t="s">
        <v>2211</v>
      </c>
      <c r="U450" s="20"/>
      <c r="V450" s="20"/>
      <c r="W450" s="19"/>
      <c r="X450" s="46"/>
      <c r="Y450" s="20"/>
      <c r="Z450" s="20"/>
      <c r="AA450" s="20" t="s">
        <v>68</v>
      </c>
      <c r="AB450" s="20" t="str">
        <f>IF(ISBLANK(S450),"是","否")</f>
        <v>否</v>
      </c>
      <c r="AC450" s="20" t="s">
        <v>76</v>
      </c>
      <c r="AD450" s="24">
        <v>156</v>
      </c>
      <c r="AE450" s="25" t="s">
        <v>2207</v>
      </c>
      <c r="AF450" s="37">
        <v>205</v>
      </c>
      <c r="AG450" s="35" t="s">
        <v>2207</v>
      </c>
      <c r="AH450" s="20"/>
      <c r="AI450" s="37"/>
      <c r="AJ450" s="35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</row>
    <row r="451" ht="153.02255639097746" customHeight="1" spans="1:57" x14ac:dyDescent="0.25">
      <c r="A451" s="20" t="s">
        <v>1663</v>
      </c>
      <c r="B451" s="27"/>
      <c r="C451" s="20" t="s">
        <v>57</v>
      </c>
      <c r="D451" s="21" t="s">
        <v>2198</v>
      </c>
      <c r="E451" s="22" t="s">
        <v>2199</v>
      </c>
      <c r="F451" s="21" t="s">
        <v>60</v>
      </c>
      <c r="G451" s="23" t="s">
        <v>60</v>
      </c>
      <c r="H451" s="20" t="str">
        <f>SUBSTITUTE(SUBSTITUTE(SUBSTITUTE(S451,"/@","_"),"/cac:","_"),"/cbc:","_")</f>
        <v/>
      </c>
      <c r="I451" s="20" t="str">
        <f>SUBSTITUTE(SUBSTITUTE(SUBSTITUTE(T451,"/@","_"),"/cac:","_"),"/cbc:","_")</f>
        <v>输入为“数电发票机动车信息子表主键ID”（内部落库主键/表记录ID）。UBL Invoice 2.1 Summary Report 中不存在“内部子表主键ID”这类字段；可表达的相关信息更偏“运输工具/车辆要素”（如 RoadTransport/LicensePlateID），但并非“子表主键”。</v>
      </c>
      <c r="J451" s="19"/>
      <c r="K451" s="19"/>
      <c r="L451" s="20"/>
      <c r="M451" s="25" t="s">
        <v>63</v>
      </c>
      <c r="N451" s="20" t="s">
        <v>1280</v>
      </c>
      <c r="O451" s="20"/>
      <c r="P451" s="20"/>
      <c r="Q451" s="26" t="str">
        <f>IF(S451="","",LEN(S451)-LEN(SUBSTITUTE(S451,"/",""))+IF(ISNUMBER(SEARCH("@",S451)),0,1))</f>
        <v/>
      </c>
      <c r="R451" s="26"/>
      <c r="S451" s="19"/>
      <c r="T451" s="19" t="s">
        <v>2213</v>
      </c>
      <c r="U451" s="20"/>
      <c r="V451" s="20"/>
      <c r="W451" s="19"/>
      <c r="X451" s="46" t="s">
        <v>76</v>
      </c>
      <c r="Y451" s="20"/>
      <c r="Z451" s="20"/>
      <c r="AA451" s="20"/>
      <c r="AB451" s="20" t="str">
        <f>IF(ISBLANK(S451),"是","否")</f>
        <v>是</v>
      </c>
      <c r="AC451" s="20" t="s">
        <v>76</v>
      </c>
      <c r="AD451" s="24">
        <v>157</v>
      </c>
      <c r="AE451" s="25" t="s">
        <v>60</v>
      </c>
      <c r="AH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</row>
    <row r="452" ht="91.30827067669172" customHeight="1" spans="1:57" x14ac:dyDescent="0.25">
      <c r="A452" s="20" t="s">
        <v>1663</v>
      </c>
      <c r="B452" s="19" t="s">
        <v>2214</v>
      </c>
      <c r="C452" s="20" t="s">
        <v>57</v>
      </c>
      <c r="D452" s="21" t="s">
        <v>2198</v>
      </c>
      <c r="E452" s="22" t="s">
        <v>2199</v>
      </c>
      <c r="F452" s="21" t="s">
        <v>2215</v>
      </c>
      <c r="G452" s="23" t="s">
        <v>2215</v>
      </c>
      <c r="H452" s="20" t="str">
        <f>SUBSTITUTE(SUBSTITUTE(SUBSTITUTE(S452,"/@","_"),"/cac:","_"),"/cbc:","_")</f>
        <v>Invoice_InvoiceLine_Item_Certificate_ID</v>
      </c>
      <c r="I452" s="20" t="str">
        <f>SUBSTITUTE(SUBSTITUTE(SUBSTITUTE(T452,"/@","_"),"/cac:","_"),"/cbc:","_")</f>
        <v>Item 下支持 Certificate（证书）且证书有 ID；可用证书编号表达“商检单号”，但需配合 CertificateTypeCode/Type 区分“商检”。</v>
      </c>
      <c r="J452" s="19"/>
      <c r="K452" s="19" t="s">
        <v>2217</v>
      </c>
      <c r="L452" s="20"/>
      <c r="M452" s="25" t="s">
        <v>909</v>
      </c>
      <c r="N452" s="20" t="s">
        <v>3013</v>
      </c>
      <c r="O452" s="20" t="s">
        <v>165</v>
      </c>
      <c r="P452" s="20"/>
      <c r="Q452" s="26" t="str">
        <f>IF(S452="","",LEN(S452)-LEN(SUBSTITUTE(S452,"/",""))+IF(ISNUMBER(SEARCH("@",S452)),0,1))</f>
        <v>5</v>
      </c>
      <c r="R452" s="26"/>
      <c r="S452" s="19" t="s">
        <v>2218</v>
      </c>
      <c r="T452" s="19" t="s">
        <v>2219</v>
      </c>
      <c r="U452" s="20"/>
      <c r="V452" s="20"/>
      <c r="W452" s="19"/>
      <c r="X452" s="46"/>
      <c r="Y452" s="20"/>
      <c r="Z452" s="20"/>
      <c r="AA452" s="20" t="s">
        <v>68</v>
      </c>
      <c r="AB452" s="20" t="str">
        <f>IF(ISBLANK(S452),"是","否")</f>
        <v>否</v>
      </c>
      <c r="AC452" s="20" t="s">
        <v>76</v>
      </c>
      <c r="AD452" s="24">
        <v>158</v>
      </c>
      <c r="AE452" s="25" t="s">
        <v>2215</v>
      </c>
      <c r="AH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</row>
    <row r="453" ht="60.45112781954887" customHeight="1" spans="1:57" x14ac:dyDescent="0.25">
      <c r="A453" s="20" t="s">
        <v>1663</v>
      </c>
      <c r="B453" s="19" t="s">
        <v>1559</v>
      </c>
      <c r="C453" s="20" t="s">
        <v>57</v>
      </c>
      <c r="D453" s="21" t="s">
        <v>2198</v>
      </c>
      <c r="E453" s="22" t="s">
        <v>2199</v>
      </c>
      <c r="F453" s="21" t="s">
        <v>2220</v>
      </c>
      <c r="G453" s="23" t="s">
        <v>2220</v>
      </c>
      <c r="H453" s="20" t="str">
        <f>SUBSTITUTE(SUBSTITUTE(SUBSTITUTE(S453,"/@","_"),"/cac:","_"),"/cbc:","_")</f>
        <v>Invoice_InvoiceLine_Item_ItemInstance_SerialID</v>
      </c>
      <c r="I453" s="20" t="str">
        <f>SUBSTITUTE(SUBSTITUTE(SUBSTITUTE(T453,"/@","_"),"/cac:","_"),"/cbc:","_")</f>
        <v>Item Instance 的 SerialID 明确为“实例序列号”，且示例直接给出“chassis number of a car”。</v>
      </c>
      <c r="J453" s="19"/>
      <c r="K453" s="19" t="s">
        <v>2222</v>
      </c>
      <c r="L453" s="20"/>
      <c r="M453" s="25" t="s">
        <v>2223</v>
      </c>
      <c r="N453" s="20" t="s">
        <v>3013</v>
      </c>
      <c r="O453" s="20" t="s">
        <v>64</v>
      </c>
      <c r="P453" s="20"/>
      <c r="Q453" s="26" t="str">
        <f>IF(S453="","",LEN(S453)-LEN(SUBSTITUTE(S453,"/",""))+IF(ISNUMBER(SEARCH("@",S453)),0,1))</f>
        <v>5</v>
      </c>
      <c r="R453" s="26"/>
      <c r="S453" s="19" t="s">
        <v>1587</v>
      </c>
      <c r="T453" s="19" t="s">
        <v>2224</v>
      </c>
      <c r="U453" s="20"/>
      <c r="V453" s="20"/>
      <c r="W453" s="19" t="s">
        <v>2225</v>
      </c>
      <c r="X453" s="46"/>
      <c r="Y453" s="20"/>
      <c r="Z453" s="20"/>
      <c r="AA453" s="20" t="s">
        <v>68</v>
      </c>
      <c r="AB453" s="20" t="str">
        <f>IF(ISBLANK(S453),"是","否")</f>
        <v>否</v>
      </c>
      <c r="AC453" s="20" t="s">
        <v>76</v>
      </c>
      <c r="AD453" s="24">
        <v>159</v>
      </c>
      <c r="AE453" s="25" t="s">
        <v>2220</v>
      </c>
      <c r="AH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</row>
    <row r="454" ht="81.02255639097744" customHeight="1" spans="1:57" x14ac:dyDescent="0.25">
      <c r="A454" s="20" t="s">
        <v>1663</v>
      </c>
      <c r="B454" s="19" t="s">
        <v>2214</v>
      </c>
      <c r="C454" s="20" t="s">
        <v>57</v>
      </c>
      <c r="D454" s="21" t="s">
        <v>2198</v>
      </c>
      <c r="E454" s="22" t="s">
        <v>2199</v>
      </c>
      <c r="F454" s="21" t="s">
        <v>2226</v>
      </c>
      <c r="G454" s="23" t="s">
        <v>2226</v>
      </c>
      <c r="H454" s="20" t="str">
        <f>SUBSTITUTE(SUBSTITUTE(SUBSTITUTE(S454,"/@","_"),"/cac:","_"),"/cbc:","_")</f>
        <v>Invoice_InvoiceLine_Item_Certificate_ID</v>
      </c>
      <c r="I454" s="20" t="str">
        <f>SUBSTITUTE(SUBSTITUTE(SUBSTITUTE(T454,"/@","_"),"/cac:","_"),"/cbc:","_")</f>
        <v>“出厂合格证号”可按“证书编号”落在 Certificate/ID；需配合 CertificateTypeCode/Type 指明证书类型。</v>
      </c>
      <c r="J454" s="19"/>
      <c r="K454" s="19" t="s">
        <v>2217</v>
      </c>
      <c r="L454" s="24"/>
      <c r="M454" s="25" t="s">
        <v>909</v>
      </c>
      <c r="N454" s="20" t="s">
        <v>3013</v>
      </c>
      <c r="O454" s="20" t="s">
        <v>165</v>
      </c>
      <c r="P454" s="20"/>
      <c r="Q454" s="26" t="str">
        <f>IF(S454="","",LEN(S454)-LEN(SUBSTITUTE(S454,"/",""))+IF(ISNUMBER(SEARCH("@",S454)),0,1))</f>
        <v>5</v>
      </c>
      <c r="R454" s="26"/>
      <c r="S454" s="19" t="s">
        <v>2218</v>
      </c>
      <c r="T454" s="19" t="s">
        <v>2228</v>
      </c>
      <c r="U454" s="20"/>
      <c r="V454" s="20"/>
      <c r="W454" s="19"/>
      <c r="X454" s="46"/>
      <c r="Y454" s="20"/>
      <c r="Z454" s="20"/>
      <c r="AA454" s="20" t="s">
        <v>68</v>
      </c>
      <c r="AB454" s="20" t="str">
        <f>IF(ISBLANK(S454),"是","否")</f>
        <v>否</v>
      </c>
      <c r="AC454" s="20" t="s">
        <v>76</v>
      </c>
      <c r="AD454" s="24">
        <v>160</v>
      </c>
      <c r="AE454" s="25" t="s">
        <v>2226</v>
      </c>
      <c r="AH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</row>
    <row r="455" ht="60.45112781954887" customHeight="1" spans="1:57" x14ac:dyDescent="0.25">
      <c r="A455" s="20" t="s">
        <v>1663</v>
      </c>
      <c r="B455" s="19" t="s">
        <v>1559</v>
      </c>
      <c r="C455" s="20" t="s">
        <v>57</v>
      </c>
      <c r="D455" s="21" t="s">
        <v>2198</v>
      </c>
      <c r="E455" s="22" t="s">
        <v>2199</v>
      </c>
      <c r="F455" s="21" t="s">
        <v>2229</v>
      </c>
      <c r="G455" s="23" t="s">
        <v>2229</v>
      </c>
      <c r="H455" s="20" t="str">
        <f>SUBSTITUTE(SUBSTITUTE(SUBSTITUTE(S455,"/@","_"),"/cac:","_"),"/cbc:","_")</f>
        <v>Invoice_InvoiceLine_Item_ItemInstance_SerialID</v>
      </c>
      <c r="I455" s="20" t="str">
        <f>SUBSTITUTE(SUBSTITUTE(SUBSTITUTE(T455,"/@","_"),"/cac:","_"),"/cbc:","_")</f>
        <v>备选：若将发动机号按“实例序列号”管理，可复用 SerialID；但示例更偏底盘号，口径存在风险。</v>
      </c>
      <c r="J455" s="19"/>
      <c r="K455" s="19" t="s">
        <v>2222</v>
      </c>
      <c r="L455" s="20"/>
      <c r="M455" s="25" t="s">
        <v>2223</v>
      </c>
      <c r="N455" s="20" t="s">
        <v>3013</v>
      </c>
      <c r="O455" s="20" t="s">
        <v>64</v>
      </c>
      <c r="P455" s="20"/>
      <c r="Q455" s="26" t="str">
        <f>IF(S455="","",LEN(S455)-LEN(SUBSTITUTE(S455,"/",""))+IF(ISNUMBER(SEARCH("@",S455)),0,1))</f>
        <v>5</v>
      </c>
      <c r="R455" s="26"/>
      <c r="S455" s="19" t="s">
        <v>1587</v>
      </c>
      <c r="T455" s="19" t="s">
        <v>2231</v>
      </c>
      <c r="U455" s="20"/>
      <c r="V455" s="20"/>
      <c r="W455" s="19" t="s">
        <v>2225</v>
      </c>
      <c r="X455" s="46"/>
      <c r="Y455" s="20"/>
      <c r="Z455" s="20"/>
      <c r="AA455" s="20" t="s">
        <v>68</v>
      </c>
      <c r="AB455" s="20" t="str">
        <f>IF(ISBLANK(S455),"是","否")</f>
        <v>否</v>
      </c>
      <c r="AC455" s="20" t="s">
        <v>76</v>
      </c>
      <c r="AD455" s="24">
        <v>161</v>
      </c>
      <c r="AE455" s="25" t="s">
        <v>2229</v>
      </c>
      <c r="AH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</row>
    <row r="456" ht="101.59398496240601" customHeight="1" spans="1:57" x14ac:dyDescent="0.25">
      <c r="A456" s="20" t="s">
        <v>1663</v>
      </c>
      <c r="B456" s="19" t="s">
        <v>139</v>
      </c>
      <c r="C456" s="20" t="s">
        <v>57</v>
      </c>
      <c r="D456" s="21" t="s">
        <v>2198</v>
      </c>
      <c r="E456" s="22" t="s">
        <v>2199</v>
      </c>
      <c r="F456" s="21" t="s">
        <v>2232</v>
      </c>
      <c r="G456" s="23" t="s">
        <v>2232</v>
      </c>
      <c r="H456" s="20" t="str">
        <f>SUBSTITUTE(SUBSTITUTE(SUBSTITUTE(S456,"/@","_"),"/cac:","_"),"/cbc:","_")</f>
        <v>Invoice_AdditionalDocumentReference_ID</v>
      </c>
      <c r="I456" s="20" t="str">
        <f>SUBSTITUTE(SUBSTITUTE(SUBSTITUTE(T456,"/@","_"),"/cac:","_"),"/cbc:","_")</f>
        <v>进口证明书号更像与发票关联的外部单据编号；可用 AdditionalDocumentReference → Document Reference/ID 表达，并配合文档类型字段区分“进口证明”。</v>
      </c>
      <c r="J456" s="19"/>
      <c r="K456" s="19" t="s">
        <v>1993</v>
      </c>
      <c r="L456" s="20"/>
      <c r="M456" s="25" t="s">
        <v>909</v>
      </c>
      <c r="N456" s="20" t="s">
        <v>3013</v>
      </c>
      <c r="O456" s="20" t="s">
        <v>165</v>
      </c>
      <c r="P456" s="20"/>
      <c r="Q456" s="26" t="str">
        <f>IF(S456="","",LEN(S456)-LEN(SUBSTITUTE(S456,"/",""))+IF(ISNUMBER(SEARCH("@",S456)),0,1))</f>
        <v>3</v>
      </c>
      <c r="R456" s="26"/>
      <c r="S456" s="19" t="s">
        <v>173</v>
      </c>
      <c r="T456" s="19" t="s">
        <v>2234</v>
      </c>
      <c r="U456" s="20"/>
      <c r="V456" s="20"/>
      <c r="W456" s="19" t="s">
        <v>138</v>
      </c>
      <c r="X456" s="46"/>
      <c r="Y456" s="20"/>
      <c r="Z456" s="20"/>
      <c r="AA456" s="20" t="s">
        <v>68</v>
      </c>
      <c r="AB456" s="20" t="str">
        <f>IF(ISBLANK(S456),"是","否")</f>
        <v>否</v>
      </c>
      <c r="AC456" s="20" t="s">
        <v>76</v>
      </c>
      <c r="AD456" s="24">
        <v>162</v>
      </c>
      <c r="AE456" s="25" t="s">
        <v>2232</v>
      </c>
      <c r="AH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</row>
    <row r="457" ht="111.8796992481203" customHeight="1" spans="1:57" x14ac:dyDescent="0.25">
      <c r="A457" s="20" t="s">
        <v>1663</v>
      </c>
      <c r="B457" s="19" t="s">
        <v>366</v>
      </c>
      <c r="C457" s="20" t="s">
        <v>57</v>
      </c>
      <c r="D457" s="21" t="s">
        <v>2198</v>
      </c>
      <c r="E457" s="22" t="s">
        <v>2199</v>
      </c>
      <c r="F457" s="21" t="s">
        <v>2235</v>
      </c>
      <c r="G457" s="23" t="s">
        <v>2235</v>
      </c>
      <c r="H457" s="20" t="str">
        <f>SUBSTITUTE(SUBSTITUTE(SUBSTITUTE(S457,"/@","_"),"/cac:","_"),"/cbc:","_")</f>
        <v>Invoice_InvoiceLine_Item_ManufacturerParty_PartyLegalEntity_RegistrationName</v>
      </c>
      <c r="I457" s="20" t="str">
        <f>SUBSTITUTE(SUBSTITUTE(SUBSTITUTE(T457,"/@","_"),"/cac:","_"),"/cbc:","_")</f>
        <v>“生产企业名称”更像“制造方(ManufacturerParty)的企业法定注册名称(RegistrationName)”；ManufacturerParty 在 Item 下，RegistrationName 在 Party Legal Entity 下。</v>
      </c>
      <c r="J457" s="19"/>
      <c r="K457" s="19" t="s">
        <v>2237</v>
      </c>
      <c r="L457" s="20"/>
      <c r="M457" s="25" t="s">
        <v>927</v>
      </c>
      <c r="N457" s="20" t="s">
        <v>3013</v>
      </c>
      <c r="O457" s="20" t="s">
        <v>64</v>
      </c>
      <c r="P457" s="20"/>
      <c r="Q457" s="26" t="str">
        <f>IF(S457="","",LEN(S457)-LEN(SUBSTITUTE(S457,"/",""))+IF(ISNUMBER(SEARCH("@",S457)),0,1))</f>
        <v>6</v>
      </c>
      <c r="R457" s="26"/>
      <c r="S457" s="19" t="s">
        <v>2238</v>
      </c>
      <c r="T457" s="19" t="s">
        <v>2239</v>
      </c>
      <c r="U457" s="20"/>
      <c r="V457" s="20"/>
      <c r="W457" s="19" t="s">
        <v>371</v>
      </c>
      <c r="X457" s="46"/>
      <c r="Y457" s="20"/>
      <c r="Z457" s="20"/>
      <c r="AA457" s="20" t="s">
        <v>68</v>
      </c>
      <c r="AB457" s="20" t="str">
        <f>IF(ISBLANK(S457),"是","否")</f>
        <v>否</v>
      </c>
      <c r="AC457" s="20" t="s">
        <v>76</v>
      </c>
      <c r="AD457" s="24">
        <v>163</v>
      </c>
      <c r="AE457" s="25" t="s">
        <v>2235</v>
      </c>
      <c r="AH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</row>
    <row r="458" ht="50.16541353383458" customHeight="1" spans="1:57" x14ac:dyDescent="0.25">
      <c r="A458" s="20" t="s">
        <v>1663</v>
      </c>
      <c r="B458" s="19" t="s">
        <v>1357</v>
      </c>
      <c r="C458" s="20" t="s">
        <v>57</v>
      </c>
      <c r="D458" s="21" t="s">
        <v>2198</v>
      </c>
      <c r="E458" s="22" t="s">
        <v>2199</v>
      </c>
      <c r="F458" s="21" t="s">
        <v>2240</v>
      </c>
      <c r="G458" s="23" t="s">
        <v>2240</v>
      </c>
      <c r="H458" s="20" t="str">
        <f>SUBSTITUTE(SUBSTITUTE(SUBSTITUTE(S458,"/@","_"),"/cac:","_"),"/cbc:","_")</f>
        <v>Invoice_InvoiceLine_Item_ModelName</v>
      </c>
      <c r="I458" s="20" t="str">
        <f>SUBSTITUTE(SUBSTITUTE(SUBSTITUTE(T458,"/@","_"),"/cac:","_"),"/cbc:","_")</f>
        <v>“厂牌型号”包含“型号”成分；UBL 将型号拆为 Item/ModelName。</v>
      </c>
      <c r="J458" s="19"/>
      <c r="K458" s="19" t="s">
        <v>2242</v>
      </c>
      <c r="L458" s="24"/>
      <c r="M458" s="25" t="s">
        <v>2223</v>
      </c>
      <c r="N458" s="20" t="s">
        <v>3013</v>
      </c>
      <c r="O458" s="20" t="s">
        <v>49</v>
      </c>
      <c r="P458" s="20"/>
      <c r="Q458" s="26" t="str">
        <f>IF(S458="","",LEN(S458)-LEN(SUBSTITUTE(S458,"/",""))+IF(ISNUMBER(SEARCH("@",S458)),0,1))</f>
        <v>4</v>
      </c>
      <c r="R458" s="26"/>
      <c r="S458" s="19" t="s">
        <v>2243</v>
      </c>
      <c r="T458" s="19" t="s">
        <v>2244</v>
      </c>
      <c r="U458" s="20"/>
      <c r="V458" s="20"/>
      <c r="W458" s="19" t="s">
        <v>2245</v>
      </c>
      <c r="X458" s="46"/>
      <c r="Y458" s="20"/>
      <c r="Z458" s="20"/>
      <c r="AA458" s="20" t="s">
        <v>68</v>
      </c>
      <c r="AB458" s="20" t="str">
        <f>IF(ISBLANK(S458),"是","否")</f>
        <v>否</v>
      </c>
      <c r="AC458" s="20" t="s">
        <v>76</v>
      </c>
      <c r="AD458" s="24">
        <v>164</v>
      </c>
      <c r="AE458" s="25" t="s">
        <v>2240</v>
      </c>
      <c r="AH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</row>
    <row r="459" ht="60.45112781954887" customHeight="1" spans="1:57" x14ac:dyDescent="0.25">
      <c r="A459" s="20" t="s">
        <v>1663</v>
      </c>
      <c r="B459" s="19" t="s">
        <v>328</v>
      </c>
      <c r="C459" s="20" t="s">
        <v>57</v>
      </c>
      <c r="D459" s="21" t="s">
        <v>2198</v>
      </c>
      <c r="E459" s="22" t="s">
        <v>2199</v>
      </c>
      <c r="F459" s="21" t="s">
        <v>2246</v>
      </c>
      <c r="G459" s="23" t="s">
        <v>2246</v>
      </c>
      <c r="H459" s="20" t="str">
        <f>SUBSTITUTE(SUBSTITUTE(SUBSTITUTE(S459,"/@","_"),"/cac:","_"),"/cbc:","_")</f>
        <v>Invoice_InvoiceLine_Item_OriginCountry</v>
      </c>
      <c r="I459" s="20" t="str">
        <f>SUBSTITUTE(SUBSTITUTE(SUBSTITUTE(T459,"/@","_"),"/cac:","_"),"/cbc:","_")</f>
        <v>“产地”若按“国家口径”落位，可直接映射为 Item/OriginCountry（国家对象）。</v>
      </c>
      <c r="J459" s="19"/>
      <c r="K459" s="19" t="s">
        <v>2248</v>
      </c>
      <c r="L459" s="20"/>
      <c r="M459" s="25" t="s">
        <v>927</v>
      </c>
      <c r="N459" s="20" t="s">
        <v>3013</v>
      </c>
      <c r="O459" s="20" t="s">
        <v>64</v>
      </c>
      <c r="P459" s="20"/>
      <c r="Q459" s="26" t="str">
        <f>IF(S459="","",LEN(S459)-LEN(SUBSTITUTE(S459,"/",""))+IF(ISNUMBER(SEARCH("@",S459)),0,1))</f>
        <v>4</v>
      </c>
      <c r="R459" s="26"/>
      <c r="S459" s="19" t="s">
        <v>1459</v>
      </c>
      <c r="T459" s="19" t="s">
        <v>2249</v>
      </c>
      <c r="U459" s="20"/>
      <c r="V459" s="20"/>
      <c r="W459" s="19"/>
      <c r="X459" s="46"/>
      <c r="Y459" s="20"/>
      <c r="Z459" s="20"/>
      <c r="AA459" s="20" t="s">
        <v>222</v>
      </c>
      <c r="AB459" s="20" t="str">
        <f>IF(ISBLANK(S459),"是","否")</f>
        <v>否</v>
      </c>
      <c r="AC459" s="20" t="s">
        <v>76</v>
      </c>
      <c r="AD459" s="24">
        <v>165</v>
      </c>
      <c r="AE459" s="25" t="s">
        <v>2246</v>
      </c>
      <c r="AH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</row>
    <row r="460" ht="70.73684210526315" customHeight="1" spans="1:57" x14ac:dyDescent="0.25">
      <c r="A460" s="20" t="s">
        <v>1663</v>
      </c>
      <c r="B460" s="19" t="s">
        <v>41</v>
      </c>
      <c r="C460" s="20" t="s">
        <v>57</v>
      </c>
      <c r="D460" s="21" t="s">
        <v>2198</v>
      </c>
      <c r="E460" s="22" t="s">
        <v>2199</v>
      </c>
      <c r="F460" s="21" t="s">
        <v>2007</v>
      </c>
      <c r="G460" s="23" t="s">
        <v>2007</v>
      </c>
      <c r="H460" s="20" t="str">
        <f>SUBSTITUTE(SUBSTITUTE(SUBSTITUTE(S460,"/@","_"),"/cac:","_"),"/cbc:","_")</f>
        <v>Invoice_UUID</v>
      </c>
      <c r="I460" s="20" t="str">
        <f>SUBSTITUTE(SUBSTITUTE(SUBSTITUTE(T460,"/@","_"),"/cac:","_"),"/cbc:","_")</f>
        <v>“发票流水号”若用于系统内唯一关联一张发票主记录，UBL 最贴近的是 Invoice/UUID（实例唯一标识）。</v>
      </c>
      <c r="J460" s="19"/>
      <c r="K460" s="19" t="s">
        <v>2008</v>
      </c>
      <c r="L460" s="20"/>
      <c r="M460" s="25" t="s">
        <v>72</v>
      </c>
      <c r="N460" s="20" t="s">
        <v>3013</v>
      </c>
      <c r="O460" s="20" t="s">
        <v>64</v>
      </c>
      <c r="P460" s="20"/>
      <c r="Q460" s="26" t="str">
        <f>IF(S460="","",LEN(S460)-LEN(SUBSTITUTE(S460,"/",""))+IF(ISNUMBER(SEARCH("@",S460)),0,1))</f>
        <v>2</v>
      </c>
      <c r="R460" s="26"/>
      <c r="S460" s="19" t="s">
        <v>65</v>
      </c>
      <c r="T460" s="19" t="s">
        <v>2250</v>
      </c>
      <c r="U460" s="20"/>
      <c r="V460" s="20"/>
      <c r="W460" s="19"/>
      <c r="X460" s="46"/>
      <c r="Y460" s="20"/>
      <c r="Z460" s="20"/>
      <c r="AA460" s="20" t="s">
        <v>68</v>
      </c>
      <c r="AB460" s="20" t="str">
        <f>IF(ISBLANK(S460),"是","否")</f>
        <v>否</v>
      </c>
      <c r="AC460" s="20" t="s">
        <v>76</v>
      </c>
      <c r="AD460" s="24">
        <v>123</v>
      </c>
      <c r="AE460" s="25" t="s">
        <v>2007</v>
      </c>
      <c r="AH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</row>
    <row r="461" ht="111.8796992481203" customHeight="1" spans="1:57" x14ac:dyDescent="0.25">
      <c r="A461" s="20" t="s">
        <v>1663</v>
      </c>
      <c r="B461" s="27"/>
      <c r="C461" s="20" t="s">
        <v>57</v>
      </c>
      <c r="D461" s="21" t="s">
        <v>2198</v>
      </c>
      <c r="E461" s="22" t="s">
        <v>2199</v>
      </c>
      <c r="F461" s="21" t="s">
        <v>2251</v>
      </c>
      <c r="G461" s="23" t="s">
        <v>2251</v>
      </c>
      <c r="H461" s="20" t="str">
        <f>SUBSTITUTE(SUBSTITUTE(SUBSTITUTE(S461,"/@","_"),"/cac:","_"),"/cbc:","_")</f>
        <v/>
      </c>
      <c r="I461" s="20" t="str">
        <f>SUBSTITUTE(SUBSTITUTE(SUBSTITUTE(T461,"/@","_"),"/cac:","_"),"/cbc:","_")</f>
        <v>【未匹配】“完税凭证号码（车辆相关税费完税凭证编号）”在已检索链路未发现语义等同字段；若作为外部凭证，更像“文档引用类”建模，但本次未在已展开片段中找到可直接对应的行来抽列。</v>
      </c>
      <c r="J461" s="19"/>
      <c r="K461" s="19"/>
      <c r="L461" s="20"/>
      <c r="M461" s="25" t="s">
        <v>909</v>
      </c>
      <c r="N461" s="20" t="s">
        <v>3013</v>
      </c>
      <c r="O461" s="20"/>
      <c r="P461" s="20"/>
      <c r="Q461" s="26" t="str">
        <f>IF(S461="","",LEN(S461)-LEN(SUBSTITUTE(S461,"/",""))+IF(ISNUMBER(SEARCH("@",S461)),0,1))</f>
        <v/>
      </c>
      <c r="R461" s="26"/>
      <c r="S461" s="19"/>
      <c r="T461" s="19" t="s">
        <v>2253</v>
      </c>
      <c r="U461" s="20"/>
      <c r="V461" s="20"/>
      <c r="W461" s="19"/>
      <c r="X461" s="46"/>
      <c r="Y461" s="20"/>
      <c r="Z461" s="20"/>
      <c r="AA461" s="20"/>
      <c r="AB461" s="20" t="str">
        <f>IF(ISBLANK(S461),"是","否")</f>
        <v>是</v>
      </c>
      <c r="AC461" s="20" t="s">
        <v>76</v>
      </c>
      <c r="AD461" s="24">
        <v>167</v>
      </c>
      <c r="AE461" s="25" t="s">
        <v>2251</v>
      </c>
      <c r="AH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</row>
    <row r="462" ht="81.02255639097744" customHeight="1" spans="1:57" x14ac:dyDescent="0.25">
      <c r="A462" s="20" t="s">
        <v>1663</v>
      </c>
      <c r="B462" s="19" t="s">
        <v>2186</v>
      </c>
      <c r="C462" s="20" t="s">
        <v>57</v>
      </c>
      <c r="D462" s="21" t="s">
        <v>2198</v>
      </c>
      <c r="E462" s="22" t="s">
        <v>2199</v>
      </c>
      <c r="F462" s="21" t="s">
        <v>2254</v>
      </c>
      <c r="G462" s="23" t="s">
        <v>2254</v>
      </c>
      <c r="H462" s="20" t="str">
        <f>SUBSTITUTE(SUBSTITUTE(SUBSTITUTE(S462,"/@","_"),"/cac:","_"),"/cbc:","_")</f>
        <v>Invoice_Delivery_Shipment_ShipmentStage_PassengerQuantity</v>
      </c>
      <c r="I462" s="20" t="str">
        <f>SUBSTITUTE(SUBSTITUTE(SUBSTITUTE(T462,"/@","_"),"/cac:","_"),"/cbc:","_")</f>
        <v>含义与“限乘人数”最接近（乘客数量）；但它描述的是“实际/在途乘客数”语义，若你要表达“核定限乘”需注意业务口径差异。</v>
      </c>
      <c r="J462" s="19"/>
      <c r="K462" s="19" t="s">
        <v>2256</v>
      </c>
      <c r="L462" s="20"/>
      <c r="M462" s="25" t="s">
        <v>85</v>
      </c>
      <c r="N462" s="20" t="s">
        <v>3013</v>
      </c>
      <c r="O462" s="20" t="s">
        <v>64</v>
      </c>
      <c r="P462" s="20"/>
      <c r="Q462" s="26" t="str">
        <f>IF(S462="","",LEN(S462)-LEN(SUBSTITUTE(S462,"/",""))+IF(ISNUMBER(SEARCH("@",S462)),0,1))</f>
        <v>5</v>
      </c>
      <c r="R462" s="26"/>
      <c r="S462" s="19" t="s">
        <v>2257</v>
      </c>
      <c r="T462" s="19" t="s">
        <v>2258</v>
      </c>
      <c r="U462" s="20"/>
      <c r="V462" s="20"/>
      <c r="W462" s="19"/>
      <c r="X462" s="46"/>
      <c r="Y462" s="20"/>
      <c r="Z462" s="20"/>
      <c r="AA462" s="20" t="s">
        <v>68</v>
      </c>
      <c r="AB462" s="20" t="str">
        <f>IF(ISBLANK(S462),"是","否")</f>
        <v>否</v>
      </c>
      <c r="AC462" s="20" t="s">
        <v>76</v>
      </c>
      <c r="AD462" s="24">
        <v>168</v>
      </c>
      <c r="AE462" s="25" t="s">
        <v>2254</v>
      </c>
      <c r="AH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</row>
    <row r="463" ht="111.8796992481203" customHeight="1" spans="1:57" x14ac:dyDescent="0.25">
      <c r="A463" s="20" t="s">
        <v>1663</v>
      </c>
      <c r="B463" s="19" t="s">
        <v>2259</v>
      </c>
      <c r="C463" s="20" t="s">
        <v>57</v>
      </c>
      <c r="D463" s="21" t="s">
        <v>2198</v>
      </c>
      <c r="E463" s="22" t="s">
        <v>2199</v>
      </c>
      <c r="F463" s="21" t="s">
        <v>2260</v>
      </c>
      <c r="G463" s="23" t="s">
        <v>2260</v>
      </c>
      <c r="H463" s="20" t="str">
        <f>SUBSTITUTE(SUBSTITUTE(SUBSTITUTE(S463,"/@","_"),"/cac:","_"),"/cbc:","_")</f>
        <v>Invoice_Delivery_Shipment_TransportHandlingUnit_TransportEquipment_TransportEquipmentTypeCode</v>
      </c>
      <c r="I463" s="20" t="str">
        <f>SUBSTITUTE(SUBSTITUTE(SUBSTITUTE(T463,"/@","_"),"/cac:","_"),"/cbc:","_")</f>
        <v>以“运输设备类型码”承载“车辆类型代码”（车/挂车/运输设备分类）最可解释一致；上下文为 Shipment → TransportHandlingUnit → TransportEquipment。</v>
      </c>
      <c r="J463" s="19"/>
      <c r="K463" s="19" t="s">
        <v>2262</v>
      </c>
      <c r="L463" s="20"/>
      <c r="M463" s="25" t="s">
        <v>2263</v>
      </c>
      <c r="N463" s="20" t="s">
        <v>3013</v>
      </c>
      <c r="O463" s="20" t="s">
        <v>64</v>
      </c>
      <c r="P463" s="20"/>
      <c r="Q463" s="26" t="str">
        <f>IF(S463="","",LEN(S463)-LEN(SUBSTITUTE(S463,"/",""))+IF(ISNUMBER(SEARCH("@",S463)),0,1))</f>
        <v>6</v>
      </c>
      <c r="R463" s="26"/>
      <c r="S463" s="19" t="s">
        <v>2264</v>
      </c>
      <c r="T463" s="19" t="s">
        <v>2265</v>
      </c>
      <c r="U463" s="20"/>
      <c r="V463" s="20"/>
      <c r="W463" s="19"/>
      <c r="X463" s="46"/>
      <c r="Y463" s="20"/>
      <c r="Z463" s="20"/>
      <c r="AA463" s="20" t="s">
        <v>68</v>
      </c>
      <c r="AB463" s="20" t="str">
        <f>IF(ISBLANK(S463),"是","否")</f>
        <v>否</v>
      </c>
      <c r="AC463" s="20" t="s">
        <v>76</v>
      </c>
      <c r="AD463" s="24">
        <v>169</v>
      </c>
      <c r="AE463" s="25" t="s">
        <v>2260</v>
      </c>
      <c r="AH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</row>
    <row r="464" ht="81.02255639097744" customHeight="1" spans="1:57" x14ac:dyDescent="0.25">
      <c r="A464" s="20" t="s">
        <v>1663</v>
      </c>
      <c r="B464" s="19" t="s">
        <v>2259</v>
      </c>
      <c r="C464" s="20" t="s">
        <v>57</v>
      </c>
      <c r="D464" s="21" t="s">
        <v>2198</v>
      </c>
      <c r="E464" s="22" t="s">
        <v>2199</v>
      </c>
      <c r="F464" s="21" t="s">
        <v>2266</v>
      </c>
      <c r="G464" s="23" t="s">
        <v>2266</v>
      </c>
      <c r="H464" s="20" t="str">
        <f>SUBSTITUTE(SUBSTITUTE(SUBSTITUTE(S464,"/@","_"),"/cac:","_"),"/cbc:","_")</f>
        <v>Invoice_Delivery_Shipment_TransportHandlingUnit_TransportEquipment_ID</v>
      </c>
      <c r="I464" s="20" t="str">
        <f>SUBSTITUTE(SUBSTITUTE(SUBSTITUTE(T464,"/@","_"),"/cac:","_"),"/cbc:","_")</f>
        <v>“机动车uuid（唯一标识）”可用“运输设备标识”承载（语义为设备/载具标识）；若你更偏“追踪ID”，见下一行候选。</v>
      </c>
      <c r="J464" s="19"/>
      <c r="K464" s="19" t="s">
        <v>2268</v>
      </c>
      <c r="L464" s="20"/>
      <c r="M464" s="25" t="s">
        <v>909</v>
      </c>
      <c r="N464" s="20" t="s">
        <v>3013</v>
      </c>
      <c r="O464" s="20" t="s">
        <v>64</v>
      </c>
      <c r="P464" s="20"/>
      <c r="Q464" s="26" t="str">
        <f>IF(S464="","",LEN(S464)-LEN(SUBSTITUTE(S464,"/",""))+IF(ISNUMBER(SEARCH("@",S464)),0,1))</f>
        <v>6</v>
      </c>
      <c r="R464" s="26"/>
      <c r="S464" s="19" t="s">
        <v>2269</v>
      </c>
      <c r="T464" s="19" t="s">
        <v>2270</v>
      </c>
      <c r="U464" s="20"/>
      <c r="V464" s="20"/>
      <c r="W464" s="19" t="s">
        <v>2271</v>
      </c>
      <c r="X464" s="46"/>
      <c r="Y464" s="20"/>
      <c r="Z464" s="20"/>
      <c r="AA464" s="20" t="s">
        <v>68</v>
      </c>
      <c r="AB464" s="20" t="str">
        <f>IF(ISBLANK(S464),"是","否")</f>
        <v>否</v>
      </c>
      <c r="AC464" s="20" t="s">
        <v>76</v>
      </c>
      <c r="AD464" s="24">
        <v>170</v>
      </c>
      <c r="AE464" s="25" t="s">
        <v>2266</v>
      </c>
      <c r="AH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</row>
    <row r="465" ht="81.02255639097744" customHeight="1" spans="1:57" x14ac:dyDescent="0.25">
      <c r="A465" s="20" t="s">
        <v>1663</v>
      </c>
      <c r="B465" s="19" t="s">
        <v>2259</v>
      </c>
      <c r="C465" s="20" t="s">
        <v>57</v>
      </c>
      <c r="D465" s="21" t="s">
        <v>2198</v>
      </c>
      <c r="E465" s="22" t="s">
        <v>2199</v>
      </c>
      <c r="F465" s="21" t="s">
        <v>2272</v>
      </c>
      <c r="G465" s="23" t="s">
        <v>2272</v>
      </c>
      <c r="H465" s="20" t="str">
        <f>SUBSTITUTE(SUBSTITUTE(SUBSTITUTE(S465,"/@","_"),"/cac:","_"),"/cbc:","_")</f>
        <v>Invoice_Delivery_Shipment_TransportHandlingUnit_TransportEquipment_GrossWeightMeasure</v>
      </c>
      <c r="I465" s="20" t="str">
        <f>SUBSTITUTE(SUBSTITUTE(SUBSTITUTE(T465,"/@","_"),"/cac:","_"),"/cbc:","_")</f>
        <v>“吨位/载重”在 UBL 中没有“核定载重”专用字段；可用“运输设备毛重”近似承载，但语义更像“设备自重/总重”。</v>
      </c>
      <c r="J465" s="19"/>
      <c r="K465" s="19" t="s">
        <v>2274</v>
      </c>
      <c r="L465" s="20"/>
      <c r="M465" s="25" t="s">
        <v>2275</v>
      </c>
      <c r="N465" s="20" t="s">
        <v>3013</v>
      </c>
      <c r="O465" s="20" t="s">
        <v>64</v>
      </c>
      <c r="P465" s="20"/>
      <c r="Q465" s="26" t="str">
        <f>IF(S465="","",LEN(S465)-LEN(SUBSTITUTE(S465,"/",""))+IF(ISNUMBER(SEARCH("@",S465)),0,1))</f>
        <v>6</v>
      </c>
      <c r="R465" s="26"/>
      <c r="S465" s="19" t="s">
        <v>2276</v>
      </c>
      <c r="T465" s="19" t="s">
        <v>2277</v>
      </c>
      <c r="U465" s="20"/>
      <c r="V465" s="20"/>
      <c r="W465" s="19"/>
      <c r="X465" s="46"/>
      <c r="Y465" s="20"/>
      <c r="Z465" s="20"/>
      <c r="AA465" s="20" t="s">
        <v>68</v>
      </c>
      <c r="AB465" s="20" t="str">
        <f>IF(ISBLANK(S465),"是","否")</f>
        <v>否</v>
      </c>
      <c r="AC465" s="20" t="s">
        <v>76</v>
      </c>
      <c r="AD465" s="24">
        <v>171</v>
      </c>
      <c r="AE465" s="25" t="s">
        <v>2272</v>
      </c>
      <c r="AH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</row>
    <row r="466" ht="142.73684210526315" customHeight="1" spans="1:57" x14ac:dyDescent="0.25">
      <c r="A466" s="20" t="s">
        <v>1663</v>
      </c>
      <c r="B466" s="27"/>
      <c r="C466" s="20" t="s">
        <v>57</v>
      </c>
      <c r="D466" s="21" t="s">
        <v>2278</v>
      </c>
      <c r="E466" s="22" t="s">
        <v>2279</v>
      </c>
      <c r="F466" s="21" t="s">
        <v>60</v>
      </c>
      <c r="G466" s="23" t="s">
        <v>60</v>
      </c>
      <c r="H466" s="20" t="str">
        <f>SUBSTITUTE(SUBSTITUTE(SUBSTITUTE(S466,"/@","_"),"/cac:","_"),"/cbc:","_")</f>
        <v/>
      </c>
      <c r="I466" s="20" t="str">
        <f>SUBSTITUTE(SUBSTITUTE(SUBSTITUTE(T466,"/@","_"),"/cac:","_"),"/cbc:","_")</f>
        <v>在 ItemInstance 中可找到用于“追踪该实例”的 ProductTraceID，但其含义是“tracing this item instance”，不等同于系统子表主键；在 ItemProperty 中也有 “ID=An identifier for this property of an item”，仍非“子表记录主键”。</v>
      </c>
      <c r="J466" s="19"/>
      <c r="K466" s="19"/>
      <c r="L466" s="20"/>
      <c r="M466" s="25" t="s">
        <v>63</v>
      </c>
      <c r="N466" s="20" t="s">
        <v>1280</v>
      </c>
      <c r="O466" s="20"/>
      <c r="P466" s="20"/>
      <c r="Q466" s="26" t="str">
        <f>IF(S466="","",LEN(S466)-LEN(SUBSTITUTE(S466,"/",""))+IF(ISNUMBER(SEARCH("@",S466)),0,1))</f>
        <v/>
      </c>
      <c r="R466" s="26"/>
      <c r="S466" s="19"/>
      <c r="T466" s="19" t="s">
        <v>2281</v>
      </c>
      <c r="U466" s="20"/>
      <c r="V466" s="20"/>
      <c r="W466" s="19"/>
      <c r="X466" s="46" t="s">
        <v>76</v>
      </c>
      <c r="Y466" s="20"/>
      <c r="Z466" s="20"/>
      <c r="AA466" s="20"/>
      <c r="AB466" s="20" t="str">
        <f>IF(ISBLANK(S466),"是","否")</f>
        <v>是</v>
      </c>
      <c r="AC466" s="20" t="s">
        <v>76</v>
      </c>
      <c r="AD466" s="24">
        <v>172</v>
      </c>
      <c r="AE466" s="25" t="s">
        <v>60</v>
      </c>
      <c r="AH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</row>
    <row r="467" ht="101.59398496240601" customHeight="1" spans="1:57" x14ac:dyDescent="0.25">
      <c r="A467" s="20" t="s">
        <v>1663</v>
      </c>
      <c r="B467" s="19" t="s">
        <v>1559</v>
      </c>
      <c r="C467" s="20" t="s">
        <v>57</v>
      </c>
      <c r="D467" s="21" t="s">
        <v>2278</v>
      </c>
      <c r="E467" s="22" t="s">
        <v>2279</v>
      </c>
      <c r="F467" s="21" t="s">
        <v>2220</v>
      </c>
      <c r="G467" s="23" t="s">
        <v>2220</v>
      </c>
      <c r="H467" s="20" t="str">
        <f>SUBSTITUTE(SUBSTITUTE(SUBSTITUTE(S467,"/@","_"),"/cac:","_"),"/cbc:","_")</f>
        <v>Invoice_InvoiceLine_Item_ItemInstance_SerialID</v>
      </c>
      <c r="I467" s="20" t="str">
        <f>SUBSTITUTE(SUBSTITUTE(SUBSTITUTE(T467,"/@","_"),"/cac:","_"),"/cbc:","_")</f>
        <v>Rep. Term 直接定义为“item instance 的 serial number”，且示例明确给出 “chassis number of a car”；上下文链路可落位到 Invoice→InvoiceLine→Item→ItemInstance。</v>
      </c>
      <c r="J467" s="19"/>
      <c r="K467" s="19" t="s">
        <v>2222</v>
      </c>
      <c r="L467" s="20" t="s">
        <v>2283</v>
      </c>
      <c r="M467" s="25" t="s">
        <v>2223</v>
      </c>
      <c r="N467" s="20" t="s">
        <v>3013</v>
      </c>
      <c r="O467" s="20" t="s">
        <v>64</v>
      </c>
      <c r="P467" s="20"/>
      <c r="Q467" s="26" t="str">
        <f>IF(S467="","",LEN(S467)-LEN(SUBSTITUTE(S467,"/",""))+IF(ISNUMBER(SEARCH("@",S467)),0,1))</f>
        <v>5</v>
      </c>
      <c r="R467" s="26"/>
      <c r="S467" s="19" t="s">
        <v>1587</v>
      </c>
      <c r="T467" s="19" t="s">
        <v>2284</v>
      </c>
      <c r="U467" s="20"/>
      <c r="V467" s="20"/>
      <c r="W467" s="19" t="s">
        <v>2225</v>
      </c>
      <c r="X467" s="46"/>
      <c r="Y467" s="20"/>
      <c r="Z467" s="20"/>
      <c r="AA467" s="20" t="s">
        <v>68</v>
      </c>
      <c r="AB467" s="20" t="str">
        <f>IF(ISBLANK(S467),"是","否")</f>
        <v>否</v>
      </c>
      <c r="AC467" s="20" t="s">
        <v>76</v>
      </c>
      <c r="AD467" s="24">
        <v>173</v>
      </c>
      <c r="AE467" s="25" t="s">
        <v>2220</v>
      </c>
      <c r="AH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</row>
    <row r="468" ht="111.8796992481203" customHeight="1" spans="1:57" x14ac:dyDescent="0.25">
      <c r="A468" s="20" t="s">
        <v>1663</v>
      </c>
      <c r="B468" s="19" t="s">
        <v>1542</v>
      </c>
      <c r="C468" s="20" t="s">
        <v>57</v>
      </c>
      <c r="D468" s="21" t="s">
        <v>2278</v>
      </c>
      <c r="E468" s="22" t="s">
        <v>2279</v>
      </c>
      <c r="F468" s="21" t="s">
        <v>2229</v>
      </c>
      <c r="G468" s="23" t="s">
        <v>2229</v>
      </c>
      <c r="H468" s="20" t="str">
        <f>SUBSTITUTE(SUBSTITUTE(SUBSTITUTE(S468,"/@","_"),"/cac:","_"),"/cbc:","_")</f>
        <v>Invoice_InvoiceLine_Item_ItemInstance_AdditionalItemProperty_Value</v>
      </c>
      <c r="I468" s="20" t="str">
        <f>SUBSTITUTE(SUBSTITUTE(SUBSTITUTE(T468,"/@","_"),"/cac:","_"),"/cbc:","_")</f>
        <v>UBL 未提供“发动机号码”专用字段；可用 ItemInstance 的 AdditionalItemProperty（ItemProperty）承载“附加属性”，以 Name 表明属性名（如 Engine Number），Value 填发动机号。</v>
      </c>
      <c r="J468" s="19"/>
      <c r="K468" s="19" t="s">
        <v>2164</v>
      </c>
      <c r="L468" s="20" t="s">
        <v>2283</v>
      </c>
      <c r="M468" s="25" t="s">
        <v>2223</v>
      </c>
      <c r="N468" s="20" t="s">
        <v>3013</v>
      </c>
      <c r="O468" s="20" t="s">
        <v>64</v>
      </c>
      <c r="P468" s="20"/>
      <c r="Q468" s="26" t="str">
        <f>IF(S468="","",LEN(S468)-LEN(SUBSTITUTE(S468,"/",""))+IF(ISNUMBER(SEARCH("@",S468)),0,1))</f>
        <v>6</v>
      </c>
      <c r="R468" s="26"/>
      <c r="S468" s="19" t="s">
        <v>2285</v>
      </c>
      <c r="T468" s="19" t="s">
        <v>2286</v>
      </c>
      <c r="U468" s="20"/>
      <c r="V468" s="20"/>
      <c r="W468" s="19" t="s">
        <v>2166</v>
      </c>
      <c r="X468" s="46"/>
      <c r="Y468" s="20"/>
      <c r="Z468" s="20"/>
      <c r="AA468" s="20" t="s">
        <v>68</v>
      </c>
      <c r="AB468" s="20" t="str">
        <f>IF(ISBLANK(S468),"是","否")</f>
        <v>否</v>
      </c>
      <c r="AC468" s="20" t="s">
        <v>76</v>
      </c>
      <c r="AD468" s="24">
        <v>174</v>
      </c>
      <c r="AE468" s="25" t="s">
        <v>2229</v>
      </c>
      <c r="AH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</row>
    <row r="469" ht="111.8796992481203" customHeight="1" spans="1:57" x14ac:dyDescent="0.25">
      <c r="A469" s="20" t="s">
        <v>1663</v>
      </c>
      <c r="B469" s="19" t="s">
        <v>1542</v>
      </c>
      <c r="C469" s="20" t="s">
        <v>57</v>
      </c>
      <c r="D469" s="21" t="s">
        <v>2278</v>
      </c>
      <c r="E469" s="22" t="s">
        <v>2279</v>
      </c>
      <c r="F469" s="21" t="s">
        <v>2287</v>
      </c>
      <c r="G469" s="23" t="s">
        <v>2287</v>
      </c>
      <c r="H469" s="20" t="str">
        <f>SUBSTITUTE(SUBSTITUTE(SUBSTITUTE(S469,"/@","_"),"/cac:","_"),"/cbc:","_")</f>
        <v>Invoice_InvoiceLine_Item_ItemInstance_AdditionalItemProperty_Value</v>
      </c>
      <c r="I469" s="20" t="str">
        <f>SUBSTITUTE(SUBSTITUTE(SUBSTITUTE(T469,"/@","_"),"/cac:","_"),"/cbc:","_")</f>
        <v>UBL 未提供“是否用于办理登记”的专用标识字段；可同样通过 ItemInstance 的 AdditionalItemProperty 表达：Name 写明该标识含义（如 For Registration），Value 存放标识值（文本）。</v>
      </c>
      <c r="J469" s="19"/>
      <c r="K469" s="19" t="s">
        <v>2164</v>
      </c>
      <c r="L469" s="20"/>
      <c r="M469" s="25" t="s">
        <v>204</v>
      </c>
      <c r="N469" s="20" t="s">
        <v>3013</v>
      </c>
      <c r="O469" s="20" t="s">
        <v>64</v>
      </c>
      <c r="P469" s="20"/>
      <c r="Q469" s="26" t="str">
        <f>IF(S469="","",LEN(S469)-LEN(SUBSTITUTE(S469,"/",""))+IF(ISNUMBER(SEARCH("@",S469)),0,1))</f>
        <v>6</v>
      </c>
      <c r="R469" s="26"/>
      <c r="S469" s="19" t="s">
        <v>2285</v>
      </c>
      <c r="T469" s="19" t="s">
        <v>2289</v>
      </c>
      <c r="U469" s="20"/>
      <c r="V469" s="20"/>
      <c r="W469" s="19" t="s">
        <v>2166</v>
      </c>
      <c r="X469" s="46"/>
      <c r="Y469" s="20"/>
      <c r="Z469" s="20"/>
      <c r="AA469" s="20" t="s">
        <v>68</v>
      </c>
      <c r="AB469" s="20" t="str">
        <f>IF(ISBLANK(S469),"是","否")</f>
        <v>否</v>
      </c>
      <c r="AC469" s="20" t="s">
        <v>76</v>
      </c>
      <c r="AD469" s="24">
        <v>175</v>
      </c>
      <c r="AE469" s="25" t="s">
        <v>2287</v>
      </c>
      <c r="AH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</row>
    <row r="470" ht="70.73684210526315" customHeight="1" spans="1:57" x14ac:dyDescent="0.25">
      <c r="A470" s="20" t="s">
        <v>1663</v>
      </c>
      <c r="B470" s="19" t="s">
        <v>41</v>
      </c>
      <c r="C470" s="20" t="s">
        <v>57</v>
      </c>
      <c r="D470" s="21" t="s">
        <v>2278</v>
      </c>
      <c r="E470" s="22" t="s">
        <v>2279</v>
      </c>
      <c r="F470" s="21" t="s">
        <v>2007</v>
      </c>
      <c r="G470" s="23" t="s">
        <v>2007</v>
      </c>
      <c r="H470" s="20" t="str">
        <f>SUBSTITUTE(SUBSTITUTE(SUBSTITUTE(S470,"/@","_"),"/cac:","_"),"/cbc:","_")</f>
        <v>Invoice_UUID</v>
      </c>
      <c r="I470" s="20" t="str">
        <f>SUBSTITUTE(SUBSTITUTE(SUBSTITUTE(T470,"/@","_"),"/cac:","_"),"/cbc:","_")</f>
        <v>你给的定义是“用于把特定信息子表与发票主记录关联”的发票流水标识；文档级唯一标识最贴近 cbc:UUID。</v>
      </c>
      <c r="J470" s="19"/>
      <c r="K470" s="19" t="s">
        <v>2290</v>
      </c>
      <c r="L470" s="25"/>
      <c r="M470" s="25" t="s">
        <v>72</v>
      </c>
      <c r="N470" s="20" t="s">
        <v>3013</v>
      </c>
      <c r="O470" s="20" t="s">
        <v>64</v>
      </c>
      <c r="P470" s="20"/>
      <c r="Q470" s="26" t="str">
        <f>IF(S470="","",LEN(S470)-LEN(SUBSTITUTE(S470,"/",""))+IF(ISNUMBER(SEARCH("@",S470)),0,1))</f>
        <v>2</v>
      </c>
      <c r="R470" s="26"/>
      <c r="S470" s="19" t="s">
        <v>65</v>
      </c>
      <c r="T470" s="19" t="s">
        <v>2291</v>
      </c>
      <c r="U470" s="20"/>
      <c r="V470" s="25"/>
      <c r="W470" s="19"/>
      <c r="X470" s="46"/>
      <c r="Y470" s="20"/>
      <c r="Z470" s="20"/>
      <c r="AA470" s="20" t="s">
        <v>68</v>
      </c>
      <c r="AB470" s="20" t="str">
        <f>IF(ISBLANK(S470),"是","否")</f>
        <v>否</v>
      </c>
      <c r="AC470" s="20" t="s">
        <v>76</v>
      </c>
      <c r="AD470" s="24">
        <v>176</v>
      </c>
      <c r="AE470" s="25" t="s">
        <v>2007</v>
      </c>
      <c r="AH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</row>
    <row r="471" ht="81.02255639097744" customHeight="1" spans="1:57" x14ac:dyDescent="0.25">
      <c r="A471" s="20" t="s">
        <v>1663</v>
      </c>
      <c r="B471" s="27"/>
      <c r="C471" s="20" t="s">
        <v>57</v>
      </c>
      <c r="D471" s="21" t="s">
        <v>2292</v>
      </c>
      <c r="E471" s="22" t="s">
        <v>2293</v>
      </c>
      <c r="F471" s="21" t="s">
        <v>60</v>
      </c>
      <c r="G471" s="23" t="s">
        <v>60</v>
      </c>
      <c r="H471" s="20" t="str">
        <f>SUBSTITUTE(SUBSTITUTE(SUBSTITUTE(S471,"/@","_"),"/cac:","_"),"/cbc:","_")</f>
        <v/>
      </c>
      <c r="I471" s="20" t="str">
        <f>SUBSTITUTE(SUBSTITUTE(SUBSTITUTE(T471,"/@","_"),"/cac:","_"),"/cbc:","_")</f>
        <v>【未匹配】“旅客运输服务特定信息子表主键”属于实现层数据库键；UBL Invoice Summary Report 未提供该类字段。</v>
      </c>
      <c r="J471" s="19"/>
      <c r="K471" s="19"/>
      <c r="L471" s="24"/>
      <c r="M471" s="25" t="s">
        <v>63</v>
      </c>
      <c r="N471" s="20" t="s">
        <v>1280</v>
      </c>
      <c r="O471" s="20"/>
      <c r="P471" s="20"/>
      <c r="Q471" s="26" t="str">
        <f>IF(S471="","",LEN(S471)-LEN(SUBSTITUTE(S471,"/",""))+IF(ISNUMBER(SEARCH("@",S471)),0,1))</f>
        <v/>
      </c>
      <c r="R471" s="26"/>
      <c r="S471" s="19"/>
      <c r="T471" s="19" t="s">
        <v>2295</v>
      </c>
      <c r="U471" s="20"/>
      <c r="V471" s="20"/>
      <c r="W471" s="19"/>
      <c r="X471" s="46" t="s">
        <v>76</v>
      </c>
      <c r="Y471" s="20"/>
      <c r="Z471" s="20"/>
      <c r="AA471" s="20"/>
      <c r="AB471" s="20" t="str">
        <f>IF(ISBLANK(S471),"是","否")</f>
        <v>是</v>
      </c>
      <c r="AC471" s="20" t="s">
        <v>76</v>
      </c>
      <c r="AD471" s="24">
        <v>177</v>
      </c>
      <c r="AE471" s="25" t="s">
        <v>60</v>
      </c>
      <c r="AF471" s="37">
        <v>226</v>
      </c>
      <c r="AG471" s="35" t="s">
        <v>1313</v>
      </c>
      <c r="AH471" s="20"/>
      <c r="AI471" s="37"/>
      <c r="AJ471" s="35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</row>
    <row r="472" ht="122.16541353383457" customHeight="1" spans="1:57" x14ac:dyDescent="0.25">
      <c r="A472" s="20" t="s">
        <v>1663</v>
      </c>
      <c r="B472" s="19" t="s">
        <v>139</v>
      </c>
      <c r="C472" s="20" t="s">
        <v>57</v>
      </c>
      <c r="D472" s="21" t="s">
        <v>2292</v>
      </c>
      <c r="E472" s="22" t="s">
        <v>2293</v>
      </c>
      <c r="F472" s="21" t="s">
        <v>2296</v>
      </c>
      <c r="G472" s="23" t="s">
        <v>2296</v>
      </c>
      <c r="H472" s="20" t="str">
        <f>SUBSTITUTE(SUBSTITUTE(SUBSTITUTE(S472,"/@","_"),"/cac:","_"),"/cbc:","_")</f>
        <v>Invoice_AccountingCustomerParty_Party_Person_IdentityDocumentReference_ID</v>
      </c>
      <c r="I472" s="20" t="str">
        <f>SUBSTITUTE(SUBSTITUTE(SUBSTITUTE(T472,"/@","_"),"/cac:","_"),"/cbc:","_")</f>
        <v>“证件号码”与“身份文件引用（IdentityDocumentReference）→ DocumentReference/ID”语义最贴近（证件号=被引用证件的标识）。IdentityDocumentReference 在 Person 下存在。</v>
      </c>
      <c r="J472" s="19"/>
      <c r="K472" s="19" t="s">
        <v>1993</v>
      </c>
      <c r="L472" s="20"/>
      <c r="M472" s="25" t="s">
        <v>2223</v>
      </c>
      <c r="N472" s="20" t="s">
        <v>3013</v>
      </c>
      <c r="O472" s="20" t="s">
        <v>165</v>
      </c>
      <c r="P472" s="20"/>
      <c r="Q472" s="26" t="str">
        <f>IF(S472="","",LEN(S472)-LEN(SUBSTITUTE(S472,"/",""))+IF(ISNUMBER(SEARCH("@",S472)),0,1))</f>
        <v>6</v>
      </c>
      <c r="R472" s="26"/>
      <c r="S472" s="19" t="s">
        <v>2298</v>
      </c>
      <c r="T472" s="19" t="s">
        <v>2299</v>
      </c>
      <c r="U472" s="20"/>
      <c r="V472" s="20"/>
      <c r="W472" s="19" t="s">
        <v>2300</v>
      </c>
      <c r="X472" s="46"/>
      <c r="Y472" s="20"/>
      <c r="Z472" s="20"/>
      <c r="AA472" s="20" t="s">
        <v>68</v>
      </c>
      <c r="AB472" s="20" t="str">
        <f>IF(ISBLANK(S472),"是","否")</f>
        <v>否</v>
      </c>
      <c r="AC472" s="20" t="s">
        <v>76</v>
      </c>
      <c r="AD472" s="24">
        <v>178</v>
      </c>
      <c r="AE472" s="25" t="s">
        <v>2296</v>
      </c>
      <c r="AH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</row>
    <row r="473" ht="91.30827067669172" customHeight="1" spans="1:57" x14ac:dyDescent="0.25">
      <c r="A473" s="20" t="s">
        <v>1663</v>
      </c>
      <c r="B473" s="19" t="s">
        <v>139</v>
      </c>
      <c r="C473" s="20" t="s">
        <v>57</v>
      </c>
      <c r="D473" s="21" t="s">
        <v>2292</v>
      </c>
      <c r="E473" s="22" t="s">
        <v>2293</v>
      </c>
      <c r="F473" s="21" t="s">
        <v>1955</v>
      </c>
      <c r="G473" s="23" t="s">
        <v>1955</v>
      </c>
      <c r="H473" s="20" t="str">
        <f>SUBSTITUTE(SUBSTITUTE(SUBSTITUTE(S473,"/@","_"),"/cac:","_"),"/cbc:","_")</f>
        <v>Invoice_AccountingCustomerParty_Party_Person_IdentityDocumentReference_DocumentTypeCode</v>
      </c>
      <c r="I473" s="20" t="str">
        <f>SUBSTITUTE(SUBSTITUTE(SUBSTITUTE(T473,"/@","_"),"/cac:","_"),"/cbc:","_")</f>
        <v>“证件类型（身份证/护照等）”更像“证件引用的类型代码”，与 DocumentTypeCode 直接对位。IdentityDocumentReference 路径同上。</v>
      </c>
      <c r="J473" s="19"/>
      <c r="K473" s="19" t="s">
        <v>2302</v>
      </c>
      <c r="L473" s="20"/>
      <c r="M473" s="25" t="s">
        <v>909</v>
      </c>
      <c r="N473" s="20" t="s">
        <v>3013</v>
      </c>
      <c r="O473" s="20" t="s">
        <v>64</v>
      </c>
      <c r="P473" s="20"/>
      <c r="Q473" s="26" t="str">
        <f>IF(S473="","",LEN(S473)-LEN(SUBSTITUTE(S473,"/",""))+IF(ISNUMBER(SEARCH("@",S473)),0,1))</f>
        <v>6</v>
      </c>
      <c r="R473" s="26"/>
      <c r="S473" s="19" t="s">
        <v>1958</v>
      </c>
      <c r="T473" s="19" t="s">
        <v>2303</v>
      </c>
      <c r="U473" s="20"/>
      <c r="V473" s="20"/>
      <c r="W473" s="19"/>
      <c r="X473" s="46"/>
      <c r="Y473" s="20"/>
      <c r="Z473" s="20"/>
      <c r="AA473" s="20" t="s">
        <v>68</v>
      </c>
      <c r="AB473" s="20" t="str">
        <f>IF(ISBLANK(S473),"是","否")</f>
        <v>否</v>
      </c>
      <c r="AC473" s="20" t="s">
        <v>76</v>
      </c>
      <c r="AD473" s="24">
        <v>179</v>
      </c>
      <c r="AE473" s="25" t="s">
        <v>1955</v>
      </c>
      <c r="AF473" s="37">
        <v>234</v>
      </c>
      <c r="AG473" s="35" t="s">
        <v>2304</v>
      </c>
      <c r="AH473" s="20"/>
      <c r="AI473" s="37"/>
      <c r="AJ473" s="35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</row>
    <row r="474" ht="70.73684210526315" customHeight="1" spans="1:57" x14ac:dyDescent="0.25">
      <c r="A474" s="20" t="s">
        <v>1663</v>
      </c>
      <c r="B474" s="19" t="s">
        <v>282</v>
      </c>
      <c r="C474" s="20" t="s">
        <v>57</v>
      </c>
      <c r="D474" s="21" t="s">
        <v>2292</v>
      </c>
      <c r="E474" s="22" t="s">
        <v>2293</v>
      </c>
      <c r="F474" s="21" t="s">
        <v>2181</v>
      </c>
      <c r="G474" s="23" t="s">
        <v>2181</v>
      </c>
      <c r="H474" s="20" t="str">
        <f>SUBSTITUTE(SUBSTITUTE(SUBSTITUTE(S474,"/@","_"),"/cac:","_"),"/cbc:","_")</f>
        <v>Invoice_Delivery_DeliveryAddress_CountrySubentity</v>
      </c>
      <c r="I474" s="20" t="str">
        <f>SUBSTITUTE(SUBSTITUTE(SUBSTITUTE(T474,"/@","_"),"/cac:","_"),"/cbc:","_")</f>
        <v>“省/州”层级最贴近 CountrySubentity；但你字段把省市区县合并为一项，需结合你们落位规则（可拆或选主字段）。</v>
      </c>
      <c r="J474" s="19" t="s">
        <v>300</v>
      </c>
      <c r="K474" s="19" t="s">
        <v>2305</v>
      </c>
      <c r="L474" s="25"/>
      <c r="M474" s="25" t="s">
        <v>927</v>
      </c>
      <c r="N474" s="20" t="s">
        <v>3013</v>
      </c>
      <c r="O474" s="20" t="s">
        <v>64</v>
      </c>
      <c r="P474" s="20"/>
      <c r="Q474" s="26" t="str">
        <f>IF(S474="","",LEN(S474)-LEN(SUBSTITUTE(S474,"/",""))+IF(ISNUMBER(SEARCH("@",S474)),0,1))</f>
        <v>4</v>
      </c>
      <c r="R474" s="26"/>
      <c r="S474" s="19" t="s">
        <v>2100</v>
      </c>
      <c r="T474" s="19" t="s">
        <v>2306</v>
      </c>
      <c r="U474" s="20"/>
      <c r="V474" s="25"/>
      <c r="W474" s="19" t="s">
        <v>2307</v>
      </c>
      <c r="X474" s="46"/>
      <c r="Y474" s="20"/>
      <c r="Z474" s="20"/>
      <c r="AA474" s="20" t="s">
        <v>68</v>
      </c>
      <c r="AB474" s="20" t="str">
        <f>IF(ISBLANK(S474),"是","否")</f>
        <v>否</v>
      </c>
      <c r="AC474" s="20" t="s">
        <v>76</v>
      </c>
      <c r="AD474" s="24">
        <v>180</v>
      </c>
      <c r="AE474" s="25" t="s">
        <v>2181</v>
      </c>
      <c r="AH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</row>
    <row r="475" ht="132.45112781954887" customHeight="1" spans="1:57" x14ac:dyDescent="0.25">
      <c r="A475" s="20" t="s">
        <v>1663</v>
      </c>
      <c r="B475" s="27"/>
      <c r="C475" s="20" t="s">
        <v>57</v>
      </c>
      <c r="D475" s="21" t="s">
        <v>2292</v>
      </c>
      <c r="E475" s="22" t="s">
        <v>2293</v>
      </c>
      <c r="F475" s="21" t="s">
        <v>2308</v>
      </c>
      <c r="G475" s="23" t="s">
        <v>2308</v>
      </c>
      <c r="H475" s="20" t="str">
        <f>SUBSTITUTE(SUBSTITUTE(SUBSTITUTE(S475,"/@","_"),"/cac:","_"),"/cbc:","_")</f>
        <v/>
      </c>
      <c r="I475" s="20" t="str">
        <f>SUBSTITUTE(SUBSTITUTE(SUBSTITUTE(T475,"/@","_"),"/cac:","_"),"/cbc:","_")</f>
        <v>【未匹配】在 Invoice→Delivery→Shipment→ShipmentStage 链路下，能找到“运输方式/运输工具类型”等字段，但未找到与“舱位/席别/等级（服务档次）”同概念的 UBL 行；最接近的仅是运输方式/工具类型，语义不等同。</v>
      </c>
      <c r="J475" s="19"/>
      <c r="K475" s="19"/>
      <c r="L475" s="25" t="s">
        <v>2310</v>
      </c>
      <c r="M475" s="25" t="s">
        <v>909</v>
      </c>
      <c r="N475" s="20" t="s">
        <v>3013</v>
      </c>
      <c r="O475" s="20"/>
      <c r="P475" s="20"/>
      <c r="Q475" s="26" t="str">
        <f>IF(S475="","",LEN(S475)-LEN(SUBSTITUTE(S475,"/",""))+IF(ISNUMBER(SEARCH("@",S475)),0,1))</f>
        <v/>
      </c>
      <c r="R475" s="26"/>
      <c r="S475" s="19"/>
      <c r="T475" s="19" t="s">
        <v>2311</v>
      </c>
      <c r="U475" s="20"/>
      <c r="V475" s="20"/>
      <c r="W475" s="19"/>
      <c r="X475" s="46"/>
      <c r="Y475" s="20"/>
      <c r="Z475" s="20"/>
      <c r="AA475" s="20"/>
      <c r="AB475" s="20" t="str">
        <f>IF(ISBLANK(S475),"是","否")</f>
        <v>是</v>
      </c>
      <c r="AC475" s="20" t="s">
        <v>76</v>
      </c>
      <c r="AD475" s="24">
        <v>181</v>
      </c>
      <c r="AE475" s="25" t="s">
        <v>2308</v>
      </c>
      <c r="AF475" s="37">
        <v>233</v>
      </c>
      <c r="AG475" s="35" t="s">
        <v>2312</v>
      </c>
      <c r="AH475" s="20"/>
      <c r="AI475" s="37"/>
      <c r="AJ475" s="35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</row>
    <row r="476" ht="60.45112781954887" customHeight="1" spans="1:57" x14ac:dyDescent="0.25">
      <c r="A476" s="20" t="s">
        <v>1663</v>
      </c>
      <c r="B476" s="19" t="s">
        <v>41</v>
      </c>
      <c r="C476" s="20" t="s">
        <v>57</v>
      </c>
      <c r="D476" s="21" t="s">
        <v>2292</v>
      </c>
      <c r="E476" s="22" t="s">
        <v>2293</v>
      </c>
      <c r="F476" s="21" t="s">
        <v>2007</v>
      </c>
      <c r="G476" s="23" t="s">
        <v>2007</v>
      </c>
      <c r="H476" s="20" t="str">
        <f>SUBSTITUTE(SUBSTITUTE(SUBSTITUTE(S476,"/@","_"),"/cac:","_"),"/cbc:","_")</f>
        <v>Invoice_UUID</v>
      </c>
      <c r="I476" s="20" t="str">
        <f>SUBSTITUTE(SUBSTITUTE(SUBSTITUTE(T476,"/@","_"),"/cac:","_"),"/cbc:","_")</f>
        <v>候选1：若你的“发票流水号”偏“系统内唯一实例ID”，更贴近 UUID（唯一性更强）。</v>
      </c>
      <c r="J476" s="19"/>
      <c r="K476" s="19" t="s">
        <v>2008</v>
      </c>
      <c r="L476" s="24"/>
      <c r="M476" s="25" t="s">
        <v>72</v>
      </c>
      <c r="N476" s="20" t="s">
        <v>3013</v>
      </c>
      <c r="O476" s="20" t="s">
        <v>64</v>
      </c>
      <c r="P476" s="20"/>
      <c r="Q476" s="26" t="str">
        <f>IF(S476="","",LEN(S476)-LEN(SUBSTITUTE(S476,"/",""))+IF(ISNUMBER(SEARCH("@",S476)),0,1))</f>
        <v>2</v>
      </c>
      <c r="R476" s="26"/>
      <c r="S476" s="19" t="s">
        <v>65</v>
      </c>
      <c r="T476" s="19" t="s">
        <v>2313</v>
      </c>
      <c r="U476" s="20"/>
      <c r="V476" s="20"/>
      <c r="W476" s="19"/>
      <c r="X476" s="46"/>
      <c r="Y476" s="20"/>
      <c r="Z476" s="20"/>
      <c r="AA476" s="20" t="s">
        <v>68</v>
      </c>
      <c r="AB476" s="20" t="str">
        <f>IF(ISBLANK(S476),"是","否")</f>
        <v>否</v>
      </c>
      <c r="AC476" s="20" t="s">
        <v>76</v>
      </c>
      <c r="AD476" s="24">
        <v>182</v>
      </c>
      <c r="AE476" s="25" t="s">
        <v>2007</v>
      </c>
      <c r="AH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</row>
    <row r="477" ht="132.45112781954887" customHeight="1" spans="1:57" x14ac:dyDescent="0.25">
      <c r="A477" s="20" t="s">
        <v>1663</v>
      </c>
      <c r="B477" s="19" t="s">
        <v>282</v>
      </c>
      <c r="C477" s="20" t="s">
        <v>57</v>
      </c>
      <c r="D477" s="21" t="s">
        <v>2292</v>
      </c>
      <c r="E477" s="22" t="s">
        <v>2293</v>
      </c>
      <c r="F477" s="21" t="s">
        <v>2194</v>
      </c>
      <c r="G477" s="23" t="s">
        <v>2194</v>
      </c>
      <c r="H477" s="20" t="str">
        <f>SUBSTITUTE(SUBSTITUTE(SUBSTITUTE(S477,"/@","_"),"/cac:","_"),"/cbc:","_")</f>
        <v>Invoice_Delivery_Shipment_ShipmentStage_ActualDepartureTransportEvent_Location_Address_CountrySubentity</v>
      </c>
      <c r="I477" s="20" t="str">
        <f>SUBSTITUTE(SUBSTITUTE(SUBSTITUTE(T477,"/@","_"),"/cac:","_"),"/cbc:","_")</f>
        <v>“出发地 省市区县”在 UBL 中通常拆分到地址多个层级；CountrySubentity 更偏“省/州/县”等上级行政区。链路：ShipmentStage 含 ActualDepartureTransportEvent →TransportEvent 含 Location →Location 含 Address 。</v>
      </c>
      <c r="J477" s="19"/>
      <c r="K477" s="19" t="s">
        <v>2315</v>
      </c>
      <c r="L477" s="24"/>
      <c r="M477" s="25" t="s">
        <v>927</v>
      </c>
      <c r="N477" s="20" t="s">
        <v>3013</v>
      </c>
      <c r="O477" s="20" t="s">
        <v>64</v>
      </c>
      <c r="P477" s="20"/>
      <c r="Q477" s="26" t="str">
        <f>IF(S477="","",LEN(S477)-LEN(SUBSTITUTE(S477,"/",""))+IF(ISNUMBER(SEARCH("@",S477)),0,1))</f>
        <v>8</v>
      </c>
      <c r="R477" s="26"/>
      <c r="S477" s="19" t="s">
        <v>2316</v>
      </c>
      <c r="T477" s="19" t="s">
        <v>2317</v>
      </c>
      <c r="U477" s="20"/>
      <c r="V477" s="20"/>
      <c r="W477" s="19" t="s">
        <v>2318</v>
      </c>
      <c r="X477" s="46"/>
      <c r="Y477" s="20"/>
      <c r="Z477" s="20"/>
      <c r="AA477" s="20" t="s">
        <v>68</v>
      </c>
      <c r="AB477" s="20" t="str">
        <f>IF(ISBLANK(S477),"是","否")</f>
        <v>否</v>
      </c>
      <c r="AC477" s="20" t="s">
        <v>76</v>
      </c>
      <c r="AD477" s="24">
        <v>183</v>
      </c>
      <c r="AE477" s="25" t="s">
        <v>2194</v>
      </c>
      <c r="AH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</row>
    <row r="478" ht="111.8796992481203" customHeight="1" spans="1:57" x14ac:dyDescent="0.25">
      <c r="A478" s="20" t="s">
        <v>1663</v>
      </c>
      <c r="B478" s="19" t="s">
        <v>2186</v>
      </c>
      <c r="C478" s="20" t="s">
        <v>57</v>
      </c>
      <c r="D478" s="21" t="s">
        <v>2292</v>
      </c>
      <c r="E478" s="22" t="s">
        <v>2293</v>
      </c>
      <c r="F478" s="21" t="s">
        <v>2207</v>
      </c>
      <c r="G478" s="23" t="s">
        <v>2207</v>
      </c>
      <c r="H478" s="20" t="str">
        <f>SUBSTITUTE(SUBSTITUTE(SUBSTITUTE(S478,"/@","_"),"/cac:","_"),"/cbc:","_")</f>
        <v>Invoice_Delivery_Shipment_ShipmentStage_TransportModeCode</v>
      </c>
      <c r="I478" s="20" t="str">
        <f>SUBSTITUTE(SUBSTITUTE(SUBSTITUTE(T478,"/@","_"),"/cac:","_"),"/cbc:","_")</f>
        <v>首选：你的枚举示例“飞机/高铁/客运汽车/轮船”等更像“运输方式/模式”。路径依据：Invoice 含 Delivery ；Delivery 含 Shipment ；Shipment 含 ShipmentStage 。</v>
      </c>
      <c r="J478" s="19"/>
      <c r="K478" s="19" t="s">
        <v>2191</v>
      </c>
      <c r="L478" s="20"/>
      <c r="M478" s="25" t="s">
        <v>1939</v>
      </c>
      <c r="N478" s="20" t="s">
        <v>3013</v>
      </c>
      <c r="O478" s="20" t="s">
        <v>64</v>
      </c>
      <c r="P478" s="20"/>
      <c r="Q478" s="26" t="str">
        <f>IF(S478="","",LEN(S478)-LEN(SUBSTITUTE(S478,"/",""))+IF(ISNUMBER(SEARCH("@",S478)),0,1))</f>
        <v>5</v>
      </c>
      <c r="R478" s="26"/>
      <c r="S478" s="19" t="s">
        <v>2192</v>
      </c>
      <c r="T478" s="19" t="s">
        <v>2320</v>
      </c>
      <c r="U478" s="20"/>
      <c r="V478" s="20" t="s">
        <v>2321</v>
      </c>
      <c r="W478" s="19"/>
      <c r="X478" s="46"/>
      <c r="Y478" s="20"/>
      <c r="Z478" s="20"/>
      <c r="AA478" s="20" t="s">
        <v>68</v>
      </c>
      <c r="AB478" s="20" t="str">
        <f>IF(ISBLANK(S478),"是","否")</f>
        <v>否</v>
      </c>
      <c r="AC478" s="20" t="s">
        <v>76</v>
      </c>
      <c r="AD478" s="24">
        <v>184</v>
      </c>
      <c r="AE478" s="25" t="s">
        <v>2207</v>
      </c>
      <c r="AF478" s="24">
        <v>232</v>
      </c>
      <c r="AG478" s="25" t="s">
        <v>2322</v>
      </c>
      <c r="AH478" s="20"/>
      <c r="AI478" s="24"/>
      <c r="AJ478" s="25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</row>
    <row r="479" ht="91.30827067669172" customHeight="1" spans="1:57" x14ac:dyDescent="0.25">
      <c r="A479" s="20" t="s">
        <v>1663</v>
      </c>
      <c r="B479" s="19" t="s">
        <v>1845</v>
      </c>
      <c r="C479" s="20" t="s">
        <v>57</v>
      </c>
      <c r="D479" s="21" t="s">
        <v>2292</v>
      </c>
      <c r="E479" s="22" t="s">
        <v>2293</v>
      </c>
      <c r="F479" s="21" t="s">
        <v>2323</v>
      </c>
      <c r="G479" s="23" t="s">
        <v>2323</v>
      </c>
      <c r="H479" s="20" t="str">
        <f>SUBSTITUTE(SUBSTITUTE(SUBSTITUTE(S479,"/@","_"),"/cac:","_"),"/cbc:","_")</f>
        <v>Invoice_Delivery_Shipment_ShipmentStage_TransitPeriod_StartDate</v>
      </c>
      <c r="I479" s="20" t="str">
        <f>SUBSTITUTE(SUBSTITUTE(SUBSTITUTE(T479,"/@","_"),"/cac:","_"),"/cbc:","_")</f>
        <v>对应：出行日期（实际发生日期）；在运输阶段 ShipmentStage 的 TransitPeriod（实际发生期间）中，用 StartDate 表达“发生日期/起始日”。</v>
      </c>
      <c r="J479" s="19"/>
      <c r="K479" s="19" t="s">
        <v>2105</v>
      </c>
      <c r="L479" s="20" t="s">
        <v>2138</v>
      </c>
      <c r="M479" s="25" t="s">
        <v>909</v>
      </c>
      <c r="N479" s="20" t="s">
        <v>3013</v>
      </c>
      <c r="O479" s="20" t="s">
        <v>64</v>
      </c>
      <c r="P479" s="20"/>
      <c r="Q479" s="26" t="str">
        <f>IF(S479="","",LEN(S479)-LEN(SUBSTITUTE(S479,"/",""))+IF(ISNUMBER(SEARCH("@",S479)),0,1))</f>
        <v>6</v>
      </c>
      <c r="R479" s="26"/>
      <c r="S479" s="19" t="s">
        <v>2325</v>
      </c>
      <c r="T479" s="19" t="s">
        <v>2326</v>
      </c>
      <c r="U479" s="20"/>
      <c r="V479" s="20"/>
      <c r="W479" s="19"/>
      <c r="X479" s="46"/>
      <c r="Y479" s="20"/>
      <c r="Z479" s="20"/>
      <c r="AA479" s="20" t="s">
        <v>68</v>
      </c>
      <c r="AB479" s="20" t="str">
        <f>IF(ISBLANK(S479),"是","否")</f>
        <v>否</v>
      </c>
      <c r="AC479" s="20" t="s">
        <v>76</v>
      </c>
      <c r="AD479" s="24">
        <v>185</v>
      </c>
      <c r="AE479" s="25" t="s">
        <v>2323</v>
      </c>
      <c r="AF479" s="24">
        <v>235</v>
      </c>
      <c r="AG479" s="25" t="s">
        <v>2323</v>
      </c>
      <c r="AH479" s="20"/>
      <c r="AI479" s="24"/>
      <c r="AJ479" s="25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</row>
    <row r="480" ht="81.02255639097744" customHeight="1" spans="1:57" x14ac:dyDescent="0.25">
      <c r="A480" s="20" t="s">
        <v>1663</v>
      </c>
      <c r="B480" s="19" t="s">
        <v>402</v>
      </c>
      <c r="C480" s="20" t="s">
        <v>57</v>
      </c>
      <c r="D480" s="21" t="s">
        <v>2292</v>
      </c>
      <c r="E480" s="22" t="s">
        <v>2293</v>
      </c>
      <c r="F480" s="21" t="s">
        <v>2327</v>
      </c>
      <c r="G480" s="23" t="s">
        <v>2327</v>
      </c>
      <c r="H480" s="20" t="str">
        <f>SUBSTITUTE(SUBSTITUTE(SUBSTITUTE(S480,"/@","_"),"/cac:","_"),"/cbc:","_")</f>
        <v>Invoice_Delivery_Shipment_ShipmentStage_PassengerPerson_FirstName</v>
      </c>
      <c r="I480" s="20" t="str">
        <f>SUBSTITUTE(SUBSTITUTE(SUBSTITUTE(T480,"/@","_"),"/cac:","_"),"/cbc:","_")</f>
        <v>对应：出行人（旅客姓名）；UBL 在 PassengerPerson（乘客）下拆分为 FirstName/FamilyName，若输入为“全名”需组合。</v>
      </c>
      <c r="J480" s="19"/>
      <c r="K480" s="19" t="s">
        <v>2329</v>
      </c>
      <c r="L480" s="20"/>
      <c r="M480" s="25" t="s">
        <v>927</v>
      </c>
      <c r="N480" s="20" t="s">
        <v>3013</v>
      </c>
      <c r="O480" s="20" t="s">
        <v>64</v>
      </c>
      <c r="P480" s="20"/>
      <c r="Q480" s="26" t="str">
        <f>IF(S480="","",LEN(S480)-LEN(SUBSTITUTE(S480,"/",""))+IF(ISNUMBER(SEARCH("@",S480)),0,1))</f>
        <v>6</v>
      </c>
      <c r="R480" s="26"/>
      <c r="S480" s="19" t="s">
        <v>2330</v>
      </c>
      <c r="T480" s="19" t="s">
        <v>2331</v>
      </c>
      <c r="U480" s="20"/>
      <c r="V480" s="20"/>
      <c r="W480" s="19"/>
      <c r="X480" s="46"/>
      <c r="Y480" s="20"/>
      <c r="Z480" s="20"/>
      <c r="AA480" s="20" t="s">
        <v>68</v>
      </c>
      <c r="AB480" s="20" t="str">
        <f>IF(ISBLANK(S480),"是","否")</f>
        <v>否</v>
      </c>
      <c r="AC480" s="20" t="s">
        <v>76</v>
      </c>
      <c r="AD480" s="24">
        <v>186</v>
      </c>
      <c r="AE480" s="25" t="s">
        <v>2327</v>
      </c>
      <c r="AF480" s="24">
        <v>228</v>
      </c>
      <c r="AG480" s="25" t="s">
        <v>2327</v>
      </c>
      <c r="AH480" s="20"/>
      <c r="AI480" s="24"/>
      <c r="AJ480" s="25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</row>
    <row r="481" ht="60.45112781954887" customHeight="1" spans="1:57" x14ac:dyDescent="0.25">
      <c r="A481" s="20" t="s">
        <v>1663</v>
      </c>
      <c r="B481" s="27"/>
      <c r="C481" s="20" t="s">
        <v>57</v>
      </c>
      <c r="D481" s="21" t="s">
        <v>2332</v>
      </c>
      <c r="E481" s="22" t="s">
        <v>2333</v>
      </c>
      <c r="F481" s="21" t="s">
        <v>60</v>
      </c>
      <c r="G481" s="23" t="s">
        <v>60</v>
      </c>
      <c r="H481" s="20" t="str">
        <f>SUBSTITUTE(SUBSTITUTE(SUBSTITUTE(S481,"/@","_"),"/cac:","_"),"/cbc:","_")</f>
        <v/>
      </c>
      <c r="I481" s="20" t="str">
        <f>SUBSTITUTE(SUBSTITUTE(SUBSTITUTE(T481,"/@","_"),"/cac:","_"),"/cbc:","_")</f>
        <v>对应：数电发票二手车信息表主键ID（系统内子表主键）；UBL 无对应“子表主键”概念字段。</v>
      </c>
      <c r="J481" s="19"/>
      <c r="K481" s="19"/>
      <c r="L481" s="20"/>
      <c r="M481" s="25" t="s">
        <v>63</v>
      </c>
      <c r="N481" s="20" t="s">
        <v>1280</v>
      </c>
      <c r="O481" s="20"/>
      <c r="P481" s="20"/>
      <c r="Q481" s="26" t="str">
        <f>IF(S481="","",LEN(S481)-LEN(SUBSTITUTE(S481,"/",""))+IF(ISNUMBER(SEARCH("@",S481)),0,1))</f>
        <v/>
      </c>
      <c r="R481" s="26"/>
      <c r="S481" s="19"/>
      <c r="T481" s="19" t="s">
        <v>2335</v>
      </c>
      <c r="U481" s="20"/>
      <c r="V481" s="20"/>
      <c r="W481" s="19"/>
      <c r="X481" s="46" t="s">
        <v>76</v>
      </c>
      <c r="Y481" s="20"/>
      <c r="Z481" s="20"/>
      <c r="AA481" s="20"/>
      <c r="AB481" s="20" t="str">
        <f>IF(ISBLANK(S481),"是","否")</f>
        <v>是</v>
      </c>
      <c r="AC481" s="20" t="s">
        <v>76</v>
      </c>
      <c r="AD481" s="24">
        <v>187</v>
      </c>
      <c r="AE481" s="25" t="s">
        <v>60</v>
      </c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</row>
    <row r="482" ht="101.59398496240601" customHeight="1" spans="1:57" x14ac:dyDescent="0.25">
      <c r="A482" s="20" t="s">
        <v>1663</v>
      </c>
      <c r="B482" s="19" t="s">
        <v>1559</v>
      </c>
      <c r="C482" s="20" t="s">
        <v>57</v>
      </c>
      <c r="D482" s="21" t="s">
        <v>2332</v>
      </c>
      <c r="E482" s="22" t="s">
        <v>2333</v>
      </c>
      <c r="F482" s="21" t="s">
        <v>2220</v>
      </c>
      <c r="G482" s="23" t="s">
        <v>2220</v>
      </c>
      <c r="H482" s="20" t="str">
        <f>SUBSTITUTE(SUBSTITUTE(SUBSTITUTE(S482,"/@","_"),"/cac:","_"),"/cbc:","_")</f>
        <v>Invoice_InvoiceLine_Item_ItemInstance_SerialID</v>
      </c>
      <c r="I482" s="20" t="str">
        <f>SUBSTITUTE(SUBSTITUTE(SUBSTITUTE(T482,"/@","_"),"/cac:","_"),"/cbc:","_")</f>
        <v>对应：车辆识别代号/车架号码（VIN/车架号）；ItemInstance/SerialID 的示例即“chassis number of a car”，语义与上下文（作为发票行项目实例）一致。</v>
      </c>
      <c r="J482" s="19"/>
      <c r="K482" s="19" t="s">
        <v>2222</v>
      </c>
      <c r="L482" s="24"/>
      <c r="M482" s="25" t="s">
        <v>909</v>
      </c>
      <c r="N482" s="20" t="s">
        <v>3013</v>
      </c>
      <c r="O482" s="20" t="s">
        <v>64</v>
      </c>
      <c r="P482" s="20"/>
      <c r="Q482" s="26" t="str">
        <f>IF(S482="","",LEN(S482)-LEN(SUBSTITUTE(S482,"/",""))+IF(ISNUMBER(SEARCH("@",S482)),0,1))</f>
        <v>5</v>
      </c>
      <c r="R482" s="26"/>
      <c r="S482" s="19" t="s">
        <v>1587</v>
      </c>
      <c r="T482" s="19" t="s">
        <v>2336</v>
      </c>
      <c r="U482" s="20"/>
      <c r="V482" s="20"/>
      <c r="W482" s="19" t="s">
        <v>2225</v>
      </c>
      <c r="X482" s="46"/>
      <c r="Y482" s="20"/>
      <c r="Z482" s="20"/>
      <c r="AA482" s="20" t="s">
        <v>68</v>
      </c>
      <c r="AB482" s="20" t="str">
        <f>IF(ISBLANK(S482),"是","否")</f>
        <v>否</v>
      </c>
      <c r="AC482" s="20" t="s">
        <v>76</v>
      </c>
      <c r="AD482" s="24">
        <v>188</v>
      </c>
      <c r="AE482" s="25" t="s">
        <v>2220</v>
      </c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</row>
    <row r="483" ht="91.30827067669172" customHeight="1" spans="1:57" x14ac:dyDescent="0.25">
      <c r="A483" s="20" t="s">
        <v>1663</v>
      </c>
      <c r="B483" s="19" t="s">
        <v>1559</v>
      </c>
      <c r="C483" s="20" t="s">
        <v>57</v>
      </c>
      <c r="D483" s="21" t="s">
        <v>2332</v>
      </c>
      <c r="E483" s="22" t="s">
        <v>2333</v>
      </c>
      <c r="F483" s="21" t="s">
        <v>2337</v>
      </c>
      <c r="G483" s="23" t="s">
        <v>2337</v>
      </c>
      <c r="H483" s="20" t="str">
        <f>SUBSTITUTE(SUBSTITUTE(SUBSTITUTE(S483,"/@","_"),"/cac:","_"),"/cbc:","_")</f>
        <v>Invoice_InvoiceLine_Item_ItemInstance_RegistrationID</v>
      </c>
      <c r="I483" s="20" t="str">
        <f>SUBSTITUTE(SUBSTITUTE(SUBSTITUTE(T483,"/@","_"),"/cac:","_"),"/cbc:","_")</f>
        <v>对应：车牌号码；ItemInstance/RegistrationID 示例为“car registration or licensing number”，可用于表达车辆牌照/注册号（作为商品实例属性）。</v>
      </c>
      <c r="J483" s="19"/>
      <c r="K483" s="19" t="s">
        <v>2339</v>
      </c>
      <c r="L483" s="20"/>
      <c r="M483" s="25" t="s">
        <v>927</v>
      </c>
      <c r="N483" s="20" t="s">
        <v>3013</v>
      </c>
      <c r="O483" s="20" t="s">
        <v>64</v>
      </c>
      <c r="P483" s="20"/>
      <c r="Q483" s="26" t="str">
        <f>IF(S483="","",LEN(S483)-LEN(SUBSTITUTE(S483,"/",""))+IF(ISNUMBER(SEARCH("@",S483)),0,1))</f>
        <v>5</v>
      </c>
      <c r="R483" s="26"/>
      <c r="S483" s="19" t="s">
        <v>2340</v>
      </c>
      <c r="T483" s="19" t="s">
        <v>2341</v>
      </c>
      <c r="U483" s="20"/>
      <c r="V483" s="20"/>
      <c r="W483" s="19" t="s">
        <v>2342</v>
      </c>
      <c r="X483" s="46"/>
      <c r="Y483" s="20"/>
      <c r="Z483" s="20"/>
      <c r="AA483" s="20" t="s">
        <v>68</v>
      </c>
      <c r="AB483" s="20" t="str">
        <f>IF(ISBLANK(S483),"是","否")</f>
        <v>否</v>
      </c>
      <c r="AC483" s="20" t="s">
        <v>76</v>
      </c>
      <c r="AD483" s="24">
        <v>189</v>
      </c>
      <c r="AE483" s="25" t="s">
        <v>2337</v>
      </c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</row>
    <row r="484" ht="60.45112781954887" customHeight="1" spans="1:57" x14ac:dyDescent="0.25">
      <c r="A484" s="20" t="s">
        <v>1663</v>
      </c>
      <c r="B484" s="19" t="s">
        <v>1357</v>
      </c>
      <c r="C484" s="20" t="s">
        <v>57</v>
      </c>
      <c r="D484" s="21" t="s">
        <v>2332</v>
      </c>
      <c r="E484" s="22" t="s">
        <v>2333</v>
      </c>
      <c r="F484" s="21" t="s">
        <v>2240</v>
      </c>
      <c r="G484" s="23" t="s">
        <v>2240</v>
      </c>
      <c r="H484" s="20" t="str">
        <f>SUBSTITUTE(SUBSTITUTE(SUBSTITUTE(S484,"/@","_"),"/cac:","_"),"/cbc:","_")</f>
        <v>Invoice_InvoiceLine_Item_ModelName</v>
      </c>
      <c r="I484" s="20" t="str">
        <f>SUBSTITUTE(SUBSTITUTE(SUBSTITUTE(T484,"/@","_"),"/cac:","_"),"/cbc:","_")</f>
        <v>对应：厂牌型号；UBL Item/ModelName 直接表达“型号名”，语义匹配。</v>
      </c>
      <c r="J484" s="19"/>
      <c r="K484" s="19" t="s">
        <v>2242</v>
      </c>
      <c r="L484" s="20"/>
      <c r="M484" s="25" t="s">
        <v>2223</v>
      </c>
      <c r="N484" s="20" t="s">
        <v>3013</v>
      </c>
      <c r="O484" s="20" t="s">
        <v>64</v>
      </c>
      <c r="P484" s="20"/>
      <c r="Q484" s="26" t="str">
        <f>IF(S484="","",LEN(S484)-LEN(SUBSTITUTE(S484,"/",""))+IF(ISNUMBER(SEARCH("@",S484)),0,1))</f>
        <v>4</v>
      </c>
      <c r="R484" s="26"/>
      <c r="S484" s="19" t="s">
        <v>2243</v>
      </c>
      <c r="T484" s="19" t="s">
        <v>2343</v>
      </c>
      <c r="U484" s="20"/>
      <c r="V484" s="20"/>
      <c r="W484" s="19"/>
      <c r="X484" s="46"/>
      <c r="Y484" s="20"/>
      <c r="Z484" s="20"/>
      <c r="AA484" s="20" t="s">
        <v>68</v>
      </c>
      <c r="AB484" s="20" t="str">
        <f>IF(ISBLANK(S484),"是","否")</f>
        <v>否</v>
      </c>
      <c r="AC484" s="20" t="s">
        <v>76</v>
      </c>
      <c r="AD484" s="24">
        <v>190</v>
      </c>
      <c r="AE484" s="25" t="s">
        <v>2240</v>
      </c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</row>
    <row r="485" ht="142.73684210526315" customHeight="1" spans="1:57" x14ac:dyDescent="0.25">
      <c r="A485" s="20" t="s">
        <v>1663</v>
      </c>
      <c r="B485" s="19" t="s">
        <v>139</v>
      </c>
      <c r="C485" s="20" t="s">
        <v>57</v>
      </c>
      <c r="D485" s="21" t="s">
        <v>2332</v>
      </c>
      <c r="E485" s="22" t="s">
        <v>2333</v>
      </c>
      <c r="F485" s="21" t="s">
        <v>2344</v>
      </c>
      <c r="G485" s="23" t="s">
        <v>2344</v>
      </c>
      <c r="H485" s="20" t="str">
        <f>SUBSTITUTE(SUBSTITUTE(SUBSTITUTE(S485,"/@","_"),"/cac:","_"),"/cbc:","_")</f>
        <v>Invoice_AccountingSupplierParty_Party_Person_IdentityDocumentReference_ID</v>
      </c>
      <c r="I485" s="20" t="str">
        <f>SUBSTITUTE(SUBSTITUTE(SUBSTITUTE(T485,"/@","_"),"/cac:","_"),"/cbc:","_")</f>
        <v>“证件号码”更贴近“用于识别自然人的证件文档”→Person.IdentityDocumentReference（可识别人的证件）；再落到DocumentReference.ID（被引用证件的编号）；参与方上下文走发票的AccountingSupplierParty→Party→Person</v>
      </c>
      <c r="J485" s="19"/>
      <c r="K485" s="19" t="s">
        <v>1993</v>
      </c>
      <c r="L485" s="20"/>
      <c r="M485" s="25" t="s">
        <v>909</v>
      </c>
      <c r="N485" s="20" t="s">
        <v>3013</v>
      </c>
      <c r="O485" s="20" t="s">
        <v>165</v>
      </c>
      <c r="P485" s="20"/>
      <c r="Q485" s="26" t="str">
        <f>IF(S485="","",LEN(S485)-LEN(SUBSTITUTE(S485,"/",""))+IF(ISNUMBER(SEARCH("@",S485)),0,1))</f>
        <v>6</v>
      </c>
      <c r="R485" s="26"/>
      <c r="S485" s="19" t="s">
        <v>2346</v>
      </c>
      <c r="T485" s="19" t="s">
        <v>2347</v>
      </c>
      <c r="U485" s="20"/>
      <c r="V485" s="20"/>
      <c r="W485" s="19"/>
      <c r="X485" s="46"/>
      <c r="Y485" s="20"/>
      <c r="Z485" s="20"/>
      <c r="AA485" s="20" t="s">
        <v>68</v>
      </c>
      <c r="AB485" s="20" t="str">
        <f>IF(ISBLANK(S485),"是","否")</f>
        <v>否</v>
      </c>
      <c r="AC485" s="20" t="s">
        <v>76</v>
      </c>
      <c r="AD485" s="24">
        <v>191</v>
      </c>
      <c r="AE485" s="25" t="s">
        <v>2344</v>
      </c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</row>
    <row r="486" ht="111.8796992481203" customHeight="1" spans="1:57" x14ac:dyDescent="0.25">
      <c r="A486" s="20" t="s">
        <v>1663</v>
      </c>
      <c r="B486" s="19" t="s">
        <v>139</v>
      </c>
      <c r="C486" s="20" t="s">
        <v>57</v>
      </c>
      <c r="D486" s="21" t="s">
        <v>2332</v>
      </c>
      <c r="E486" s="22" t="s">
        <v>2333</v>
      </c>
      <c r="F486" s="21" t="s">
        <v>2348</v>
      </c>
      <c r="G486" s="23" t="s">
        <v>2348</v>
      </c>
      <c r="H486" s="20" t="str">
        <f>SUBSTITUTE(SUBSTITUTE(SUBSTITUTE(S486,"/@","_"),"/cac:","_"),"/cbc:","_")</f>
        <v>Invoice_AccountingSupplierParty_Party_Person_IdentityDocumentReference_DocumentTypeCode</v>
      </c>
      <c r="I486" s="20" t="str">
        <f>SUBSTITUTE(SUBSTITUTE(SUBSTITUTE(T486,"/@","_"),"/cac:","_"),"/cbc:","_")</f>
        <v>“证件类型代码（身份证/护照等）”与DocumentReference.DocumentTypeCode语义一致；并通过Person.IdentityDocumentReference限定为“可识别此人的证件文档”；供应方上下文</v>
      </c>
      <c r="J486" s="19"/>
      <c r="K486" s="19" t="s">
        <v>2350</v>
      </c>
      <c r="L486" s="25"/>
      <c r="M486" s="25" t="s">
        <v>85</v>
      </c>
      <c r="N486" s="20" t="s">
        <v>3013</v>
      </c>
      <c r="O486" s="20" t="s">
        <v>64</v>
      </c>
      <c r="P486" s="20"/>
      <c r="Q486" s="26" t="str">
        <f>IF(S486="","",LEN(S486)-LEN(SUBSTITUTE(S486,"/",""))+IF(ISNUMBER(SEARCH("@",S486)),0,1))</f>
        <v>6</v>
      </c>
      <c r="R486" s="26"/>
      <c r="S486" s="19" t="s">
        <v>2351</v>
      </c>
      <c r="T486" s="19" t="s">
        <v>2352</v>
      </c>
      <c r="U486" s="20"/>
      <c r="V486" s="20"/>
      <c r="W486" s="19"/>
      <c r="X486" s="46"/>
      <c r="Y486" s="20"/>
      <c r="Z486" s="20"/>
      <c r="AA486" s="20" t="s">
        <v>68</v>
      </c>
      <c r="AB486" s="20" t="str">
        <f>IF(ISBLANK(S486),"是","否")</f>
        <v>否</v>
      </c>
      <c r="AC486" s="20" t="s">
        <v>76</v>
      </c>
      <c r="AD486" s="24">
        <v>192</v>
      </c>
      <c r="AE486" s="25" t="s">
        <v>2348</v>
      </c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</row>
    <row r="487" ht="70.73684210526315" customHeight="1" spans="1:57" x14ac:dyDescent="0.25">
      <c r="A487" s="20" t="s">
        <v>1663</v>
      </c>
      <c r="B487" s="19" t="s">
        <v>402</v>
      </c>
      <c r="C487" s="20" t="s">
        <v>57</v>
      </c>
      <c r="D487" s="21" t="s">
        <v>2332</v>
      </c>
      <c r="E487" s="22" t="s">
        <v>2333</v>
      </c>
      <c r="F487" s="21" t="s">
        <v>2353</v>
      </c>
      <c r="G487" s="23" t="s">
        <v>2353</v>
      </c>
      <c r="H487" s="20" t="str">
        <f>SUBSTITUTE(SUBSTITUTE(SUBSTITUTE(S487,"/@","_"),"/cac:","_"),"/cbc:","_")</f>
        <v>Invoice_AccountingSupplierParty_Party_Person_NationalityID</v>
      </c>
      <c r="I487" s="20" t="str">
        <f>SUBSTITUTE(SUBSTITUTE(SUBSTITUTE(T487,"/@","_"),"/cac:","_"),"/cbc:","_")</f>
        <v>“自然人国家/地区代码（国籍）”与Person.NationalityID（人员国籍/国籍集合）一致；供应方Person上下文</v>
      </c>
      <c r="J487" s="19"/>
      <c r="K487" s="19" t="s">
        <v>2355</v>
      </c>
      <c r="L487" s="24"/>
      <c r="M487" s="25" t="s">
        <v>2275</v>
      </c>
      <c r="N487" s="20" t="s">
        <v>3013</v>
      </c>
      <c r="O487" s="20" t="s">
        <v>49</v>
      </c>
      <c r="P487" s="20"/>
      <c r="Q487" s="26" t="str">
        <f>IF(S487="","",LEN(S487)-LEN(SUBSTITUTE(S487,"/",""))+IF(ISNUMBER(SEARCH("@",S487)),0,1))</f>
        <v>5</v>
      </c>
      <c r="R487" s="26"/>
      <c r="S487" s="19" t="s">
        <v>2356</v>
      </c>
      <c r="T487" s="19" t="s">
        <v>2357</v>
      </c>
      <c r="U487" s="20"/>
      <c r="V487" s="20"/>
      <c r="W487" s="19"/>
      <c r="X487" s="46"/>
      <c r="Y487" s="20"/>
      <c r="Z487" s="20"/>
      <c r="AA487" s="20" t="s">
        <v>68</v>
      </c>
      <c r="AB487" s="20" t="str">
        <f>IF(ISBLANK(S487),"是","否")</f>
        <v>否</v>
      </c>
      <c r="AC487" s="20" t="s">
        <v>76</v>
      </c>
      <c r="AD487" s="24">
        <v>193</v>
      </c>
      <c r="AE487" s="25" t="s">
        <v>2353</v>
      </c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</row>
    <row r="488" ht="142.73684210526315" customHeight="1" spans="1:57" x14ac:dyDescent="0.25">
      <c r="A488" s="20" t="s">
        <v>1663</v>
      </c>
      <c r="B488" s="19" t="s">
        <v>139</v>
      </c>
      <c r="C488" s="20" t="s">
        <v>57</v>
      </c>
      <c r="D488" s="21" t="s">
        <v>2332</v>
      </c>
      <c r="E488" s="22" t="s">
        <v>2333</v>
      </c>
      <c r="F488" s="21" t="s">
        <v>2358</v>
      </c>
      <c r="G488" s="23" t="s">
        <v>2358</v>
      </c>
      <c r="H488" s="20" t="str">
        <f>SUBSTITUTE(SUBSTITUTE(SUBSTITUTE(S488,"/@","_"),"/cac:","_"),"/cbc:","_")</f>
        <v>Invoice_AdditionalDocumentReference_ID</v>
      </c>
      <c r="I488" s="20" t="str">
        <f>SUBSTITUTE(SUBSTITUTE(SUBSTITUTE(T488,"/@","_"),"/cac:","_"),"/cbc:","_")</f>
        <v>“车辆登记证书编号”本质是“某证书（文档）的编号”，可作为Invoice.AdditionalDocumentReference（附加文档引用） 的DocumentReference.ID落位（需在业务侧用DocumentType/DocumentTypeCode区分其为车辆登记证书）</v>
      </c>
      <c r="J488" s="19"/>
      <c r="K488" s="19" t="s">
        <v>1993</v>
      </c>
      <c r="L488" s="24"/>
      <c r="M488" s="25" t="s">
        <v>2223</v>
      </c>
      <c r="N488" s="20" t="s">
        <v>3013</v>
      </c>
      <c r="O488" s="20" t="s">
        <v>165</v>
      </c>
      <c r="P488" s="20"/>
      <c r="Q488" s="26" t="str">
        <f>IF(S488="","",LEN(S488)-LEN(SUBSTITUTE(S488,"/",""))+IF(ISNUMBER(SEARCH("@",S488)),0,1))</f>
        <v>3</v>
      </c>
      <c r="R488" s="26"/>
      <c r="S488" s="19" t="s">
        <v>173</v>
      </c>
      <c r="T488" s="19" t="s">
        <v>2360</v>
      </c>
      <c r="U488" s="20"/>
      <c r="V488" s="20"/>
      <c r="W488" s="19"/>
      <c r="X488" s="46"/>
      <c r="Y488" s="20"/>
      <c r="Z488" s="20"/>
      <c r="AA488" s="20" t="s">
        <v>68</v>
      </c>
      <c r="AB488" s="20" t="str">
        <f>IF(ISBLANK(S488),"是","否")</f>
        <v>否</v>
      </c>
      <c r="AC488" s="20" t="s">
        <v>76</v>
      </c>
      <c r="AD488" s="24">
        <v>194</v>
      </c>
      <c r="AE488" s="25" t="s">
        <v>2358</v>
      </c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</row>
    <row r="489" ht="91.30827067669172" customHeight="1" spans="1:57" x14ac:dyDescent="0.25">
      <c r="A489" s="20" t="s">
        <v>1663</v>
      </c>
      <c r="B489" s="19" t="s">
        <v>316</v>
      </c>
      <c r="C489" s="20" t="s">
        <v>57</v>
      </c>
      <c r="D489" s="21" t="s">
        <v>2332</v>
      </c>
      <c r="E489" s="22" t="s">
        <v>2333</v>
      </c>
      <c r="F489" s="21" t="s">
        <v>2361</v>
      </c>
      <c r="G489" s="23" t="s">
        <v>2361</v>
      </c>
      <c r="H489" s="20" t="str">
        <f>SUBSTITUTE(SUBSTITUTE(SUBSTITUTE(S489,"/@","_"),"/cac:","_"),"/cbc:","_")</f>
        <v>Invoice_AccountingSupplierParty_Party_PostalAddress_AddressLine_Line</v>
      </c>
      <c r="I489" s="20" t="str">
        <f>SUBSTITUTE(SUBSTITUTE(SUBSTITUTE(T489,"/@","_"),"/cac:","_"),"/cbc:","_")</f>
        <v>“卖方地址（可能为完整地址字符串）”与AddressLine.Line（非结构化地址行）更贴合；卖方=AccountingSupplierParty→Party→PostalAddress</v>
      </c>
      <c r="J489" s="19"/>
      <c r="K489" s="19" t="s">
        <v>1997</v>
      </c>
      <c r="L489" s="24"/>
      <c r="M489" s="25" t="s">
        <v>927</v>
      </c>
      <c r="N489" s="20" t="s">
        <v>3013</v>
      </c>
      <c r="O489" s="20" t="s">
        <v>165</v>
      </c>
      <c r="P489" s="20"/>
      <c r="Q489" s="26" t="str">
        <f>IF(S489="","",LEN(S489)-LEN(SUBSTITUTE(S489,"/",""))+IF(ISNUMBER(SEARCH("@",S489)),0,1))</f>
        <v>6</v>
      </c>
      <c r="R489" s="26"/>
      <c r="S489" s="19" t="s">
        <v>326</v>
      </c>
      <c r="T489" s="19" t="s">
        <v>2363</v>
      </c>
      <c r="U489" s="20"/>
      <c r="V489" s="20"/>
      <c r="W489" s="19" t="s">
        <v>327</v>
      </c>
      <c r="X489" s="46"/>
      <c r="Y489" s="20"/>
      <c r="Z489" s="20"/>
      <c r="AA489" s="20" t="s">
        <v>68</v>
      </c>
      <c r="AB489" s="20" t="str">
        <f>IF(ISBLANK(S489),"是","否")</f>
        <v>否</v>
      </c>
      <c r="AC489" s="20" t="s">
        <v>76</v>
      </c>
      <c r="AD489" s="24">
        <v>195</v>
      </c>
      <c r="AE489" s="25" t="s">
        <v>2361</v>
      </c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</row>
    <row r="490" ht="111.8796992481203" customHeight="1" spans="1:57" x14ac:dyDescent="0.25">
      <c r="A490" s="20" t="s">
        <v>1663</v>
      </c>
      <c r="B490" s="19" t="s">
        <v>344</v>
      </c>
      <c r="C490" s="20" t="s">
        <v>57</v>
      </c>
      <c r="D490" s="21" t="s">
        <v>2332</v>
      </c>
      <c r="E490" s="22" t="s">
        <v>2333</v>
      </c>
      <c r="F490" s="21" t="s">
        <v>2364</v>
      </c>
      <c r="G490" s="23" t="s">
        <v>2364</v>
      </c>
      <c r="H490" s="20" t="str">
        <f>SUBSTITUTE(SUBSTITUTE(SUBSTITUTE(S490,"/@","_"),"/cac:","_"),"/cbc:","_")</f>
        <v>Invoice_AccountingSupplierParty_Party_PartyTaxScheme_CompanyID</v>
      </c>
      <c r="I490" s="20" t="str">
        <f>SUBSTITUTE(SUBSTITUTE(SUBSTITUTE(T490,"/@","_"),"/cac:","_"),"/cbc:","_")</f>
        <v>“卖方识别号（纳税人识别号等税务识别）”与PartyTaxScheme.CompanyID（税务目的由税务机关赋予/认可的识别号）一致；卖方Party下存在PartyTaxScheme链路</v>
      </c>
      <c r="J490" s="19" t="s">
        <v>357</v>
      </c>
      <c r="K490" s="19" t="s">
        <v>2366</v>
      </c>
      <c r="L490" s="24"/>
      <c r="M490" s="25" t="s">
        <v>909</v>
      </c>
      <c r="N490" s="20" t="s">
        <v>3013</v>
      </c>
      <c r="O490" s="20" t="s">
        <v>64</v>
      </c>
      <c r="P490" s="20"/>
      <c r="Q490" s="26" t="str">
        <f>IF(S490="","",LEN(S490)-LEN(SUBSTITUTE(S490,"/",""))+IF(ISNUMBER(SEARCH("@",S490)),0,1))</f>
        <v>5</v>
      </c>
      <c r="R490" s="26"/>
      <c r="S490" s="19" t="s">
        <v>359</v>
      </c>
      <c r="T490" s="19" t="s">
        <v>2367</v>
      </c>
      <c r="U490" s="20"/>
      <c r="V490" s="20"/>
      <c r="W490" s="28">
        <v>3556625</v>
      </c>
      <c r="X490" s="46"/>
      <c r="Y490" s="20"/>
      <c r="Z490" s="20"/>
      <c r="AA490" s="20" t="s">
        <v>68</v>
      </c>
      <c r="AB490" s="20" t="str">
        <f>IF(ISBLANK(S490),"是","否")</f>
        <v>否</v>
      </c>
      <c r="AC490" s="20" t="s">
        <v>76</v>
      </c>
      <c r="AD490" s="24">
        <v>196</v>
      </c>
      <c r="AE490" s="25" t="s">
        <v>2364</v>
      </c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</row>
    <row r="491" ht="81.02255639097744" customHeight="1" spans="1:57" x14ac:dyDescent="0.25">
      <c r="A491" s="20" t="s">
        <v>1663</v>
      </c>
      <c r="B491" s="19" t="s">
        <v>175</v>
      </c>
      <c r="C491" s="20" t="s">
        <v>57</v>
      </c>
      <c r="D491" s="21" t="s">
        <v>2332</v>
      </c>
      <c r="E491" s="22" t="s">
        <v>2333</v>
      </c>
      <c r="F491" s="21" t="s">
        <v>2368</v>
      </c>
      <c r="G491" s="23" t="s">
        <v>2368</v>
      </c>
      <c r="H491" s="20" t="str">
        <f>SUBSTITUTE(SUBSTITUTE(SUBSTITUTE(S491,"/@","_"),"/cac:","_"),"/cbc:","_")</f>
        <v>Invoice_AccountingSupplierParty_SellerContact_Telephone</v>
      </c>
      <c r="I491" s="20" t="str">
        <f>SUBSTITUTE(SUBSTITUTE(SUBSTITUTE(T491,"/@","_"),"/cac:","_"),"/cbc:","_")</f>
        <v>上下文用 SupplierParty 的 SellerContact（“sales contact”）落位为卖方销售联系人电话，再取 Contact.Telephone。</v>
      </c>
      <c r="J491" s="19"/>
      <c r="K491" s="19" t="s">
        <v>2370</v>
      </c>
      <c r="L491" s="24"/>
      <c r="M491" s="25" t="s">
        <v>927</v>
      </c>
      <c r="N491" s="20" t="s">
        <v>3013</v>
      </c>
      <c r="O491" s="20" t="s">
        <v>64</v>
      </c>
      <c r="P491" s="20"/>
      <c r="Q491" s="26" t="str">
        <f>IF(S491="","",LEN(S491)-LEN(SUBSTITUTE(S491,"/",""))+IF(ISNUMBER(SEARCH("@",S491)),0,1))</f>
        <v>4</v>
      </c>
      <c r="R491" s="26"/>
      <c r="S491" s="19" t="s">
        <v>2371</v>
      </c>
      <c r="T491" s="19" t="s">
        <v>2372</v>
      </c>
      <c r="U491" s="20"/>
      <c r="V491" s="20"/>
      <c r="W491" s="19"/>
      <c r="X491" s="46"/>
      <c r="Y491" s="20"/>
      <c r="Z491" s="20"/>
      <c r="AA491" s="20" t="s">
        <v>68</v>
      </c>
      <c r="AB491" s="20" t="str">
        <f>IF(ISBLANK(S491),"是","否")</f>
        <v>否</v>
      </c>
      <c r="AC491" s="20" t="s">
        <v>76</v>
      </c>
      <c r="AD491" s="24">
        <v>197</v>
      </c>
      <c r="AE491" s="25" t="s">
        <v>2368</v>
      </c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</row>
    <row r="492" ht="81.02255639097744" customHeight="1" spans="1:57" x14ac:dyDescent="0.25">
      <c r="A492" s="20" t="s">
        <v>1663</v>
      </c>
      <c r="B492" s="19" t="s">
        <v>188</v>
      </c>
      <c r="C492" s="20" t="s">
        <v>57</v>
      </c>
      <c r="D492" s="21" t="s">
        <v>2332</v>
      </c>
      <c r="E492" s="22" t="s">
        <v>2333</v>
      </c>
      <c r="F492" s="21" t="s">
        <v>2373</v>
      </c>
      <c r="G492" s="23" t="s">
        <v>2373</v>
      </c>
      <c r="H492" s="20" t="str">
        <f>SUBSTITUTE(SUBSTITUTE(SUBSTITUTE(S492,"/@","_"),"/cac:","_"),"/cbc:","_")</f>
        <v>Invoice_AccountingSupplierParty_Party_PartyName_Name</v>
      </c>
      <c r="I492" s="20" t="str">
        <f>SUBSTITUTE(SUBSTITUTE(SUBSTITUTE(T492,"/@","_"),"/cac:","_"),"/cbc:","_")</f>
        <v>语义为“主体名称”，与“卖方名称（企业/个人名称）”一致；上下文为 AccountingSupplierParty → Party → PartyName。</v>
      </c>
      <c r="J492" s="19"/>
      <c r="K492" s="19" t="s">
        <v>2375</v>
      </c>
      <c r="L492" s="20"/>
      <c r="M492" s="25" t="s">
        <v>927</v>
      </c>
      <c r="N492" s="20" t="s">
        <v>3013</v>
      </c>
      <c r="O492" s="20" t="s">
        <v>165</v>
      </c>
      <c r="P492" s="20"/>
      <c r="Q492" s="26" t="str">
        <f>IF(S492="","",LEN(S492)-LEN(SUBSTITUTE(S492,"/",""))+IF(ISNUMBER(SEARCH("@",S492)),0,1))</f>
        <v>5</v>
      </c>
      <c r="R492" s="26"/>
      <c r="S492" s="19" t="s">
        <v>276</v>
      </c>
      <c r="T492" s="19" t="s">
        <v>2376</v>
      </c>
      <c r="U492" s="20"/>
      <c r="V492" s="20"/>
      <c r="W492" s="19" t="s">
        <v>194</v>
      </c>
      <c r="X492" s="46"/>
      <c r="Y492" s="20"/>
      <c r="Z492" s="20"/>
      <c r="AA492" s="20" t="s">
        <v>68</v>
      </c>
      <c r="AB492" s="20" t="str">
        <f>IF(ISBLANK(S492),"是","否")</f>
        <v>否</v>
      </c>
      <c r="AC492" s="20" t="s">
        <v>76</v>
      </c>
      <c r="AD492" s="24">
        <v>198</v>
      </c>
      <c r="AE492" s="25" t="s">
        <v>2373</v>
      </c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</row>
    <row r="493" ht="111.8796992481203" customHeight="1" spans="1:57" x14ac:dyDescent="0.25">
      <c r="A493" s="20" t="s">
        <v>1663</v>
      </c>
      <c r="B493" s="19" t="s">
        <v>139</v>
      </c>
      <c r="C493" s="20" t="s">
        <v>57</v>
      </c>
      <c r="D493" s="21" t="s">
        <v>2332</v>
      </c>
      <c r="E493" s="22" t="s">
        <v>2333</v>
      </c>
      <c r="F493" s="21" t="s">
        <v>2377</v>
      </c>
      <c r="G493" s="23" t="s">
        <v>2377</v>
      </c>
      <c r="H493" s="20" t="str">
        <f>SUBSTITUTE(SUBSTITUTE(SUBSTITUTE(S493,"/@","_"),"/cac:","_"),"/cbc:","_")</f>
        <v>Invoice_AccountingSupplierParty_Party_Person_IdentityDocumentReference_ID</v>
      </c>
      <c r="I493" s="20" t="str">
        <f>SUBSTITUTE(SUBSTITUTE(SUBSTITUTE(T493,"/@","_"),"/cac:","_"),"/cbc:","_")</f>
        <v>Person 下有 IdentityDocumentReference（“document used for identification”），用其 DocumentReference.ID 表达“证件号码”最贴近“身份证明文件编号”。</v>
      </c>
      <c r="J493" s="19"/>
      <c r="K493" s="19" t="s">
        <v>1993</v>
      </c>
      <c r="L493" s="20"/>
      <c r="M493" s="25" t="s">
        <v>909</v>
      </c>
      <c r="N493" s="20" t="s">
        <v>3013</v>
      </c>
      <c r="O493" s="20" t="s">
        <v>165</v>
      </c>
      <c r="P493" s="20"/>
      <c r="Q493" s="26" t="str">
        <f>IF(S493="","",LEN(S493)-LEN(SUBSTITUTE(S493,"/",""))+IF(ISNUMBER(SEARCH("@",S493)),0,1))</f>
        <v>6</v>
      </c>
      <c r="R493" s="26"/>
      <c r="S493" s="19" t="s">
        <v>2346</v>
      </c>
      <c r="T493" s="19" t="s">
        <v>2378</v>
      </c>
      <c r="U493" s="20"/>
      <c r="V493" s="20"/>
      <c r="W493" s="19" t="s">
        <v>2379</v>
      </c>
      <c r="X493" s="46"/>
      <c r="Y493" s="20"/>
      <c r="Z493" s="20"/>
      <c r="AA493" s="20" t="s">
        <v>68</v>
      </c>
      <c r="AB493" s="20" t="str">
        <f>IF(ISBLANK(S493),"是","否")</f>
        <v>否</v>
      </c>
      <c r="AC493" s="20" t="s">
        <v>76</v>
      </c>
      <c r="AD493" s="24">
        <v>199</v>
      </c>
      <c r="AE493" s="25" t="s">
        <v>2377</v>
      </c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</row>
    <row r="494" ht="91.30827067669172" customHeight="1" spans="1:57" x14ac:dyDescent="0.25">
      <c r="A494" s="20" t="s">
        <v>1663</v>
      </c>
      <c r="B494" s="19" t="s">
        <v>139</v>
      </c>
      <c r="C494" s="20" t="s">
        <v>57</v>
      </c>
      <c r="D494" s="21" t="s">
        <v>2332</v>
      </c>
      <c r="E494" s="22" t="s">
        <v>2333</v>
      </c>
      <c r="F494" s="21" t="s">
        <v>2380</v>
      </c>
      <c r="G494" s="23" t="s">
        <v>2380</v>
      </c>
      <c r="H494" s="20" t="str">
        <f>SUBSTITUTE(SUBSTITUTE(SUBSTITUTE(S494,"/@","_"),"/cac:","_"),"/cbc:","_")</f>
        <v>Invoice_AccountingSupplierParty_Party_Person_IdentityDocumentReference_DocumentTypeCode</v>
      </c>
      <c r="I494" s="20" t="str">
        <f>SUBSTITUTE(SUBSTITUTE(SUBSTITUTE(T494,"/@","_"),"/cac:","_"),"/cbc:","_")</f>
        <v>与“证件类型代码（身份证/护照等）”语义一致：在身份证明引用（IdentityDocumentReference）下用 DocumentTypeCode 表达类型。</v>
      </c>
      <c r="J494" s="19"/>
      <c r="K494" s="19" t="s">
        <v>2302</v>
      </c>
      <c r="L494" s="24"/>
      <c r="M494" s="25" t="s">
        <v>85</v>
      </c>
      <c r="N494" s="20" t="s">
        <v>3013</v>
      </c>
      <c r="O494" s="20" t="s">
        <v>64</v>
      </c>
      <c r="P494" s="20"/>
      <c r="Q494" s="26" t="str">
        <f>IF(S494="","",LEN(S494)-LEN(SUBSTITUTE(S494,"/",""))+IF(ISNUMBER(SEARCH("@",S494)),0,1))</f>
        <v>6</v>
      </c>
      <c r="R494" s="26"/>
      <c r="S494" s="19" t="s">
        <v>2351</v>
      </c>
      <c r="T494" s="19" t="s">
        <v>2381</v>
      </c>
      <c r="U494" s="20"/>
      <c r="V494" s="20"/>
      <c r="W494" s="19" t="s">
        <v>2382</v>
      </c>
      <c r="X494" s="46"/>
      <c r="Y494" s="20"/>
      <c r="Z494" s="20"/>
      <c r="AA494" s="20" t="s">
        <v>68</v>
      </c>
      <c r="AB494" s="20" t="str">
        <f>IF(ISBLANK(S494),"是","否")</f>
        <v>否</v>
      </c>
      <c r="AC494" s="20" t="s">
        <v>76</v>
      </c>
      <c r="AD494" s="24">
        <v>200</v>
      </c>
      <c r="AE494" s="25" t="s">
        <v>2380</v>
      </c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</row>
    <row r="495" ht="39.879699248120296" customHeight="1" spans="1:57" x14ac:dyDescent="0.25">
      <c r="A495" s="20" t="s">
        <v>1663</v>
      </c>
      <c r="B495" s="19" t="s">
        <v>402</v>
      </c>
      <c r="C495" s="20" t="s">
        <v>57</v>
      </c>
      <c r="D495" s="21" t="s">
        <v>2332</v>
      </c>
      <c r="E495" s="22" t="s">
        <v>2333</v>
      </c>
      <c r="F495" s="21" t="s">
        <v>2383</v>
      </c>
      <c r="G495" s="23" t="s">
        <v>2383</v>
      </c>
      <c r="H495" s="20" t="str">
        <f>SUBSTITUTE(SUBSTITUTE(SUBSTITUTE(S495,"/@","_"),"/cac:","_"),"/cbc:","_")</f>
        <v>Invoice_AccountingSupplierParty_Party_Person_NationalityID</v>
      </c>
      <c r="I495" s="20" t="str">
        <f>SUBSTITUTE(SUBSTITUTE(SUBSTITUTE(T495,"/@","_"),"/cac:","_"),"/cbc:","_")</f>
        <v>语义直接命中“国籍标识符”，无需扩展。</v>
      </c>
      <c r="J495" s="19"/>
      <c r="K495" s="19" t="s">
        <v>2384</v>
      </c>
      <c r="L495" s="24"/>
      <c r="M495" s="25" t="s">
        <v>2275</v>
      </c>
      <c r="N495" s="20" t="s">
        <v>3013</v>
      </c>
      <c r="O495" s="20" t="s">
        <v>64</v>
      </c>
      <c r="P495" s="20"/>
      <c r="Q495" s="26" t="str">
        <f>IF(S495="","",LEN(S495)-LEN(SUBSTITUTE(S495,"/",""))+IF(ISNUMBER(SEARCH("@",S495)),0,1))</f>
        <v>5</v>
      </c>
      <c r="R495" s="26"/>
      <c r="S495" s="19" t="s">
        <v>2356</v>
      </c>
      <c r="T495" s="19" t="s">
        <v>2385</v>
      </c>
      <c r="U495" s="20"/>
      <c r="V495" s="20"/>
      <c r="W495" s="19"/>
      <c r="X495" s="46"/>
      <c r="Y495" s="20"/>
      <c r="Z495" s="20"/>
      <c r="AA495" s="20" t="s">
        <v>68</v>
      </c>
      <c r="AB495" s="20" t="str">
        <f>IF(ISBLANK(S495),"是","否")</f>
        <v>否</v>
      </c>
      <c r="AC495" s="20" t="s">
        <v>76</v>
      </c>
      <c r="AD495" s="24">
        <v>201</v>
      </c>
      <c r="AE495" s="25" t="s">
        <v>2383</v>
      </c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</row>
    <row r="496" ht="60.45112781954887" customHeight="1" spans="1:57" x14ac:dyDescent="0.25">
      <c r="A496" s="20" t="s">
        <v>1663</v>
      </c>
      <c r="B496" s="19" t="s">
        <v>41</v>
      </c>
      <c r="C496" s="20" t="s">
        <v>57</v>
      </c>
      <c r="D496" s="21" t="s">
        <v>2332</v>
      </c>
      <c r="E496" s="22" t="s">
        <v>2333</v>
      </c>
      <c r="F496" s="21" t="s">
        <v>2007</v>
      </c>
      <c r="G496" s="23" t="s">
        <v>2007</v>
      </c>
      <c r="H496" s="20" t="str">
        <f>SUBSTITUTE(SUBSTITUTE(SUBSTITUTE(S496,"/@","_"),"/cac:","_"),"/cbc:","_")</f>
        <v>Invoice_UUID</v>
      </c>
      <c r="I496" s="20" t="str">
        <f>SUBSTITUTE(SUBSTITUTE(SUBSTITUTE(T496,"/@","_"),"/cac:","_"),"/cbc:","_")</f>
        <v>若“发票流水号”指系统侧唯一流水/UUID，UBL 的 UUID 语义最贴近“实例唯一标识”。</v>
      </c>
      <c r="J496" s="19"/>
      <c r="K496" s="19" t="s">
        <v>2008</v>
      </c>
      <c r="L496" s="24"/>
      <c r="M496" s="25" t="s">
        <v>72</v>
      </c>
      <c r="N496" s="20" t="s">
        <v>3013</v>
      </c>
      <c r="O496" s="20" t="s">
        <v>64</v>
      </c>
      <c r="P496" s="20"/>
      <c r="Q496" s="26" t="str">
        <f>IF(S496="","",LEN(S496)-LEN(SUBSTITUTE(S496,"/",""))+IF(ISNUMBER(SEARCH("@",S496)),0,1))</f>
        <v>2</v>
      </c>
      <c r="R496" s="26"/>
      <c r="S496" s="19" t="s">
        <v>65</v>
      </c>
      <c r="T496" s="19" t="s">
        <v>2386</v>
      </c>
      <c r="U496" s="20"/>
      <c r="V496" s="20"/>
      <c r="W496" s="19"/>
      <c r="X496" s="46"/>
      <c r="Y496" s="20"/>
      <c r="Z496" s="20"/>
      <c r="AA496" s="20" t="s">
        <v>68</v>
      </c>
      <c r="AB496" s="20" t="str">
        <f>IF(ISBLANK(S496),"是","否")</f>
        <v>否</v>
      </c>
      <c r="AC496" s="20" t="s">
        <v>76</v>
      </c>
      <c r="AD496" s="24">
        <v>202</v>
      </c>
      <c r="AE496" s="25" t="s">
        <v>2007</v>
      </c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</row>
    <row r="497" ht="101.59398496240601" customHeight="1" spans="1:57" x14ac:dyDescent="0.25">
      <c r="A497" s="20" t="s">
        <v>1663</v>
      </c>
      <c r="B497" s="27"/>
      <c r="C497" s="20" t="s">
        <v>57</v>
      </c>
      <c r="D497" s="21" t="s">
        <v>2332</v>
      </c>
      <c r="E497" s="22" t="s">
        <v>2333</v>
      </c>
      <c r="F497" s="21" t="s">
        <v>2387</v>
      </c>
      <c r="G497" s="23" t="s">
        <v>2387</v>
      </c>
      <c r="H497" s="20" t="str">
        <f>SUBSTITUTE(SUBSTITUTE(SUBSTITUTE(S497,"/@","_"),"/cac:","_"),"/cbc:","_")</f>
        <v/>
      </c>
      <c r="I497" s="20" t="str">
        <f>SUBSTITUTE(SUBSTITUTE(SUBSTITUTE(T497,"/@","_"),"/cac:","_"),"/cbc:","_")</f>
        <v>未在已检查的 Invoice/CommonLibrary 相关表中发现与“车辆管理机构（转入地车辆管）名称”语义一致的标准字段行（Invoice 侧更多是贸易/交付/税务通用模型）。</v>
      </c>
      <c r="J497" s="19"/>
      <c r="K497" s="19"/>
      <c r="L497" s="24"/>
      <c r="M497" s="25" t="s">
        <v>927</v>
      </c>
      <c r="N497" s="20" t="s">
        <v>3013</v>
      </c>
      <c r="O497" s="20"/>
      <c r="P497" s="20"/>
      <c r="Q497" s="26" t="str">
        <f>IF(S497="","",LEN(S497)-LEN(SUBSTITUTE(S497,"/",""))+IF(ISNUMBER(SEARCH("@",S497)),0,1))</f>
        <v/>
      </c>
      <c r="R497" s="26"/>
      <c r="S497" s="19"/>
      <c r="T497" s="19" t="s">
        <v>2389</v>
      </c>
      <c r="U497" s="20"/>
      <c r="V497" s="20"/>
      <c r="W497" s="19"/>
      <c r="X497" s="46"/>
      <c r="Y497" s="20"/>
      <c r="Z497" s="20"/>
      <c r="AA497" s="20"/>
      <c r="AB497" s="20" t="str">
        <f>IF(ISBLANK(S497),"是","否")</f>
        <v>是</v>
      </c>
      <c r="AC497" s="20" t="s">
        <v>76</v>
      </c>
      <c r="AD497" s="24">
        <v>203</v>
      </c>
      <c r="AE497" s="25" t="s">
        <v>2387</v>
      </c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</row>
    <row r="498" ht="70.73684210526315" customHeight="1" spans="1:57" x14ac:dyDescent="0.25">
      <c r="A498" s="20" t="s">
        <v>1663</v>
      </c>
      <c r="B498" s="19" t="s">
        <v>230</v>
      </c>
      <c r="C498" s="20" t="s">
        <v>57</v>
      </c>
      <c r="D498" s="21" t="s">
        <v>2332</v>
      </c>
      <c r="E498" s="22" t="s">
        <v>2333</v>
      </c>
      <c r="F498" s="21" t="s">
        <v>2390</v>
      </c>
      <c r="G498" s="23" t="s">
        <v>2390</v>
      </c>
      <c r="H498" s="20" t="str">
        <f>SUBSTITUTE(SUBSTITUTE(SUBSTITUTE(S498,"/@","_"),"/cac:","_"),"/cbc:","_")</f>
        <v>Invoice_AccountingSupplierParty_Party_IndustryClassificationCode</v>
      </c>
      <c r="I498" s="20" t="str">
        <f>SUBSTITUTE(SUBSTITUTE(SUBSTITUTE(T498,"/@","_"),"/cac:","_"),"/cbc:","_")</f>
        <v>用于表达“企业性质/经营类别”最贴近“主体的经济活动分类代码”；落位到发票参与方（供应方）主体信息域。</v>
      </c>
      <c r="J498" s="19"/>
      <c r="K498" s="19" t="s">
        <v>2392</v>
      </c>
      <c r="L498" s="24"/>
      <c r="M498" s="25" t="s">
        <v>1939</v>
      </c>
      <c r="N498" s="20" t="s">
        <v>3013</v>
      </c>
      <c r="O498" s="20" t="s">
        <v>64</v>
      </c>
      <c r="P498" s="20"/>
      <c r="Q498" s="26" t="str">
        <f>IF(S498="","",LEN(S498)-LEN(SUBSTITUTE(S498,"/",""))+IF(ISNUMBER(SEARCH("@",S498)),0,1))</f>
        <v>4</v>
      </c>
      <c r="R498" s="26"/>
      <c r="S498" s="19" t="s">
        <v>249</v>
      </c>
      <c r="T498" s="19" t="s">
        <v>2393</v>
      </c>
      <c r="U498" s="20"/>
      <c r="V498" s="20"/>
      <c r="W498" s="19" t="s">
        <v>2394</v>
      </c>
      <c r="X498" s="46"/>
      <c r="Y498" s="20"/>
      <c r="Z498" s="20"/>
      <c r="AA498" s="20" t="s">
        <v>68</v>
      </c>
      <c r="AB498" s="20" t="str">
        <f>IF(ISBLANK(S498),"是","否")</f>
        <v>否</v>
      </c>
      <c r="AC498" s="20" t="s">
        <v>76</v>
      </c>
      <c r="AD498" s="24">
        <v>204</v>
      </c>
      <c r="AE498" s="25" t="s">
        <v>2390</v>
      </c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</row>
    <row r="499" ht="142.73684210526315" customHeight="1" spans="1:57" x14ac:dyDescent="0.25">
      <c r="A499" s="20" t="s">
        <v>1663</v>
      </c>
      <c r="B499" s="19" t="s">
        <v>139</v>
      </c>
      <c r="C499" s="20" t="s">
        <v>57</v>
      </c>
      <c r="D499" s="21" t="s">
        <v>2395</v>
      </c>
      <c r="E499" s="22" t="s">
        <v>2396</v>
      </c>
      <c r="F499" s="21" t="s">
        <v>2397</v>
      </c>
      <c r="G499" s="23" t="s">
        <v>2397</v>
      </c>
      <c r="H499" s="20" t="str">
        <f>SUBSTITUTE(SUBSTITUTE(SUBSTITUTE(S499,"/@","_"),"/cac:","_"),"/cbc:","_")</f>
        <v>Invoice_AccountingSupplierParty_Party_AgentParty_Person_IdentityDocumentReference_ID</v>
      </c>
      <c r="I499" s="20" t="str">
        <f>SUBSTITUTE(SUBSTITUTE(SUBSTITUTE(T499,"/@","_"),"/cac:","_"),"/cbc:","_")</f>
        <v>“证件号码”最贴近“身份识别文件的标识”；通过 Person 的 IdentityDocumentReference（可精确识别人的证件）链路进入 DocumentReference/ID；“经办人”语义更像 Party 的 AgentParty 下的 Person。</v>
      </c>
      <c r="J499" s="19"/>
      <c r="K499" s="19" t="s">
        <v>1993</v>
      </c>
      <c r="L499" s="25"/>
      <c r="M499" s="25" t="s">
        <v>2024</v>
      </c>
      <c r="N499" s="20" t="s">
        <v>3013</v>
      </c>
      <c r="O499" s="20" t="s">
        <v>165</v>
      </c>
      <c r="P499" s="20"/>
      <c r="Q499" s="26" t="str">
        <f>IF(S499="","",LEN(S499)-LEN(SUBSTITUTE(S499,"/",""))+IF(ISNUMBER(SEARCH("@",S499)),0,1))</f>
        <v>7</v>
      </c>
      <c r="R499" s="26"/>
      <c r="S499" s="19" t="s">
        <v>2399</v>
      </c>
      <c r="T499" s="19" t="s">
        <v>2400</v>
      </c>
      <c r="U499" s="20"/>
      <c r="V499" s="25"/>
      <c r="W499" s="19" t="s">
        <v>138</v>
      </c>
      <c r="X499" s="46"/>
      <c r="Y499" s="20"/>
      <c r="Z499" s="20"/>
      <c r="AA499" s="20" t="s">
        <v>68</v>
      </c>
      <c r="AB499" s="20" t="str">
        <f>IF(ISBLANK(S499),"是","否")</f>
        <v>否</v>
      </c>
      <c r="AC499" s="20" t="s">
        <v>76</v>
      </c>
      <c r="AD499" s="24">
        <v>205</v>
      </c>
      <c r="AE499" s="25" t="s">
        <v>2397</v>
      </c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</row>
    <row r="500" ht="101.59398496240601" customHeight="1" spans="1:57" x14ac:dyDescent="0.25">
      <c r="A500" s="20" t="s">
        <v>1663</v>
      </c>
      <c r="B500" s="19" t="s">
        <v>139</v>
      </c>
      <c r="C500" s="20" t="s">
        <v>57</v>
      </c>
      <c r="D500" s="21" t="s">
        <v>2395</v>
      </c>
      <c r="E500" s="22" t="s">
        <v>2396</v>
      </c>
      <c r="F500" s="21" t="s">
        <v>2401</v>
      </c>
      <c r="G500" s="23" t="s">
        <v>2401</v>
      </c>
      <c r="H500" s="20" t="str">
        <f>SUBSTITUTE(SUBSTITUTE(SUBSTITUTE(S500,"/@","_"),"/cac:","_"),"/cbc:","_")</f>
        <v>Invoice_AccountingSupplierParty_Party_AgentParty_Person_IdentityDocumentReference_DocumentTypeCode</v>
      </c>
      <c r="I500" s="20" t="str">
        <f>SUBSTITUTE(SUBSTITUTE(SUBSTITUTE(T500,"/@","_"),"/cac:","_"),"/cbc:","_")</f>
        <v>“证件类型”与“被引用证件文档的类型代码”语义一致；同样通过 Person/IdentityDocumentReference 链路表达；“经办人”优先落位 AgentParty 下的 Person。</v>
      </c>
      <c r="J500" s="19"/>
      <c r="K500" s="19" t="s">
        <v>2302</v>
      </c>
      <c r="L500" s="24"/>
      <c r="M500" s="25" t="s">
        <v>2403</v>
      </c>
      <c r="N500" s="20" t="s">
        <v>3013</v>
      </c>
      <c r="O500" s="20" t="s">
        <v>64</v>
      </c>
      <c r="P500" s="20"/>
      <c r="Q500" s="26" t="str">
        <f>IF(S500="","",LEN(S500)-LEN(SUBSTITUTE(S500,"/",""))+IF(ISNUMBER(SEARCH("@",S500)),0,1))</f>
        <v>7</v>
      </c>
      <c r="R500" s="26"/>
      <c r="S500" s="19" t="s">
        <v>2404</v>
      </c>
      <c r="T500" s="19" t="s">
        <v>2405</v>
      </c>
      <c r="U500" s="20"/>
      <c r="V500" s="20"/>
      <c r="W500" s="19"/>
      <c r="X500" s="46"/>
      <c r="Y500" s="20"/>
      <c r="Z500" s="20"/>
      <c r="AA500" s="20" t="s">
        <v>68</v>
      </c>
      <c r="AB500" s="20" t="str">
        <f>IF(ISBLANK(S500),"是","否")</f>
        <v>否</v>
      </c>
      <c r="AC500" s="20" t="s">
        <v>76</v>
      </c>
      <c r="AD500" s="24">
        <v>206</v>
      </c>
      <c r="AE500" s="25" t="s">
        <v>2401</v>
      </c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</row>
    <row r="501" ht="60.45112781954887" customHeight="1" spans="1:57" x14ac:dyDescent="0.25">
      <c r="A501" s="20" t="s">
        <v>1663</v>
      </c>
      <c r="B501" s="19" t="s">
        <v>402</v>
      </c>
      <c r="C501" s="20" t="s">
        <v>57</v>
      </c>
      <c r="D501" s="21" t="s">
        <v>2395</v>
      </c>
      <c r="E501" s="22" t="s">
        <v>2396</v>
      </c>
      <c r="F501" s="21" t="s">
        <v>2406</v>
      </c>
      <c r="G501" s="23" t="s">
        <v>2406</v>
      </c>
      <c r="H501" s="20" t="str">
        <f>SUBSTITUTE(SUBSTITUTE(SUBSTITUTE(S501,"/@","_"),"/cac:","_"),"/cbc:","_")</f>
        <v>Invoice_AccountingSupplierParty_Party_Person_NationalityID</v>
      </c>
      <c r="I501" s="20" t="str">
        <f>SUBSTITUTE(SUBSTITUTE(SUBSTITUTE(T501,"/@","_"),"/cac:","_"),"/cbc:","_")</f>
        <v>含义直接匹配“国籍(地区)”；供方 Party 的 Person 上有明确 NationalityID。</v>
      </c>
      <c r="J501" s="19"/>
      <c r="K501" s="19" t="s">
        <v>2408</v>
      </c>
      <c r="L501" s="20"/>
      <c r="M501" s="25" t="s">
        <v>2403</v>
      </c>
      <c r="N501" s="20" t="s">
        <v>3013</v>
      </c>
      <c r="O501" s="20" t="s">
        <v>64</v>
      </c>
      <c r="P501" s="20"/>
      <c r="Q501" s="26" t="str">
        <f>IF(S501="","",LEN(S501)-LEN(SUBSTITUTE(S501,"/",""))+IF(ISNUMBER(SEARCH("@",S501)),0,1))</f>
        <v>5</v>
      </c>
      <c r="R501" s="26"/>
      <c r="S501" s="19" t="s">
        <v>2356</v>
      </c>
      <c r="T501" s="19" t="s">
        <v>2409</v>
      </c>
      <c r="U501" s="20"/>
      <c r="V501" s="20"/>
      <c r="W501" s="19"/>
      <c r="X501" s="46"/>
      <c r="Y501" s="20"/>
      <c r="Z501" s="20"/>
      <c r="AA501" s="20" t="s">
        <v>68</v>
      </c>
      <c r="AB501" s="20" t="str">
        <f>IF(ISBLANK(S501),"是","否")</f>
        <v>否</v>
      </c>
      <c r="AC501" s="20" t="s">
        <v>76</v>
      </c>
      <c r="AD501" s="24">
        <v>207</v>
      </c>
      <c r="AE501" s="25" t="s">
        <v>2406</v>
      </c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</row>
    <row r="502" ht="101.59398496240601" customHeight="1" spans="1:57" x14ac:dyDescent="0.25">
      <c r="A502" s="20" t="s">
        <v>1663</v>
      </c>
      <c r="B502" s="19" t="s">
        <v>344</v>
      </c>
      <c r="C502" s="20" t="s">
        <v>57</v>
      </c>
      <c r="D502" s="21" t="s">
        <v>2395</v>
      </c>
      <c r="E502" s="22" t="s">
        <v>2396</v>
      </c>
      <c r="F502" s="21" t="s">
        <v>2410</v>
      </c>
      <c r="G502" s="23" t="s">
        <v>2410</v>
      </c>
      <c r="H502" s="20" t="str">
        <f>SUBSTITUTE(SUBSTITUTE(SUBSTITUTE(S502,"/@","_"),"/cac:","_"),"/cbc:","_")</f>
        <v>Invoice_AccountingSupplierParty_Party_PartyTaxScheme_CompanyID</v>
      </c>
      <c r="I502" s="20" t="str">
        <f>SUBSTITUTE(SUBSTITUTE(SUBSTITUTE(T502,"/@","_"),"/cac:","_"),"/cbc:","_")</f>
        <v>含义最贴近“纳税人识别号（税务机关赋予）”；但该字段在 PartyTaxScheme 上（主体为 Party），等价成立前提：经办人被建模为一个 Party（自然人主体）。</v>
      </c>
      <c r="J502" s="19" t="s">
        <v>357</v>
      </c>
      <c r="K502" s="19" t="s">
        <v>2366</v>
      </c>
      <c r="L502" s="20"/>
      <c r="M502" s="25" t="s">
        <v>164</v>
      </c>
      <c r="N502" s="20" t="s">
        <v>3013</v>
      </c>
      <c r="O502" s="20" t="s">
        <v>64</v>
      </c>
      <c r="P502" s="20"/>
      <c r="Q502" s="26" t="str">
        <f>IF(S502="","",LEN(S502)-LEN(SUBSTITUTE(S502,"/",""))+IF(ISNUMBER(SEARCH("@",S502)),0,1))</f>
        <v>5</v>
      </c>
      <c r="R502" s="26"/>
      <c r="S502" s="19" t="s">
        <v>359</v>
      </c>
      <c r="T502" s="19" t="s">
        <v>2412</v>
      </c>
      <c r="U502" s="20"/>
      <c r="V502" s="20"/>
      <c r="W502" s="28">
        <v>3556625</v>
      </c>
      <c r="X502" s="46"/>
      <c r="Y502" s="20"/>
      <c r="Z502" s="20"/>
      <c r="AA502" s="20" t="s">
        <v>68</v>
      </c>
      <c r="AB502" s="20" t="str">
        <f>IF(ISBLANK(S502),"是","否")</f>
        <v>否</v>
      </c>
      <c r="AC502" s="20" t="s">
        <v>76</v>
      </c>
      <c r="AD502" s="24">
        <v>208</v>
      </c>
      <c r="AE502" s="25" t="s">
        <v>2410</v>
      </c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</row>
    <row r="503" ht="91.30827067669172" customHeight="1" spans="1:57" x14ac:dyDescent="0.25">
      <c r="A503" s="20" t="s">
        <v>1663</v>
      </c>
      <c r="B503" s="19" t="s">
        <v>402</v>
      </c>
      <c r="C503" s="20" t="s">
        <v>57</v>
      </c>
      <c r="D503" s="21" t="s">
        <v>2395</v>
      </c>
      <c r="E503" s="22" t="s">
        <v>2396</v>
      </c>
      <c r="F503" s="21" t="s">
        <v>2413</v>
      </c>
      <c r="G503" s="23" t="s">
        <v>2413</v>
      </c>
      <c r="H503" s="20" t="str">
        <f>SUBSTITUTE(SUBSTITUTE(SUBSTITUTE(S503,"/@","_"),"/cac:","_"),"/cbc:","_")</f>
        <v>Invoice_AccountingSupplierParty_Party_Person_FirstName</v>
      </c>
      <c r="I503" s="20" t="str">
        <f>SUBSTITUTE(SUBSTITUTE(SUBSTITUTE(T503,"/@","_"),"/cac:","_"),"/cbc:","_")</f>
        <v>含义匹配“姓名-名”；将“经办人”落位为 Invoice→AccountingSupplierParty→Party→Person（经办人归属不明，给出供方/购方两套）。</v>
      </c>
      <c r="J503" s="19"/>
      <c r="K503" s="19" t="s">
        <v>2415</v>
      </c>
      <c r="L503" s="24"/>
      <c r="M503" s="25" t="s">
        <v>2416</v>
      </c>
      <c r="N503" s="20" t="s">
        <v>3013</v>
      </c>
      <c r="O503" s="20" t="s">
        <v>64</v>
      </c>
      <c r="P503" s="20"/>
      <c r="Q503" s="26" t="str">
        <f>IF(S503="","",LEN(S503)-LEN(SUBSTITUTE(S503,"/",""))+IF(ISNUMBER(SEARCH("@",S503)),0,1))</f>
        <v>5</v>
      </c>
      <c r="R503" s="26"/>
      <c r="S503" s="19" t="s">
        <v>411</v>
      </c>
      <c r="T503" s="19" t="s">
        <v>2417</v>
      </c>
      <c r="U503" s="20"/>
      <c r="V503" s="20"/>
      <c r="W503" s="19"/>
      <c r="X503" s="46"/>
      <c r="Y503" s="20"/>
      <c r="Z503" s="20"/>
      <c r="AA503" s="20" t="s">
        <v>68</v>
      </c>
      <c r="AB503" s="20" t="str">
        <f>IF(ISBLANK(S503),"是","否")</f>
        <v>否</v>
      </c>
      <c r="AC503" s="20" t="s">
        <v>76</v>
      </c>
      <c r="AD503" s="24">
        <v>209</v>
      </c>
      <c r="AE503" s="25" t="s">
        <v>2413</v>
      </c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</row>
    <row r="504" ht="29.59398496240601" customHeight="1" spans="1:57" x14ac:dyDescent="0.25">
      <c r="A504" s="25" t="s">
        <v>1663</v>
      </c>
      <c r="B504" s="19" t="s">
        <v>41</v>
      </c>
      <c r="C504" s="20" t="s">
        <v>57</v>
      </c>
      <c r="D504" s="41"/>
      <c r="E504" s="22"/>
      <c r="F504" s="21" t="s">
        <v>2418</v>
      </c>
      <c r="G504" s="29" t="s">
        <v>2418</v>
      </c>
      <c r="H504" s="20" t="str">
        <f>SUBSTITUTE(SUBSTITUTE(SUBSTITUTE(S504,"/@","_"),"/cac:","_"),"/cbc:","_")</f>
        <v>Invoice_Delivery</v>
      </c>
      <c r="I504" s="20" t="str">
        <f>SUBSTITUTE(SUBSTITUTE(SUBSTITUTE(T504,"/@","_"),"/cac:","_"),"/cbc:","_")</f>
        <v/>
      </c>
      <c r="J504" s="25" t="s">
        <v>2420</v>
      </c>
      <c r="K504" s="25" t="s">
        <v>2421</v>
      </c>
      <c r="L504" s="25" t="s">
        <v>2422</v>
      </c>
      <c r="M504" s="25" t="s">
        <v>220</v>
      </c>
      <c r="N504" s="27" t="s">
        <v>64</v>
      </c>
      <c r="O504" s="25" t="s">
        <v>49</v>
      </c>
      <c r="P504" s="27" t="s">
        <v>3014</v>
      </c>
      <c r="Q504" s="26" t="str">
        <f>IF(S504="","",LEN(S504)-LEN(SUBSTITUTE(S504,"/",""))+IF(ISNUMBER(SEARCH("@",S504)),0,1))</f>
        <v>2</v>
      </c>
      <c r="R504" s="42" t="s">
        <v>2423</v>
      </c>
      <c r="S504" s="26" t="s">
        <v>2423</v>
      </c>
      <c r="T504" s="20"/>
      <c r="U504" s="20"/>
      <c r="V504" s="20"/>
      <c r="W504" s="25" t="s">
        <v>681</v>
      </c>
      <c r="X504" s="46"/>
      <c r="Y504" s="20"/>
      <c r="Z504" s="20"/>
      <c r="AA504" s="25" t="s">
        <v>222</v>
      </c>
      <c r="AB504" s="20" t="str">
        <f>IF(ISBLANK(S504),"是","否")</f>
        <v>否</v>
      </c>
      <c r="AC504" s="20"/>
      <c r="AD504" s="25"/>
      <c r="AE504" s="25"/>
      <c r="AF504" s="20"/>
      <c r="AG504" s="20"/>
      <c r="AH504" s="20" t="s">
        <v>76</v>
      </c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</row>
    <row r="505" ht="39.879699248120296" customHeight="1" spans="1:57" x14ac:dyDescent="0.25">
      <c r="A505" s="25" t="s">
        <v>1663</v>
      </c>
      <c r="B505" s="19" t="s">
        <v>2418</v>
      </c>
      <c r="C505" s="20" t="s">
        <v>57</v>
      </c>
      <c r="D505" s="21"/>
      <c r="E505" s="22"/>
      <c r="F505" s="21" t="s">
        <v>2424</v>
      </c>
      <c r="G505" s="29" t="s">
        <v>2425</v>
      </c>
      <c r="H505" s="20" t="str">
        <f>SUBSTITUTE(SUBSTITUTE(SUBSTITUTE(S505,"/@","_"),"/cac:","_"),"/cbc:","_")</f>
        <v>Invoice_Delivery_ActualDeliveryDate</v>
      </c>
      <c r="I505" s="20" t="str">
        <f>SUBSTITUTE(SUBSTITUTE(SUBSTITUTE(T505,"/@","_"),"/cac:","_"),"/cbc:","_")</f>
        <v/>
      </c>
      <c r="J505" s="25" t="s">
        <v>2427</v>
      </c>
      <c r="K505" s="25" t="s">
        <v>2428</v>
      </c>
      <c r="L505" s="25" t="s">
        <v>2429</v>
      </c>
      <c r="M505" s="25" t="s">
        <v>1016</v>
      </c>
      <c r="N505" s="27" t="s">
        <v>64</v>
      </c>
      <c r="O505" s="25" t="s">
        <v>64</v>
      </c>
      <c r="P505" s="27" t="s">
        <v>50</v>
      </c>
      <c r="Q505" s="26" t="str">
        <f>IF(S505="","",LEN(S505)-LEN(SUBSTITUTE(S505,"/",""))+IF(ISNUMBER(SEARCH("@",S505)),0,1))</f>
        <v>3</v>
      </c>
      <c r="R505" s="42" t="s">
        <v>2430</v>
      </c>
      <c r="S505" s="26" t="s">
        <v>2430</v>
      </c>
      <c r="T505" s="20"/>
      <c r="U505" s="20"/>
      <c r="V505" s="20"/>
      <c r="W505" s="20" t="s">
        <v>2431</v>
      </c>
      <c r="X505" s="46"/>
      <c r="Y505" s="20"/>
      <c r="Z505" s="20"/>
      <c r="AA505" s="25" t="s">
        <v>68</v>
      </c>
      <c r="AB505" s="20" t="str">
        <f>IF(ISBLANK(S505),"是","否")</f>
        <v>否</v>
      </c>
      <c r="AC505" s="20"/>
      <c r="AD505" s="25"/>
      <c r="AE505" s="25"/>
      <c r="AF505" s="20"/>
      <c r="AG505" s="20"/>
      <c r="AH505" s="20" t="s">
        <v>76</v>
      </c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</row>
    <row r="506" ht="29.59398496240601" customHeight="1" spans="1:57" x14ac:dyDescent="0.25">
      <c r="A506" s="25" t="s">
        <v>1663</v>
      </c>
      <c r="B506" s="19" t="s">
        <v>2418</v>
      </c>
      <c r="C506" s="20" t="s">
        <v>57</v>
      </c>
      <c r="D506" s="21"/>
      <c r="E506" s="22"/>
      <c r="F506" s="21" t="s">
        <v>2432</v>
      </c>
      <c r="G506" s="29" t="s">
        <v>2433</v>
      </c>
      <c r="H506" s="20" t="str">
        <f>SUBSTITUTE(SUBSTITUTE(SUBSTITUTE(S506,"/@","_"),"/cac:","_"),"/cbc:","_")</f>
        <v>Invoice_Delivery_LatestDeliveryDate</v>
      </c>
      <c r="I506" s="20" t="str">
        <f>SUBSTITUTE(SUBSTITUTE(SUBSTITUTE(T506,"/@","_"),"/cac:","_"),"/cbc:","_")</f>
        <v/>
      </c>
      <c r="J506" s="25" t="s">
        <v>2435</v>
      </c>
      <c r="K506" s="25" t="s">
        <v>2436</v>
      </c>
      <c r="L506" s="25" t="s">
        <v>1571</v>
      </c>
      <c r="M506" s="25" t="s">
        <v>1016</v>
      </c>
      <c r="N506" s="27" t="s">
        <v>64</v>
      </c>
      <c r="O506" s="25" t="s">
        <v>64</v>
      </c>
      <c r="P506" s="27" t="s">
        <v>50</v>
      </c>
      <c r="Q506" s="26" t="str">
        <f>IF(S506="","",LEN(S506)-LEN(SUBSTITUTE(S506,"/",""))+IF(ISNUMBER(SEARCH("@",S506)),0,1))</f>
        <v>3</v>
      </c>
      <c r="R506" s="42" t="s">
        <v>2437</v>
      </c>
      <c r="S506" s="26" t="s">
        <v>2437</v>
      </c>
      <c r="T506" s="20"/>
      <c r="U506" s="20"/>
      <c r="V506" s="20"/>
      <c r="W506" s="20" t="s">
        <v>2438</v>
      </c>
      <c r="X506" s="46"/>
      <c r="Y506" s="20"/>
      <c r="Z506" s="20"/>
      <c r="AA506" s="25" t="s">
        <v>68</v>
      </c>
      <c r="AB506" s="20" t="str">
        <f>IF(ISBLANK(S506),"是","否")</f>
        <v>否</v>
      </c>
      <c r="AC506" s="20"/>
      <c r="AD506" s="25"/>
      <c r="AE506" s="25"/>
      <c r="AF506" s="20"/>
      <c r="AG506" s="20"/>
      <c r="AH506" s="20" t="s">
        <v>76</v>
      </c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</row>
    <row r="507" ht="29.59398496240601" customHeight="1" spans="1:57" x14ac:dyDescent="0.25">
      <c r="A507" s="25" t="s">
        <v>1663</v>
      </c>
      <c r="B507" s="19" t="s">
        <v>2439</v>
      </c>
      <c r="C507" s="20" t="s">
        <v>57</v>
      </c>
      <c r="D507" s="21"/>
      <c r="E507" s="22"/>
      <c r="F507" s="21" t="s">
        <v>2440</v>
      </c>
      <c r="G507" s="29" t="s">
        <v>2441</v>
      </c>
      <c r="H507" s="20" t="str">
        <f>SUBSTITUTE(SUBSTITUTE(SUBSTITUTE(S507,"/@","_"),"/cac:","_"),"/cbc:","_")</f>
        <v>Invoice_Delivery_DeliveryLocation_ID</v>
      </c>
      <c r="I507" s="20" t="str">
        <f>SUBSTITUTE(SUBSTITUTE(SUBSTITUTE(T507,"/@","_"),"/cac:","_"),"/cbc:","_")</f>
        <v/>
      </c>
      <c r="J507" s="25" t="s">
        <v>2443</v>
      </c>
      <c r="K507" s="25" t="s">
        <v>2444</v>
      </c>
      <c r="L507" s="25" t="s">
        <v>2445</v>
      </c>
      <c r="M507" s="25" t="s">
        <v>228</v>
      </c>
      <c r="N507" s="27" t="s">
        <v>64</v>
      </c>
      <c r="O507" s="25" t="s">
        <v>64</v>
      </c>
      <c r="P507" s="27" t="s">
        <v>50</v>
      </c>
      <c r="Q507" s="26" t="str">
        <f>IF(S507="","",LEN(S507)-LEN(SUBSTITUTE(S507,"/",""))+IF(ISNUMBER(SEARCH("@",S507)),0,1))</f>
        <v>4</v>
      </c>
      <c r="R507" s="42" t="s">
        <v>2446</v>
      </c>
      <c r="S507" s="26" t="s">
        <v>2446</v>
      </c>
      <c r="T507" s="20"/>
      <c r="U507" s="20"/>
      <c r="V507" s="20"/>
      <c r="W507" s="25">
        <v>5790000000000</v>
      </c>
      <c r="X507" s="46"/>
      <c r="Y507" s="20"/>
      <c r="Z507" s="20"/>
      <c r="AA507" s="25" t="s">
        <v>68</v>
      </c>
      <c r="AB507" s="20" t="str">
        <f>IF(ISBLANK(S507),"是","否")</f>
        <v>否</v>
      </c>
      <c r="AC507" s="20"/>
      <c r="AD507" s="25"/>
      <c r="AE507" s="25"/>
      <c r="AF507" s="20"/>
      <c r="AG507" s="20"/>
      <c r="AH507" s="20" t="s">
        <v>76</v>
      </c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</row>
    <row r="508" ht="29.59398496240601" customHeight="1" spans="1:57" x14ac:dyDescent="0.25">
      <c r="A508" s="25" t="s">
        <v>1663</v>
      </c>
      <c r="B508" s="19" t="s">
        <v>2439</v>
      </c>
      <c r="C508" s="20" t="s">
        <v>57</v>
      </c>
      <c r="D508" s="21"/>
      <c r="E508" s="22"/>
      <c r="F508" s="21" t="s">
        <v>2447</v>
      </c>
      <c r="G508" s="29" t="s">
        <v>2448</v>
      </c>
      <c r="H508" s="20" t="str">
        <f>SUBSTITUTE(SUBSTITUTE(SUBSTITUTE(S508,"/@","_"),"/cac:","_"),"/cbc:","_")</f>
        <v>Invoice_Delivery_DeliveryLocation_ID_schemeID</v>
      </c>
      <c r="I508" s="20" t="str">
        <f>SUBSTITUTE(SUBSTITUTE(SUBSTITUTE(T508,"/@","_"),"/cac:","_"),"/cbc:","_")</f>
        <v/>
      </c>
      <c r="J508" s="25" t="s">
        <v>2450</v>
      </c>
      <c r="K508" s="25" t="s">
        <v>2451</v>
      </c>
      <c r="L508" s="25" t="s">
        <v>2452</v>
      </c>
      <c r="M508" s="25" t="s">
        <v>1661</v>
      </c>
      <c r="N508" s="27" t="s">
        <v>64</v>
      </c>
      <c r="O508" s="25" t="s">
        <v>64</v>
      </c>
      <c r="P508" s="27" t="s">
        <v>50</v>
      </c>
      <c r="Q508" s="26" t="str">
        <f>IF(S508="","",LEN(S508)-LEN(SUBSTITUTE(S508,"/",""))+IF(ISNUMBER(SEARCH("@",S508)),0,1))</f>
        <v>4</v>
      </c>
      <c r="R508" s="42" t="s">
        <v>2453</v>
      </c>
      <c r="S508" s="26" t="s">
        <v>2453</v>
      </c>
      <c r="T508" s="20"/>
      <c r="U508" s="20"/>
      <c r="V508" s="20"/>
      <c r="W508" s="25">
        <v>88</v>
      </c>
      <c r="X508" s="46"/>
      <c r="Y508" s="20"/>
      <c r="Z508" s="20"/>
      <c r="AA508" s="25" t="s">
        <v>68</v>
      </c>
      <c r="AB508" s="20" t="str">
        <f>IF(ISBLANK(S508),"是","否")</f>
        <v>否</v>
      </c>
      <c r="AC508" s="20"/>
      <c r="AD508" s="25"/>
      <c r="AE508" s="25"/>
      <c r="AF508" s="20"/>
      <c r="AG508" s="20"/>
      <c r="AH508" s="20" t="s">
        <v>76</v>
      </c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</row>
    <row r="509" ht="29.59398496240601" customHeight="1" spans="1:57" x14ac:dyDescent="0.25">
      <c r="A509" s="25" t="s">
        <v>1663</v>
      </c>
      <c r="B509" s="19" t="s">
        <v>2439</v>
      </c>
      <c r="C509" s="20" t="s">
        <v>57</v>
      </c>
      <c r="D509" s="21"/>
      <c r="E509" s="22"/>
      <c r="F509" s="21" t="s">
        <v>2454</v>
      </c>
      <c r="G509" s="29" t="s">
        <v>2455</v>
      </c>
      <c r="H509" s="20" t="str">
        <f>SUBSTITUTE(SUBSTITUTE(SUBSTITUTE(S509,"/@","_"),"/cac:","_"),"/cbc:","_")</f>
        <v>Invoice_Delivery_DeliveryLocation_Description</v>
      </c>
      <c r="I509" s="20" t="str">
        <f>SUBSTITUTE(SUBSTITUTE(SUBSTITUTE(T509,"/@","_"),"/cac:","_"),"/cbc:","_")</f>
        <v/>
      </c>
      <c r="J509" s="25" t="s">
        <v>2457</v>
      </c>
      <c r="K509" s="25" t="s">
        <v>2458</v>
      </c>
      <c r="L509" s="25" t="s">
        <v>2459</v>
      </c>
      <c r="M509" s="25" t="s">
        <v>228</v>
      </c>
      <c r="N509" s="27" t="s">
        <v>64</v>
      </c>
      <c r="O509" s="25" t="s">
        <v>64</v>
      </c>
      <c r="P509" s="27" t="s">
        <v>50</v>
      </c>
      <c r="Q509" s="26" t="str">
        <f>IF(S509="","",LEN(S509)-LEN(SUBSTITUTE(S509,"/",""))+IF(ISNUMBER(SEARCH("@",S509)),0,1))</f>
        <v>4</v>
      </c>
      <c r="R509" s="42" t="s">
        <v>2460</v>
      </c>
      <c r="S509" s="26" t="s">
        <v>2460</v>
      </c>
      <c r="T509" s="20"/>
      <c r="U509" s="20"/>
      <c r="V509" s="20"/>
      <c r="W509" s="25" t="s">
        <v>2461</v>
      </c>
      <c r="X509" s="46"/>
      <c r="Y509" s="20"/>
      <c r="Z509" s="20"/>
      <c r="AA509" s="25" t="s">
        <v>68</v>
      </c>
      <c r="AB509" s="20" t="str">
        <f>IF(ISBLANK(S509),"是","否")</f>
        <v>否</v>
      </c>
      <c r="AC509" s="20"/>
      <c r="AD509" s="25"/>
      <c r="AE509" s="25"/>
      <c r="AF509" s="20"/>
      <c r="AG509" s="20"/>
      <c r="AH509" s="20" t="s">
        <v>76</v>
      </c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</row>
    <row r="510" ht="29.59398496240601" customHeight="1" spans="1:57" x14ac:dyDescent="0.25">
      <c r="A510" s="25" t="s">
        <v>1663</v>
      </c>
      <c r="B510" s="19" t="s">
        <v>2439</v>
      </c>
      <c r="C510" s="20" t="s">
        <v>57</v>
      </c>
      <c r="D510" s="21"/>
      <c r="E510" s="22"/>
      <c r="F510" s="41"/>
      <c r="G510" s="29" t="s">
        <v>2462</v>
      </c>
      <c r="H510" s="20" t="str">
        <f>SUBSTITUTE(SUBSTITUTE(SUBSTITUTE(S510,"/@","_"),"/cac:","_"),"/cbc:","_")</f>
        <v>Invoice_Delivery_DeliveryLocation_Address</v>
      </c>
      <c r="I510" s="20" t="str">
        <f>SUBSTITUTE(SUBSTITUTE(SUBSTITUTE(T510,"/@","_"),"/cac:","_"),"/cbc:","_")</f>
        <v/>
      </c>
      <c r="J510" s="25" t="s">
        <v>2464</v>
      </c>
      <c r="K510" s="25" t="s">
        <v>2465</v>
      </c>
      <c r="L510" s="25" t="s">
        <v>2466</v>
      </c>
      <c r="M510" s="25" t="s">
        <v>220</v>
      </c>
      <c r="N510" s="27"/>
      <c r="O510" s="25" t="s">
        <v>64</v>
      </c>
      <c r="P510" s="27"/>
      <c r="Q510" s="26" t="str">
        <f>IF(S510="","",LEN(S510)-LEN(SUBSTITUTE(S510,"/",""))+IF(ISNUMBER(SEARCH("@",S510)),0,1))</f>
        <v>4</v>
      </c>
      <c r="R510" s="42" t="s">
        <v>2467</v>
      </c>
      <c r="S510" s="26" t="s">
        <v>2467</v>
      </c>
      <c r="T510" s="20"/>
      <c r="U510" s="20"/>
      <c r="V510" s="20"/>
      <c r="W510" s="25" t="s">
        <v>681</v>
      </c>
      <c r="X510" s="46"/>
      <c r="Y510" s="20"/>
      <c r="Z510" s="20"/>
      <c r="AA510" s="25" t="s">
        <v>222</v>
      </c>
      <c r="AB510" s="20" t="str">
        <f>IF(ISBLANK(S510),"是","否")</f>
        <v>否</v>
      </c>
      <c r="AC510" s="20"/>
      <c r="AD510" s="25"/>
      <c r="AE510" s="25"/>
      <c r="AF510" s="20"/>
      <c r="AG510" s="20"/>
      <c r="AH510" s="20" t="s">
        <v>76</v>
      </c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</row>
    <row r="511" ht="39.879699248120296" customHeight="1" spans="1:57" x14ac:dyDescent="0.25">
      <c r="A511" s="25" t="s">
        <v>1663</v>
      </c>
      <c r="B511" s="19" t="s">
        <v>282</v>
      </c>
      <c r="C511" s="20" t="s">
        <v>57</v>
      </c>
      <c r="D511" s="21"/>
      <c r="E511" s="22"/>
      <c r="F511" s="21" t="s">
        <v>2468</v>
      </c>
      <c r="G511" s="29" t="s">
        <v>2469</v>
      </c>
      <c r="H511" s="20" t="str">
        <f>SUBSTITUTE(SUBSTITUTE(SUBSTITUTE(S511,"/@","_"),"/cac:","_"),"/cbc:","_")</f>
        <v>Invoice_Delivery_DeliveryLocation_Address_Postbox</v>
      </c>
      <c r="I511" s="20" t="str">
        <f>SUBSTITUTE(SUBSTITUTE(SUBSTITUTE(T511,"/@","_"),"/cac:","_"),"/cbc:","_")</f>
        <v/>
      </c>
      <c r="J511" s="25" t="s">
        <v>2471</v>
      </c>
      <c r="K511" s="25" t="s">
        <v>2472</v>
      </c>
      <c r="L511" s="25" t="s">
        <v>2473</v>
      </c>
      <c r="M511" s="25" t="s">
        <v>228</v>
      </c>
      <c r="N511" s="27" t="s">
        <v>64</v>
      </c>
      <c r="O511" s="25" t="s">
        <v>64</v>
      </c>
      <c r="P511" s="27" t="s">
        <v>50</v>
      </c>
      <c r="Q511" s="26" t="str">
        <f>IF(S511="","",LEN(S511)-LEN(SUBSTITUTE(S511,"/",""))+IF(ISNUMBER(SEARCH("@",S511)),0,1))</f>
        <v>5</v>
      </c>
      <c r="R511" s="42" t="s">
        <v>2474</v>
      </c>
      <c r="S511" s="26" t="s">
        <v>2474</v>
      </c>
      <c r="T511" s="20"/>
      <c r="U511" s="20"/>
      <c r="V511" s="20"/>
      <c r="W511" s="25">
        <v>1001</v>
      </c>
      <c r="X511" s="46"/>
      <c r="Y511" s="20"/>
      <c r="Z511" s="20"/>
      <c r="AA511" s="25" t="s">
        <v>68</v>
      </c>
      <c r="AB511" s="20" t="str">
        <f>IF(ISBLANK(S511),"是","否")</f>
        <v>否</v>
      </c>
      <c r="AC511" s="20"/>
      <c r="AD511" s="25"/>
      <c r="AE511" s="25"/>
      <c r="AF511" s="20"/>
      <c r="AG511" s="20"/>
      <c r="AH511" s="20" t="s">
        <v>76</v>
      </c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</row>
    <row r="512" ht="29.59398496240601" customHeight="1" spans="1:57" x14ac:dyDescent="0.25">
      <c r="A512" s="25" t="s">
        <v>1663</v>
      </c>
      <c r="B512" s="19" t="s">
        <v>282</v>
      </c>
      <c r="C512" s="20" t="s">
        <v>57</v>
      </c>
      <c r="D512" s="21"/>
      <c r="E512" s="22"/>
      <c r="F512" s="21" t="s">
        <v>2475</v>
      </c>
      <c r="G512" s="29" t="s">
        <v>2476</v>
      </c>
      <c r="H512" s="20" t="str">
        <f>SUBSTITUTE(SUBSTITUTE(SUBSTITUTE(S512,"/@","_"),"/cac:","_"),"/cbc:","_")</f>
        <v>Invoice_Delivery_DeliveryLocation_Address_Floor</v>
      </c>
      <c r="I512" s="20" t="str">
        <f>SUBSTITUTE(SUBSTITUTE(SUBSTITUTE(T512,"/@","_"),"/cac:","_"),"/cbc:","_")</f>
        <v/>
      </c>
      <c r="J512" s="25" t="s">
        <v>2478</v>
      </c>
      <c r="K512" s="25" t="s">
        <v>2479</v>
      </c>
      <c r="L512" s="25" t="s">
        <v>1392</v>
      </c>
      <c r="M512" s="25" t="s">
        <v>228</v>
      </c>
      <c r="N512" s="27" t="s">
        <v>64</v>
      </c>
      <c r="O512" s="25" t="s">
        <v>64</v>
      </c>
      <c r="P512" s="27" t="s">
        <v>50</v>
      </c>
      <c r="Q512" s="26" t="str">
        <f>IF(S512="","",LEN(S512)-LEN(SUBSTITUTE(S512,"/",""))+IF(ISNUMBER(SEARCH("@",S512)),0,1))</f>
        <v>5</v>
      </c>
      <c r="R512" s="42" t="s">
        <v>2480</v>
      </c>
      <c r="S512" s="26" t="s">
        <v>2480</v>
      </c>
      <c r="T512" s="20"/>
      <c r="U512" s="20"/>
      <c r="V512" s="20"/>
      <c r="W512" s="25" t="s">
        <v>2481</v>
      </c>
      <c r="X512" s="46"/>
      <c r="Y512" s="20"/>
      <c r="Z512" s="20"/>
      <c r="AA512" s="25" t="s">
        <v>68</v>
      </c>
      <c r="AB512" s="20" t="str">
        <f>IF(ISBLANK(S512),"是","否")</f>
        <v>否</v>
      </c>
      <c r="AC512" s="20"/>
      <c r="AD512" s="25"/>
      <c r="AE512" s="25"/>
      <c r="AF512" s="20"/>
      <c r="AG512" s="20"/>
      <c r="AH512" s="20" t="s">
        <v>76</v>
      </c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</row>
    <row r="513" ht="39.879699248120296" customHeight="1" spans="1:57" x14ac:dyDescent="0.25">
      <c r="A513" s="25" t="s">
        <v>1663</v>
      </c>
      <c r="B513" s="19" t="s">
        <v>282</v>
      </c>
      <c r="C513" s="20" t="s">
        <v>57</v>
      </c>
      <c r="D513" s="21"/>
      <c r="E513" s="22"/>
      <c r="F513" s="21" t="s">
        <v>2482</v>
      </c>
      <c r="G513" s="29" t="s">
        <v>2483</v>
      </c>
      <c r="H513" s="20" t="str">
        <f>SUBSTITUTE(SUBSTITUTE(SUBSTITUTE(S513,"/@","_"),"/cac:","_"),"/cbc:","_")</f>
        <v>Invoice_Delivery_DeliveryLocation_Address_Room</v>
      </c>
      <c r="I513" s="20" t="str">
        <f>SUBSTITUTE(SUBSTITUTE(SUBSTITUTE(T513,"/@","_"),"/cac:","_"),"/cbc:","_")</f>
        <v/>
      </c>
      <c r="J513" s="25" t="s">
        <v>2485</v>
      </c>
      <c r="K513" s="25" t="s">
        <v>2486</v>
      </c>
      <c r="L513" s="25" t="s">
        <v>1392</v>
      </c>
      <c r="M513" s="25" t="s">
        <v>228</v>
      </c>
      <c r="N513" s="27" t="s">
        <v>64</v>
      </c>
      <c r="O513" s="25" t="s">
        <v>64</v>
      </c>
      <c r="P513" s="27" t="s">
        <v>50</v>
      </c>
      <c r="Q513" s="26" t="str">
        <f>IF(S513="","",LEN(S513)-LEN(SUBSTITUTE(S513,"/",""))+IF(ISNUMBER(SEARCH("@",S513)),0,1))</f>
        <v>5</v>
      </c>
      <c r="R513" s="42" t="s">
        <v>2487</v>
      </c>
      <c r="S513" s="26" t="s">
        <v>2487</v>
      </c>
      <c r="T513" s="20"/>
      <c r="U513" s="20"/>
      <c r="V513" s="20"/>
      <c r="W513" s="25">
        <v>501</v>
      </c>
      <c r="X513" s="46"/>
      <c r="Y513" s="20"/>
      <c r="Z513" s="20"/>
      <c r="AA513" s="25" t="s">
        <v>68</v>
      </c>
      <c r="AB513" s="20" t="str">
        <f>IF(ISBLANK(S513),"是","否")</f>
        <v>否</v>
      </c>
      <c r="AC513" s="20"/>
      <c r="AD513" s="25"/>
      <c r="AE513" s="25"/>
      <c r="AF513" s="20"/>
      <c r="AG513" s="20"/>
      <c r="AH513" s="20" t="s">
        <v>76</v>
      </c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</row>
    <row r="514" ht="39.879699248120296" customHeight="1" spans="1:57" x14ac:dyDescent="0.25">
      <c r="A514" s="25" t="s">
        <v>1663</v>
      </c>
      <c r="B514" s="19" t="s">
        <v>282</v>
      </c>
      <c r="C514" s="20" t="s">
        <v>57</v>
      </c>
      <c r="D514" s="21"/>
      <c r="E514" s="22"/>
      <c r="F514" s="21" t="s">
        <v>2488</v>
      </c>
      <c r="G514" s="29" t="s">
        <v>2489</v>
      </c>
      <c r="H514" s="20" t="str">
        <f>SUBSTITUTE(SUBSTITUTE(SUBSTITUTE(S514,"/@","_"),"/cac:","_"),"/cbc:","_")</f>
        <v>Invoice_Delivery_DeliveryLocation_Address_StreetName</v>
      </c>
      <c r="I514" s="20" t="str">
        <f>SUBSTITUTE(SUBSTITUTE(SUBSTITUTE(T514,"/@","_"),"/cac:","_"),"/cbc:","_")</f>
        <v/>
      </c>
      <c r="J514" s="25" t="s">
        <v>2491</v>
      </c>
      <c r="K514" s="25" t="s">
        <v>2492</v>
      </c>
      <c r="L514" s="25" t="s">
        <v>2493</v>
      </c>
      <c r="M514" s="25" t="s">
        <v>228</v>
      </c>
      <c r="N514" s="27" t="s">
        <v>64</v>
      </c>
      <c r="O514" s="25" t="s">
        <v>64</v>
      </c>
      <c r="P514" s="27" t="s">
        <v>50</v>
      </c>
      <c r="Q514" s="26" t="str">
        <f>IF(S514="","",LEN(S514)-LEN(SUBSTITUTE(S514,"/",""))+IF(ISNUMBER(SEARCH("@",S514)),0,1))</f>
        <v>5</v>
      </c>
      <c r="R514" s="42" t="s">
        <v>2494</v>
      </c>
      <c r="S514" s="26" t="s">
        <v>2494</v>
      </c>
      <c r="T514" s="20"/>
      <c r="U514" s="20"/>
      <c r="V514" s="20"/>
      <c r="W514" s="25" t="s">
        <v>2495</v>
      </c>
      <c r="X514" s="46"/>
      <c r="Y514" s="20"/>
      <c r="Z514" s="20"/>
      <c r="AA514" s="25" t="s">
        <v>68</v>
      </c>
      <c r="AB514" s="20" t="str">
        <f>IF(ISBLANK(S514),"是","否")</f>
        <v>否</v>
      </c>
      <c r="AC514" s="20"/>
      <c r="AD514" s="25"/>
      <c r="AE514" s="25"/>
      <c r="AF514" s="20"/>
      <c r="AG514" s="20"/>
      <c r="AH514" s="20" t="s">
        <v>76</v>
      </c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</row>
    <row r="515" ht="50.16541353383458" customHeight="1" spans="1:57" x14ac:dyDescent="0.25">
      <c r="A515" s="25" t="s">
        <v>1663</v>
      </c>
      <c r="B515" s="19" t="s">
        <v>282</v>
      </c>
      <c r="C515" s="20" t="s">
        <v>57</v>
      </c>
      <c r="D515" s="21"/>
      <c r="E515" s="22"/>
      <c r="F515" s="21" t="s">
        <v>2496</v>
      </c>
      <c r="G515" s="29" t="s">
        <v>2497</v>
      </c>
      <c r="H515" s="20" t="str">
        <f>SUBSTITUTE(SUBSTITUTE(SUBSTITUTE(S515,"/@","_"),"/cac:","_"),"/cbc:","_")</f>
        <v>Invoice_Delivery_DeliveryLocation_Address_AdditionalStreetName</v>
      </c>
      <c r="I515" s="20" t="str">
        <f>SUBSTITUTE(SUBSTITUTE(SUBSTITUTE(T515,"/@","_"),"/cac:","_"),"/cbc:","_")</f>
        <v/>
      </c>
      <c r="J515" s="25" t="s">
        <v>2499</v>
      </c>
      <c r="K515" s="25" t="s">
        <v>2500</v>
      </c>
      <c r="L515" s="25" t="s">
        <v>2501</v>
      </c>
      <c r="M515" s="25" t="s">
        <v>228</v>
      </c>
      <c r="N515" s="27" t="s">
        <v>64</v>
      </c>
      <c r="O515" s="25" t="s">
        <v>64</v>
      </c>
      <c r="P515" s="27" t="s">
        <v>50</v>
      </c>
      <c r="Q515" s="26" t="str">
        <f>IF(S515="","",LEN(S515)-LEN(SUBSTITUTE(S515,"/",""))+IF(ISNUMBER(SEARCH("@",S515)),0,1))</f>
        <v>5</v>
      </c>
      <c r="R515" s="42" t="s">
        <v>2502</v>
      </c>
      <c r="S515" s="26" t="s">
        <v>2502</v>
      </c>
      <c r="T515" s="20"/>
      <c r="U515" s="20"/>
      <c r="V515" s="20"/>
      <c r="W515" s="25" t="s">
        <v>2503</v>
      </c>
      <c r="X515" s="46"/>
      <c r="Y515" s="20"/>
      <c r="Z515" s="20"/>
      <c r="AA515" s="25" t="s">
        <v>68</v>
      </c>
      <c r="AB515" s="20" t="str">
        <f>IF(ISBLANK(S515),"是","否")</f>
        <v>否</v>
      </c>
      <c r="AC515" s="20"/>
      <c r="AD515" s="25"/>
      <c r="AE515" s="25"/>
      <c r="AF515" s="20"/>
      <c r="AG515" s="20"/>
      <c r="AH515" s="20" t="s">
        <v>76</v>
      </c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</row>
    <row r="516" ht="39.879699248120296" customHeight="1" spans="1:57" x14ac:dyDescent="0.25">
      <c r="A516" s="25" t="s">
        <v>1663</v>
      </c>
      <c r="B516" s="19" t="s">
        <v>282</v>
      </c>
      <c r="C516" s="20" t="s">
        <v>57</v>
      </c>
      <c r="D516" s="21"/>
      <c r="E516" s="22"/>
      <c r="F516" s="21" t="s">
        <v>2504</v>
      </c>
      <c r="G516" s="29" t="s">
        <v>2505</v>
      </c>
      <c r="H516" s="20" t="str">
        <f>SUBSTITUTE(SUBSTITUTE(SUBSTITUTE(S516,"/@","_"),"/cac:","_"),"/cbc:","_")</f>
        <v>Invoice_Delivery_DeliveryLocation_Address_CityName</v>
      </c>
      <c r="I516" s="20" t="str">
        <f>SUBSTITUTE(SUBSTITUTE(SUBSTITUTE(T516,"/@","_"),"/cac:","_"),"/cbc:","_")</f>
        <v/>
      </c>
      <c r="J516" s="25" t="s">
        <v>2507</v>
      </c>
      <c r="K516" s="25" t="s">
        <v>2508</v>
      </c>
      <c r="L516" s="25" t="s">
        <v>743</v>
      </c>
      <c r="M516" s="25" t="s">
        <v>228</v>
      </c>
      <c r="N516" s="27" t="s">
        <v>64</v>
      </c>
      <c r="O516" s="25" t="s">
        <v>64</v>
      </c>
      <c r="P516" s="27" t="s">
        <v>50</v>
      </c>
      <c r="Q516" s="26" t="str">
        <f>IF(S516="","",LEN(S516)-LEN(SUBSTITUTE(S516,"/",""))+IF(ISNUMBER(SEARCH("@",S516)),0,1))</f>
        <v>5</v>
      </c>
      <c r="R516" s="42" t="s">
        <v>2509</v>
      </c>
      <c r="S516" s="26" t="s">
        <v>2509</v>
      </c>
      <c r="T516" s="20"/>
      <c r="U516" s="20"/>
      <c r="V516" s="20"/>
      <c r="W516" s="25" t="s">
        <v>2510</v>
      </c>
      <c r="X516" s="46"/>
      <c r="Y516" s="20"/>
      <c r="Z516" s="20"/>
      <c r="AA516" s="25" t="s">
        <v>68</v>
      </c>
      <c r="AB516" s="20" t="str">
        <f>IF(ISBLANK(S516),"是","否")</f>
        <v>否</v>
      </c>
      <c r="AC516" s="20"/>
      <c r="AD516" s="25"/>
      <c r="AE516" s="25"/>
      <c r="AF516" s="20"/>
      <c r="AG516" s="20"/>
      <c r="AH516" s="20" t="s">
        <v>76</v>
      </c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</row>
    <row r="517" ht="39.879699248120296" customHeight="1" spans="1:57" x14ac:dyDescent="0.25">
      <c r="A517" s="25" t="s">
        <v>1663</v>
      </c>
      <c r="B517" s="19" t="s">
        <v>282</v>
      </c>
      <c r="C517" s="20" t="s">
        <v>57</v>
      </c>
      <c r="D517" s="21"/>
      <c r="E517" s="22"/>
      <c r="F517" s="21" t="s">
        <v>2511</v>
      </c>
      <c r="G517" s="29" t="s">
        <v>2512</v>
      </c>
      <c r="H517" s="20" t="str">
        <f>SUBSTITUTE(SUBSTITUTE(SUBSTITUTE(S517,"/@","_"),"/cac:","_"),"/cbc:","_")</f>
        <v>Invoice_Delivery_DeliveryLocation_Address_PostalZone</v>
      </c>
      <c r="I517" s="20" t="str">
        <f>SUBSTITUTE(SUBSTITUTE(SUBSTITUTE(T517,"/@","_"),"/cac:","_"),"/cbc:","_")</f>
        <v/>
      </c>
      <c r="J517" s="25" t="s">
        <v>2514</v>
      </c>
      <c r="K517" s="25" t="s">
        <v>2515</v>
      </c>
      <c r="L517" s="25" t="s">
        <v>2516</v>
      </c>
      <c r="M517" s="25" t="s">
        <v>228</v>
      </c>
      <c r="N517" s="27" t="s">
        <v>64</v>
      </c>
      <c r="O517" s="25" t="s">
        <v>64</v>
      </c>
      <c r="P517" s="27" t="s">
        <v>50</v>
      </c>
      <c r="Q517" s="26" t="str">
        <f>IF(S517="","",LEN(S517)-LEN(SUBSTITUTE(S517,"/",""))+IF(ISNUMBER(SEARCH("@",S517)),0,1))</f>
        <v>5</v>
      </c>
      <c r="R517" s="42" t="s">
        <v>2517</v>
      </c>
      <c r="S517" s="26" t="s">
        <v>2517</v>
      </c>
      <c r="T517" s="20"/>
      <c r="U517" s="20"/>
      <c r="V517" s="20"/>
      <c r="W517" s="25">
        <v>200000</v>
      </c>
      <c r="X517" s="46"/>
      <c r="Y517" s="20"/>
      <c r="Z517" s="20"/>
      <c r="AA517" s="25" t="s">
        <v>68</v>
      </c>
      <c r="AB517" s="20" t="str">
        <f>IF(ISBLANK(S517),"是","否")</f>
        <v>否</v>
      </c>
      <c r="AC517" s="20"/>
      <c r="AD517" s="25"/>
      <c r="AE517" s="25"/>
      <c r="AF517" s="20"/>
      <c r="AG517" s="20"/>
      <c r="AH517" s="20" t="s">
        <v>76</v>
      </c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</row>
    <row r="518" ht="39.879699248120296" customHeight="1" spans="1:57" x14ac:dyDescent="0.25">
      <c r="A518" s="25" t="s">
        <v>1663</v>
      </c>
      <c r="B518" s="19" t="s">
        <v>282</v>
      </c>
      <c r="C518" s="20" t="s">
        <v>57</v>
      </c>
      <c r="D518" s="21"/>
      <c r="E518" s="22"/>
      <c r="F518" s="21" t="s">
        <v>2518</v>
      </c>
      <c r="G518" s="29" t="s">
        <v>2519</v>
      </c>
      <c r="H518" s="20" t="str">
        <f>SUBSTITUTE(SUBSTITUTE(SUBSTITUTE(S518,"/@","_"),"/cac:","_"),"/cbc:","_")</f>
        <v>Invoice_Delivery_DeliveryLocation_Address _CountrySubentity</v>
      </c>
      <c r="I518" s="20" t="str">
        <f>SUBSTITUTE(SUBSTITUTE(SUBSTITUTE(T518,"/@","_"),"/cac:","_"),"/cbc:","_")</f>
        <v/>
      </c>
      <c r="J518" s="25" t="s">
        <v>2521</v>
      </c>
      <c r="K518" s="25" t="s">
        <v>2522</v>
      </c>
      <c r="L518" s="25" t="s">
        <v>2523</v>
      </c>
      <c r="M518" s="25" t="s">
        <v>228</v>
      </c>
      <c r="N518" s="27" t="s">
        <v>64</v>
      </c>
      <c r="O518" s="25" t="s">
        <v>64</v>
      </c>
      <c r="P518" s="27" t="s">
        <v>50</v>
      </c>
      <c r="Q518" s="26" t="str">
        <f>IF(S518="","",LEN(S518)-LEN(SUBSTITUTE(S518,"/",""))+IF(ISNUMBER(SEARCH("@",S518)),0,1))</f>
        <v>5</v>
      </c>
      <c r="R518" s="42" t="s">
        <v>2524</v>
      </c>
      <c r="S518" s="26" t="s">
        <v>2524</v>
      </c>
      <c r="T518" s="20"/>
      <c r="U518" s="20"/>
      <c r="V518" s="20"/>
      <c r="W518" s="25" t="s">
        <v>2510</v>
      </c>
      <c r="X518" s="46"/>
      <c r="Y518" s="20"/>
      <c r="Z518" s="20"/>
      <c r="AA518" s="25" t="s">
        <v>68</v>
      </c>
      <c r="AB518" s="20" t="str">
        <f>IF(ISBLANK(S518),"是","否")</f>
        <v>否</v>
      </c>
      <c r="AC518" s="20"/>
      <c r="AD518" s="25"/>
      <c r="AE518" s="25"/>
      <c r="AF518" s="20"/>
      <c r="AG518" s="20"/>
      <c r="AH518" s="20" t="s">
        <v>76</v>
      </c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</row>
    <row r="519" ht="39.879699248120296" customHeight="1" spans="1:57" x14ac:dyDescent="0.25">
      <c r="A519" s="25" t="s">
        <v>1663</v>
      </c>
      <c r="B519" s="19" t="s">
        <v>282</v>
      </c>
      <c r="C519" s="20" t="s">
        <v>57</v>
      </c>
      <c r="D519" s="21"/>
      <c r="E519" s="22"/>
      <c r="F519" s="21" t="s">
        <v>2525</v>
      </c>
      <c r="G519" s="29" t="s">
        <v>2526</v>
      </c>
      <c r="H519" s="20" t="str">
        <f>SUBSTITUTE(SUBSTITUTE(SUBSTITUTE(S519,"/@","_"),"/cac:","_"),"/cbc:","_")</f>
        <v>Invoice_Delivery_DeliveryLocation_Address_AddressLine</v>
      </c>
      <c r="I519" s="20" t="str">
        <f>SUBSTITUTE(SUBSTITUTE(SUBSTITUTE(T519,"/@","_"),"/cac:","_"),"/cbc:","_")</f>
        <v/>
      </c>
      <c r="J519" s="25" t="s">
        <v>2527</v>
      </c>
      <c r="K519" s="25" t="s">
        <v>2528</v>
      </c>
      <c r="L519" s="25" t="s">
        <v>2529</v>
      </c>
      <c r="M519" s="25" t="s">
        <v>220</v>
      </c>
      <c r="N519" s="27" t="s">
        <v>64</v>
      </c>
      <c r="O519" s="25" t="s">
        <v>64</v>
      </c>
      <c r="P519" s="27" t="s">
        <v>50</v>
      </c>
      <c r="Q519" s="26" t="str">
        <f>IF(S519="","",LEN(S519)-LEN(SUBSTITUTE(S519,"/",""))+IF(ISNUMBER(SEARCH("@",S519)),0,1))</f>
        <v>5</v>
      </c>
      <c r="R519" s="42" t="s">
        <v>2530</v>
      </c>
      <c r="S519" s="26" t="s">
        <v>2530</v>
      </c>
      <c r="T519" s="20"/>
      <c r="U519" s="20"/>
      <c r="V519" s="20"/>
      <c r="W519" s="25" t="s">
        <v>681</v>
      </c>
      <c r="X519" s="46"/>
      <c r="Y519" s="20"/>
      <c r="Z519" s="20"/>
      <c r="AA519" s="25" t="s">
        <v>222</v>
      </c>
      <c r="AB519" s="20" t="str">
        <f>IF(ISBLANK(S519),"是","否")</f>
        <v>否</v>
      </c>
      <c r="AC519" s="20"/>
      <c r="AD519" s="25"/>
      <c r="AE519" s="25"/>
      <c r="AF519" s="20"/>
      <c r="AG519" s="20"/>
      <c r="AH519" s="20" t="s">
        <v>76</v>
      </c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</row>
    <row r="520" ht="39.879699248120296" customHeight="1" spans="1:57" x14ac:dyDescent="0.25">
      <c r="A520" s="25" t="s">
        <v>1663</v>
      </c>
      <c r="B520" s="19" t="s">
        <v>316</v>
      </c>
      <c r="C520" s="20" t="s">
        <v>57</v>
      </c>
      <c r="D520" s="21"/>
      <c r="E520" s="22"/>
      <c r="F520" s="21" t="s">
        <v>2531</v>
      </c>
      <c r="G520" s="29" t="s">
        <v>2532</v>
      </c>
      <c r="H520" s="20" t="str">
        <f>SUBSTITUTE(SUBSTITUTE(SUBSTITUTE(S520,"/@","_"),"/cac:","_"),"/cbc:","_")</f>
        <v>Invoice_Delivery_DeliveryLocation_Address_AddressLine_Line</v>
      </c>
      <c r="I520" s="20" t="str">
        <f>SUBSTITUTE(SUBSTITUTE(SUBSTITUTE(T520,"/@","_"),"/cac:","_"),"/cbc:","_")</f>
        <v/>
      </c>
      <c r="J520" s="25" t="s">
        <v>2533</v>
      </c>
      <c r="K520" s="25" t="s">
        <v>2534</v>
      </c>
      <c r="L520" s="25" t="s">
        <v>2535</v>
      </c>
      <c r="M520" s="25" t="s">
        <v>228</v>
      </c>
      <c r="N520" s="27" t="s">
        <v>49</v>
      </c>
      <c r="O520" s="25" t="s">
        <v>49</v>
      </c>
      <c r="P520" s="27" t="s">
        <v>3015</v>
      </c>
      <c r="Q520" s="26" t="str">
        <f>IF(S520="","",LEN(S520)-LEN(SUBSTITUTE(S520,"/",""))+IF(ISNUMBER(SEARCH("@",S520)),0,1))</f>
        <v>6</v>
      </c>
      <c r="R520" s="42" t="s">
        <v>2536</v>
      </c>
      <c r="S520" s="26" t="s">
        <v>2536</v>
      </c>
      <c r="T520" s="20"/>
      <c r="U520" s="20"/>
      <c r="V520" s="20"/>
      <c r="W520" s="25" t="s">
        <v>2537</v>
      </c>
      <c r="X520" s="46"/>
      <c r="Y520" s="20"/>
      <c r="Z520" s="20"/>
      <c r="AA520" s="25" t="s">
        <v>68</v>
      </c>
      <c r="AB520" s="20" t="str">
        <f>IF(ISBLANK(S520),"是","否")</f>
        <v>否</v>
      </c>
      <c r="AC520" s="20"/>
      <c r="AD520" s="25"/>
      <c r="AE520" s="25"/>
      <c r="AF520" s="20"/>
      <c r="AG520" s="20"/>
      <c r="AH520" s="20" t="s">
        <v>76</v>
      </c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</row>
    <row r="521" ht="50.16541353383458" customHeight="1" spans="1:57" x14ac:dyDescent="0.25">
      <c r="A521" s="25" t="s">
        <v>1663</v>
      </c>
      <c r="B521" s="19" t="s">
        <v>328</v>
      </c>
      <c r="C521" s="20" t="s">
        <v>57</v>
      </c>
      <c r="D521" s="21"/>
      <c r="E521" s="22"/>
      <c r="F521" s="21" t="s">
        <v>2538</v>
      </c>
      <c r="G521" s="29" t="s">
        <v>2539</v>
      </c>
      <c r="H521" s="20" t="str">
        <f>SUBSTITUTE(SUBSTITUTE(SUBSTITUTE(S521,"/@","_"),"/cac:","_"),"/cbc:","_")</f>
        <v>Invoice_Delivery_DeliveryLocation_Address_Country_IdentificationCode</v>
      </c>
      <c r="I521" s="20" t="str">
        <f>SUBSTITUTE(SUBSTITUTE(SUBSTITUTE(T521,"/@","_"),"/cac:","_"),"/cbc:","_")</f>
        <v/>
      </c>
      <c r="J521" s="25" t="s">
        <v>2541</v>
      </c>
      <c r="K521" s="25" t="s">
        <v>2542</v>
      </c>
      <c r="L521" s="25" t="s">
        <v>1465</v>
      </c>
      <c r="M521" s="25" t="s">
        <v>1661</v>
      </c>
      <c r="N521" s="27" t="s">
        <v>64</v>
      </c>
      <c r="O521" s="25" t="s">
        <v>64</v>
      </c>
      <c r="P521" s="27" t="s">
        <v>50</v>
      </c>
      <c r="Q521" s="26" t="str">
        <f>IF(S521="","",LEN(S521)-LEN(SUBSTITUTE(S521,"/",""))+IF(ISNUMBER(SEARCH("@",S521)),0,1))</f>
        <v>6</v>
      </c>
      <c r="R521" s="42" t="s">
        <v>2543</v>
      </c>
      <c r="S521" s="26" t="s">
        <v>2543</v>
      </c>
      <c r="T521" s="20"/>
      <c r="U521" s="20"/>
      <c r="V521" s="20"/>
      <c r="W521" s="25" t="s">
        <v>773</v>
      </c>
      <c r="X521" s="46"/>
      <c r="Y521" s="20"/>
      <c r="Z521" s="20"/>
      <c r="AA521" s="25" t="s">
        <v>68</v>
      </c>
      <c r="AB521" s="20" t="str">
        <f>IF(ISBLANK(S521),"是","否")</f>
        <v>否</v>
      </c>
      <c r="AC521" s="20"/>
      <c r="AD521" s="25"/>
      <c r="AE521" s="25"/>
      <c r="AF521" s="20"/>
      <c r="AG521" s="20"/>
      <c r="AH521" s="20" t="s">
        <v>76</v>
      </c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</row>
    <row r="522" ht="39.879699248120296" customHeight="1" spans="1:57" x14ac:dyDescent="0.25">
      <c r="A522" s="25" t="s">
        <v>1663</v>
      </c>
      <c r="B522" s="19" t="s">
        <v>328</v>
      </c>
      <c r="C522" s="20" t="s">
        <v>57</v>
      </c>
      <c r="D522" s="21"/>
      <c r="E522" s="22"/>
      <c r="F522" s="21" t="s">
        <v>2544</v>
      </c>
      <c r="G522" s="29" t="s">
        <v>2545</v>
      </c>
      <c r="H522" s="20" t="str">
        <f>SUBSTITUTE(SUBSTITUTE(SUBSTITUTE(S522,"/@","_"),"/cac:","_"),"/cbc:","_")</f>
        <v>Invoice_Delivery_DeliveryLocation_Country_Name</v>
      </c>
      <c r="I522" s="20" t="str">
        <f>SUBSTITUTE(SUBSTITUTE(SUBSTITUTE(T522,"/@","_"),"/cac:","_"),"/cbc:","_")</f>
        <v/>
      </c>
      <c r="J522" s="25" t="s">
        <v>2547</v>
      </c>
      <c r="K522" s="25" t="s">
        <v>2548</v>
      </c>
      <c r="L522" s="25" t="s">
        <v>1392</v>
      </c>
      <c r="M522" s="25" t="s">
        <v>228</v>
      </c>
      <c r="N522" s="27" t="s">
        <v>64</v>
      </c>
      <c r="O522" s="25" t="s">
        <v>64</v>
      </c>
      <c r="P522" s="27" t="s">
        <v>50</v>
      </c>
      <c r="Q522" s="26" t="str">
        <f>IF(S522="","",LEN(S522)-LEN(SUBSTITUTE(S522,"/",""))+IF(ISNUMBER(SEARCH("@",S522)),0,1))</f>
        <v>5</v>
      </c>
      <c r="R522" s="42" t="s">
        <v>2549</v>
      </c>
      <c r="S522" s="26" t="s">
        <v>2549</v>
      </c>
      <c r="T522" s="20"/>
      <c r="U522" s="20"/>
      <c r="V522" s="20"/>
      <c r="W522" s="25" t="s">
        <v>779</v>
      </c>
      <c r="X522" s="46"/>
      <c r="Y522" s="20"/>
      <c r="Z522" s="20"/>
      <c r="AA522" s="25" t="s">
        <v>68</v>
      </c>
      <c r="AB522" s="20" t="str">
        <f>IF(ISBLANK(S522),"是","否")</f>
        <v>否</v>
      </c>
      <c r="AC522" s="20"/>
      <c r="AD522" s="25"/>
      <c r="AE522" s="25"/>
      <c r="AF522" s="20"/>
      <c r="AG522" s="20"/>
      <c r="AH522" s="20" t="s">
        <v>76</v>
      </c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</row>
    <row r="523" ht="29.59398496240601" customHeight="1" spans="1:57" x14ac:dyDescent="0.25">
      <c r="A523" s="25" t="s">
        <v>1663</v>
      </c>
      <c r="B523" s="19" t="s">
        <v>188</v>
      </c>
      <c r="C523" s="20" t="s">
        <v>57</v>
      </c>
      <c r="D523" s="21"/>
      <c r="E523" s="22"/>
      <c r="F523" s="21" t="s">
        <v>2550</v>
      </c>
      <c r="G523" s="29" t="s">
        <v>2551</v>
      </c>
      <c r="H523" s="20" t="str">
        <f>SUBSTITUTE(SUBSTITUTE(SUBSTITUTE(S523,"/@","_"),"/cac:","_"),"/cbc:","_")</f>
        <v>Invoice_Delivery_CarrierParty_PartyName_Name</v>
      </c>
      <c r="I523" s="20" t="str">
        <f>SUBSTITUTE(SUBSTITUTE(SUBSTITUTE(T523,"/@","_"),"/cac:","_"),"/cbc:","_")</f>
        <v/>
      </c>
      <c r="J523" s="25" t="s">
        <v>2553</v>
      </c>
      <c r="K523" s="25" t="s">
        <v>2554</v>
      </c>
      <c r="L523" s="25" t="s">
        <v>1392</v>
      </c>
      <c r="M523" s="25" t="s">
        <v>228</v>
      </c>
      <c r="N523" s="27" t="s">
        <v>64</v>
      </c>
      <c r="O523" s="25" t="s">
        <v>64</v>
      </c>
      <c r="P523" s="27" t="s">
        <v>50</v>
      </c>
      <c r="Q523" s="26" t="str">
        <f>IF(S523="","",LEN(S523)-LEN(SUBSTITUTE(S523,"/",""))+IF(ISNUMBER(SEARCH("@",S523)),0,1))</f>
        <v>5</v>
      </c>
      <c r="R523" s="42" t="s">
        <v>2555</v>
      </c>
      <c r="S523" s="26" t="s">
        <v>2555</v>
      </c>
      <c r="T523" s="20"/>
      <c r="U523" s="20"/>
      <c r="V523" s="20"/>
      <c r="W523" s="25" t="s">
        <v>2556</v>
      </c>
      <c r="X523" s="46"/>
      <c r="Y523" s="20"/>
      <c r="Z523" s="20"/>
      <c r="AA523" s="25" t="s">
        <v>68</v>
      </c>
      <c r="AB523" s="20" t="str">
        <f>IF(ISBLANK(S523),"是","否")</f>
        <v>否</v>
      </c>
      <c r="AC523" s="20"/>
      <c r="AD523" s="25"/>
      <c r="AE523" s="25"/>
      <c r="AF523" s="20"/>
      <c r="AG523" s="20"/>
      <c r="AH523" s="20" t="s">
        <v>76</v>
      </c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</row>
    <row r="524" ht="29.59398496240601" customHeight="1" spans="1:57" x14ac:dyDescent="0.25">
      <c r="A524" s="25" t="s">
        <v>1663</v>
      </c>
      <c r="B524" s="19" t="s">
        <v>230</v>
      </c>
      <c r="C524" s="20" t="s">
        <v>57</v>
      </c>
      <c r="D524" s="21"/>
      <c r="E524" s="22"/>
      <c r="F524" s="41"/>
      <c r="G524" s="29" t="s">
        <v>2557</v>
      </c>
      <c r="H524" s="20" t="str">
        <f>SUBSTITUTE(SUBSTITUTE(SUBSTITUTE(S524,"/@","_"),"/cac:","_"),"/cbc:","_")</f>
        <v>Invoice_Delivery_DeliveryParty_PartyTaxScheme</v>
      </c>
      <c r="I524" s="20" t="str">
        <f>SUBSTITUTE(SUBSTITUTE(SUBSTITUTE(T524,"/@","_"),"/cac:","_"),"/cbc:","_")</f>
        <v/>
      </c>
      <c r="J524" s="25" t="s">
        <v>2559</v>
      </c>
      <c r="K524" s="25" t="s">
        <v>2560</v>
      </c>
      <c r="L524" s="25" t="s">
        <v>2561</v>
      </c>
      <c r="M524" s="25" t="s">
        <v>220</v>
      </c>
      <c r="N524" s="27"/>
      <c r="O524" s="25" t="s">
        <v>49</v>
      </c>
      <c r="P524" s="27"/>
      <c r="Q524" s="26" t="str">
        <f>IF(S524="","",LEN(S524)-LEN(SUBSTITUTE(S524,"/",""))+IF(ISNUMBER(SEARCH("@",S524)),0,1))</f>
        <v>4</v>
      </c>
      <c r="R524" s="42" t="s">
        <v>2562</v>
      </c>
      <c r="S524" s="26" t="s">
        <v>2562</v>
      </c>
      <c r="T524" s="20"/>
      <c r="U524" s="20"/>
      <c r="V524" s="20"/>
      <c r="W524" s="25" t="s">
        <v>681</v>
      </c>
      <c r="X524" s="46"/>
      <c r="Y524" s="20"/>
      <c r="Z524" s="20"/>
      <c r="AA524" s="25" t="s">
        <v>222</v>
      </c>
      <c r="AB524" s="20" t="str">
        <f>IF(ISBLANK(S524),"是","否")</f>
        <v>否</v>
      </c>
      <c r="AC524" s="20"/>
      <c r="AD524" s="25"/>
      <c r="AE524" s="25"/>
      <c r="AF524" s="20"/>
      <c r="AG524" s="20"/>
      <c r="AH524" s="20" t="s">
        <v>76</v>
      </c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</row>
    <row r="525" ht="29.59398496240601" customHeight="1" spans="1:57" x14ac:dyDescent="0.25">
      <c r="A525" s="25" t="s">
        <v>1663</v>
      </c>
      <c r="B525" s="19" t="s">
        <v>349</v>
      </c>
      <c r="C525" s="20" t="s">
        <v>57</v>
      </c>
      <c r="D525" s="21"/>
      <c r="E525" s="22"/>
      <c r="F525" s="41"/>
      <c r="G525" s="29" t="s">
        <v>2563</v>
      </c>
      <c r="H525" s="20" t="str">
        <f>SUBSTITUTE(SUBSTITUTE(SUBSTITUTE(S525,"/@","_"),"/cac:","_"),"/cbc:","_")</f>
        <v>Invoice_Delivery_DeliveryParty_PartyTaxScheme_TaxScheme_ID</v>
      </c>
      <c r="I525" s="20" t="str">
        <f>SUBSTITUTE(SUBSTITUTE(SUBSTITUTE(T525,"/@","_"),"/cac:","_"),"/cbc:","_")</f>
        <v/>
      </c>
      <c r="J525" s="25" t="s">
        <v>1261</v>
      </c>
      <c r="K525" s="25" t="s">
        <v>2565</v>
      </c>
      <c r="L525" s="25" t="s">
        <v>2566</v>
      </c>
      <c r="M525" s="25" t="s">
        <v>1661</v>
      </c>
      <c r="N525" s="27"/>
      <c r="O525" s="25" t="s">
        <v>64</v>
      </c>
      <c r="P525" s="27"/>
      <c r="Q525" s="26" t="str">
        <f>IF(S525="","",LEN(S525)-LEN(SUBSTITUTE(S525,"/",""))+IF(ISNUMBER(SEARCH("@",S525)),0,1))</f>
        <v>6</v>
      </c>
      <c r="R525" s="42" t="s">
        <v>2567</v>
      </c>
      <c r="S525" s="26" t="s">
        <v>2567</v>
      </c>
      <c r="T525" s="20"/>
      <c r="U525" s="20"/>
      <c r="V525" s="20"/>
      <c r="W525" s="25" t="s">
        <v>791</v>
      </c>
      <c r="X525" s="46"/>
      <c r="Y525" s="20"/>
      <c r="Z525" s="20"/>
      <c r="AA525" s="25" t="s">
        <v>68</v>
      </c>
      <c r="AB525" s="20" t="str">
        <f>IF(ISBLANK(S525),"是","否")</f>
        <v>否</v>
      </c>
      <c r="AC525" s="20"/>
      <c r="AD525" s="25"/>
      <c r="AE525" s="25"/>
      <c r="AF525" s="20"/>
      <c r="AG525" s="20"/>
      <c r="AH525" s="20" t="s">
        <v>76</v>
      </c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</row>
    <row r="526" ht="29.59398496240601" customHeight="1" spans="1:57" x14ac:dyDescent="0.25">
      <c r="A526" s="25" t="s">
        <v>1663</v>
      </c>
      <c r="B526" s="19" t="s">
        <v>344</v>
      </c>
      <c r="C526" s="20" t="s">
        <v>57</v>
      </c>
      <c r="D526" s="21"/>
      <c r="E526" s="22"/>
      <c r="F526" s="41"/>
      <c r="G526" s="29" t="s">
        <v>2568</v>
      </c>
      <c r="H526" s="20" t="str">
        <f>SUBSTITUTE(SUBSTITUTE(SUBSTITUTE(S526,"/@","_"),"/cac:","_"),"/cbc:","_")</f>
        <v>Invoice_Delivery_DeliveryParty_PartyTaxScheme_CompanyID</v>
      </c>
      <c r="I526" s="20" t="str">
        <f>SUBSTITUTE(SUBSTITUTE(SUBSTITUTE(T526,"/@","_"),"/cac:","_"),"/cbc:","_")</f>
        <v/>
      </c>
      <c r="J526" s="25" t="s">
        <v>2570</v>
      </c>
      <c r="K526" s="25" t="s">
        <v>2571</v>
      </c>
      <c r="L526" s="25" t="s">
        <v>1392</v>
      </c>
      <c r="M526" s="25" t="s">
        <v>228</v>
      </c>
      <c r="N526" s="27"/>
      <c r="O526" s="25" t="s">
        <v>64</v>
      </c>
      <c r="P526" s="27"/>
      <c r="Q526" s="26" t="str">
        <f>IF(S526="","",LEN(S526)-LEN(SUBSTITUTE(S526,"/",""))+IF(ISNUMBER(SEARCH("@",S526)),0,1))</f>
        <v>5</v>
      </c>
      <c r="R526" s="42" t="s">
        <v>2572</v>
      </c>
      <c r="S526" s="26" t="s">
        <v>2572</v>
      </c>
      <c r="T526" s="20"/>
      <c r="U526" s="20"/>
      <c r="V526" s="20"/>
      <c r="W526" s="25" t="s">
        <v>54</v>
      </c>
      <c r="X526" s="46"/>
      <c r="Y526" s="20"/>
      <c r="Z526" s="20"/>
      <c r="AA526" s="25" t="s">
        <v>68</v>
      </c>
      <c r="AB526" s="20" t="str">
        <f>IF(ISBLANK(S526),"是","否")</f>
        <v>否</v>
      </c>
      <c r="AC526" s="20"/>
      <c r="AD526" s="25"/>
      <c r="AE526" s="25"/>
      <c r="AF526" s="20"/>
      <c r="AG526" s="20"/>
      <c r="AH526" s="20" t="s">
        <v>76</v>
      </c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</row>
    <row r="527" ht="29.59398496240601" customHeight="1" spans="1:57" x14ac:dyDescent="0.25">
      <c r="A527" s="25" t="s">
        <v>1663</v>
      </c>
      <c r="B527" s="19" t="s">
        <v>230</v>
      </c>
      <c r="C527" s="20" t="s">
        <v>57</v>
      </c>
      <c r="D527" s="21"/>
      <c r="E527" s="22"/>
      <c r="F527" s="41"/>
      <c r="G527" s="29" t="s">
        <v>2573</v>
      </c>
      <c r="H527" s="20" t="str">
        <f>SUBSTITUTE(SUBSTITUTE(SUBSTITUTE(S527,"/@","_"),"/cac:","_"),"/cbc:","_")</f>
        <v>Invoice_Delivery_DeliveryParty_PartyLegalEntity</v>
      </c>
      <c r="I527" s="20" t="str">
        <f>SUBSTITUTE(SUBSTITUTE(SUBSTITUTE(T527,"/@","_"),"/cac:","_"),"/cbc:","_")</f>
        <v/>
      </c>
      <c r="J527" s="25" t="s">
        <v>2575</v>
      </c>
      <c r="K527" s="25" t="s">
        <v>2576</v>
      </c>
      <c r="L527" s="25" t="s">
        <v>2577</v>
      </c>
      <c r="M527" s="25" t="s">
        <v>220</v>
      </c>
      <c r="N527" s="27"/>
      <c r="O527" s="25" t="s">
        <v>49</v>
      </c>
      <c r="P527" s="27"/>
      <c r="Q527" s="26" t="str">
        <f>IF(S527="","",LEN(S527)-LEN(SUBSTITUTE(S527,"/",""))+IF(ISNUMBER(SEARCH("@",S527)),0,1))</f>
        <v>4</v>
      </c>
      <c r="R527" s="42" t="s">
        <v>2578</v>
      </c>
      <c r="S527" s="26" t="s">
        <v>2578</v>
      </c>
      <c r="T527" s="20"/>
      <c r="U527" s="20"/>
      <c r="V527" s="20"/>
      <c r="W527" s="25" t="s">
        <v>681</v>
      </c>
      <c r="X527" s="46"/>
      <c r="Y527" s="20"/>
      <c r="Z527" s="20"/>
      <c r="AA527" s="25" t="s">
        <v>222</v>
      </c>
      <c r="AB527" s="20" t="str">
        <f>IF(ISBLANK(S527),"是","否")</f>
        <v>否</v>
      </c>
      <c r="AC527" s="20"/>
      <c r="AD527" s="25"/>
      <c r="AE527" s="25"/>
      <c r="AF527" s="20"/>
      <c r="AG527" s="20"/>
      <c r="AH527" s="20" t="s">
        <v>76</v>
      </c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</row>
    <row r="528" ht="39.879699248120296" customHeight="1" spans="1:57" x14ac:dyDescent="0.25">
      <c r="A528" s="25" t="s">
        <v>1663</v>
      </c>
      <c r="B528" s="19" t="s">
        <v>366</v>
      </c>
      <c r="C528" s="20" t="s">
        <v>57</v>
      </c>
      <c r="D528" s="21"/>
      <c r="E528" s="22"/>
      <c r="F528" s="21" t="s">
        <v>2579</v>
      </c>
      <c r="G528" s="29" t="s">
        <v>2580</v>
      </c>
      <c r="H528" s="20" t="str">
        <f>SUBSTITUTE(SUBSTITUTE(SUBSTITUTE(S528,"/@","_"),"/cac:","_"),"/cbc:","_")</f>
        <v>Invoice_Delivery_DeliveryParty_PartyLegalEntity_RegistrationName</v>
      </c>
      <c r="I528" s="20" t="str">
        <f>SUBSTITUTE(SUBSTITUTE(SUBSTITUTE(T528,"/@","_"),"/cac:","_"),"/cbc:","_")</f>
        <v/>
      </c>
      <c r="J528" s="25" t="s">
        <v>2582</v>
      </c>
      <c r="K528" s="25" t="s">
        <v>2583</v>
      </c>
      <c r="L528" s="25" t="s">
        <v>2584</v>
      </c>
      <c r="M528" s="25" t="s">
        <v>228</v>
      </c>
      <c r="N528" s="27"/>
      <c r="O528" s="25" t="s">
        <v>64</v>
      </c>
      <c r="P528" s="27"/>
      <c r="Q528" s="26" t="str">
        <f>IF(S528="","",LEN(S528)-LEN(SUBSTITUTE(S528,"/",""))+IF(ISNUMBER(SEARCH("@",S528)),0,1))</f>
        <v>5</v>
      </c>
      <c r="R528" s="42" t="s">
        <v>2585</v>
      </c>
      <c r="S528" s="26" t="s">
        <v>2585</v>
      </c>
      <c r="T528" s="20"/>
      <c r="U528" s="20"/>
      <c r="V528" s="20"/>
      <c r="W528" s="25" t="s">
        <v>2586</v>
      </c>
      <c r="X528" s="46"/>
      <c r="Y528" s="20"/>
      <c r="Z528" s="20"/>
      <c r="AA528" s="25" t="s">
        <v>68</v>
      </c>
      <c r="AB528" s="20" t="str">
        <f>IF(ISBLANK(S528),"是","否")</f>
        <v>否</v>
      </c>
      <c r="AC528" s="20"/>
      <c r="AD528" s="25"/>
      <c r="AE528" s="25"/>
      <c r="AF528" s="20"/>
      <c r="AG528" s="20"/>
      <c r="AH528" s="20" t="s">
        <v>76</v>
      </c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</row>
    <row r="529" ht="29.59398496240601" customHeight="1" spans="1:57" x14ac:dyDescent="0.25">
      <c r="A529" s="25" t="s">
        <v>1663</v>
      </c>
      <c r="B529" s="19" t="s">
        <v>175</v>
      </c>
      <c r="C529" s="20" t="s">
        <v>57</v>
      </c>
      <c r="D529" s="21"/>
      <c r="E529" s="22"/>
      <c r="F529" s="21" t="s">
        <v>2587</v>
      </c>
      <c r="G529" s="29" t="s">
        <v>2588</v>
      </c>
      <c r="H529" s="20" t="str">
        <f>SUBSTITUTE(SUBSTITUTE(SUBSTITUTE(S529,"/@","_"),"/cac:","_"),"/cbc:","_")</f>
        <v>Invoice_Delivery_DeliveryParty_Contact_Name</v>
      </c>
      <c r="I529" s="20" t="str">
        <f>SUBSTITUTE(SUBSTITUTE(SUBSTITUTE(T529,"/@","_"),"/cac:","_"),"/cbc:","_")</f>
        <v/>
      </c>
      <c r="J529" s="25" t="s">
        <v>2590</v>
      </c>
      <c r="K529" s="25" t="s">
        <v>2591</v>
      </c>
      <c r="L529" s="25" t="s">
        <v>1392</v>
      </c>
      <c r="M529" s="25" t="s">
        <v>228</v>
      </c>
      <c r="N529" s="27" t="s">
        <v>64</v>
      </c>
      <c r="O529" s="25" t="s">
        <v>64</v>
      </c>
      <c r="P529" s="27" t="s">
        <v>50</v>
      </c>
      <c r="Q529" s="26" t="str">
        <f>IF(S529="","",LEN(S529)-LEN(SUBSTITUTE(S529,"/",""))+IF(ISNUMBER(SEARCH("@",S529)),0,1))</f>
        <v>5</v>
      </c>
      <c r="R529" s="42" t="s">
        <v>2592</v>
      </c>
      <c r="S529" s="26" t="s">
        <v>2592</v>
      </c>
      <c r="T529" s="20"/>
      <c r="U529" s="20"/>
      <c r="V529" s="20"/>
      <c r="W529" s="25" t="s">
        <v>2593</v>
      </c>
      <c r="X529" s="46"/>
      <c r="Y529" s="20"/>
      <c r="Z529" s="20"/>
      <c r="AA529" s="25" t="s">
        <v>68</v>
      </c>
      <c r="AB529" s="20" t="str">
        <f>IF(ISBLANK(S529),"是","否")</f>
        <v>否</v>
      </c>
      <c r="AC529" s="20"/>
      <c r="AD529" s="25"/>
      <c r="AE529" s="25"/>
      <c r="AF529" s="20"/>
      <c r="AG529" s="20"/>
      <c r="AH529" s="20" t="s">
        <v>76</v>
      </c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</row>
    <row r="530" ht="39.879699248120296" customHeight="1" spans="1:57" x14ac:dyDescent="0.25">
      <c r="A530" s="25" t="s">
        <v>1663</v>
      </c>
      <c r="B530" s="19" t="s">
        <v>175</v>
      </c>
      <c r="C530" s="20" t="s">
        <v>57</v>
      </c>
      <c r="D530" s="21"/>
      <c r="E530" s="22"/>
      <c r="F530" s="21" t="s">
        <v>2594</v>
      </c>
      <c r="G530" s="29" t="s">
        <v>2595</v>
      </c>
      <c r="H530" s="20" t="str">
        <f>SUBSTITUTE(SUBSTITUTE(SUBSTITUTE(S530,"/@","_"),"/cac:","_"),"/cbc:","_")</f>
        <v>Invoice_Delivery_DeliveryParty_Contact_Telephone</v>
      </c>
      <c r="I530" s="20" t="str">
        <f>SUBSTITUTE(SUBSTITUTE(SUBSTITUTE(T530,"/@","_"),"/cac:","_"),"/cbc:","_")</f>
        <v/>
      </c>
      <c r="J530" s="25" t="s">
        <v>2597</v>
      </c>
      <c r="K530" s="25" t="s">
        <v>2598</v>
      </c>
      <c r="L530" s="25" t="s">
        <v>2599</v>
      </c>
      <c r="M530" s="25" t="s">
        <v>228</v>
      </c>
      <c r="N530" s="27" t="s">
        <v>64</v>
      </c>
      <c r="O530" s="25" t="s">
        <v>64</v>
      </c>
      <c r="P530" s="27" t="s">
        <v>50</v>
      </c>
      <c r="Q530" s="26" t="str">
        <f>IF(S530="","",LEN(S530)-LEN(SUBSTITUTE(S530,"/",""))+IF(ISNUMBER(SEARCH("@",S530)),0,1))</f>
        <v>5</v>
      </c>
      <c r="R530" s="42" t="s">
        <v>2600</v>
      </c>
      <c r="S530" s="26" t="s">
        <v>2600</v>
      </c>
      <c r="T530" s="20"/>
      <c r="U530" s="20"/>
      <c r="V530" s="20"/>
      <c r="W530" s="25">
        <v>-13899999914</v>
      </c>
      <c r="X530" s="46"/>
      <c r="Y530" s="20"/>
      <c r="Z530" s="20"/>
      <c r="AA530" s="25" t="s">
        <v>68</v>
      </c>
      <c r="AB530" s="20" t="str">
        <f>IF(ISBLANK(S530),"是","否")</f>
        <v>否</v>
      </c>
      <c r="AC530" s="20"/>
      <c r="AD530" s="25"/>
      <c r="AE530" s="25"/>
      <c r="AF530" s="20"/>
      <c r="AG530" s="20"/>
      <c r="AH530" s="20" t="s">
        <v>76</v>
      </c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</row>
    <row r="531" ht="39.879699248120296" customHeight="1" spans="1:57" x14ac:dyDescent="0.25">
      <c r="A531" s="25" t="s">
        <v>1663</v>
      </c>
      <c r="B531" s="19" t="s">
        <v>175</v>
      </c>
      <c r="C531" s="20" t="s">
        <v>57</v>
      </c>
      <c r="D531" s="21"/>
      <c r="E531" s="22"/>
      <c r="F531" s="21" t="s">
        <v>2601</v>
      </c>
      <c r="G531" s="29" t="s">
        <v>2602</v>
      </c>
      <c r="H531" s="20" t="str">
        <f>SUBSTITUTE(SUBSTITUTE(SUBSTITUTE(S531,"/@","_"),"/cac:","_"),"/cbc:","_")</f>
        <v>Invoice_Delivery_DeliveryParty_Contact_ElectronicMail</v>
      </c>
      <c r="I531" s="20" t="str">
        <f>SUBSTITUTE(SUBSTITUTE(SUBSTITUTE(T531,"/@","_"),"/cac:","_"),"/cbc:","_")</f>
        <v/>
      </c>
      <c r="J531" s="25" t="s">
        <v>2604</v>
      </c>
      <c r="K531" s="25" t="s">
        <v>2605</v>
      </c>
      <c r="L531" s="25" t="s">
        <v>2606</v>
      </c>
      <c r="M531" s="25" t="s">
        <v>228</v>
      </c>
      <c r="N531" s="27" t="s">
        <v>64</v>
      </c>
      <c r="O531" s="25" t="s">
        <v>64</v>
      </c>
      <c r="P531" s="27" t="s">
        <v>50</v>
      </c>
      <c r="Q531" s="26" t="str">
        <f>IF(S531="","",LEN(S531)-LEN(SUBSTITUTE(S531,"/",""))+IF(ISNUMBER(SEARCH("@",S531)),0,1))</f>
        <v>5</v>
      </c>
      <c r="R531" s="42" t="s">
        <v>2607</v>
      </c>
      <c r="S531" s="26" t="s">
        <v>2607</v>
      </c>
      <c r="T531" s="20"/>
      <c r="U531" s="20"/>
      <c r="V531" s="20"/>
      <c r="W531" s="25" t="s">
        <v>2608</v>
      </c>
      <c r="X531" s="46"/>
      <c r="Y531" s="20"/>
      <c r="Z531" s="20"/>
      <c r="AA531" s="25" t="s">
        <v>68</v>
      </c>
      <c r="AB531" s="20" t="str">
        <f>IF(ISBLANK(S531),"是","否")</f>
        <v>否</v>
      </c>
      <c r="AC531" s="20"/>
      <c r="AD531" s="25"/>
      <c r="AE531" s="25"/>
      <c r="AF531" s="20"/>
      <c r="AG531" s="20"/>
      <c r="AH531" s="20" t="s">
        <v>76</v>
      </c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</row>
    <row r="532" ht="29.59398496240601" customHeight="1" spans="1:57" x14ac:dyDescent="0.25">
      <c r="A532" s="25" t="s">
        <v>1663</v>
      </c>
      <c r="B532" s="19" t="s">
        <v>2172</v>
      </c>
      <c r="C532" s="20" t="s">
        <v>57</v>
      </c>
      <c r="D532" s="21"/>
      <c r="E532" s="22"/>
      <c r="F532" s="41"/>
      <c r="G532" s="29" t="s">
        <v>2609</v>
      </c>
      <c r="H532" s="20" t="str">
        <f>SUBSTITUTE(SUBSTITUTE(SUBSTITUTE(S532,"/@","_"),"/cac:","_"),"/cbc:","_")</f>
        <v>Invoice_Delivery_Shipment_ID</v>
      </c>
      <c r="I532" s="20" t="str">
        <f>SUBSTITUTE(SUBSTITUTE(SUBSTITUTE(T532,"/@","_"),"/cac:","_"),"/cbc:","_")</f>
        <v/>
      </c>
      <c r="J532" s="25" t="s">
        <v>2611</v>
      </c>
      <c r="K532" s="25" t="s">
        <v>2612</v>
      </c>
      <c r="L532" s="25" t="s">
        <v>2613</v>
      </c>
      <c r="M532" s="25" t="s">
        <v>228</v>
      </c>
      <c r="N532" s="27"/>
      <c r="O532" s="25">
        <v>1</v>
      </c>
      <c r="P532" s="27"/>
      <c r="Q532" s="26" t="str">
        <f>IF(S532="","",LEN(S532)-LEN(SUBSTITUTE(S532,"/",""))+IF(ISNUMBER(SEARCH("@",S532)),0,1))</f>
        <v>4</v>
      </c>
      <c r="R532" s="42" t="s">
        <v>2179</v>
      </c>
      <c r="S532" s="26" t="s">
        <v>2179</v>
      </c>
      <c r="T532" s="20"/>
      <c r="U532" s="20"/>
      <c r="V532" s="20"/>
      <c r="W532" s="25" t="s">
        <v>2614</v>
      </c>
      <c r="X532" s="46"/>
      <c r="Y532" s="20"/>
      <c r="Z532" s="20"/>
      <c r="AA532" s="25" t="s">
        <v>68</v>
      </c>
      <c r="AB532" s="20" t="str">
        <f>IF(ISBLANK(S532),"是","否")</f>
        <v>否</v>
      </c>
      <c r="AC532" s="20"/>
      <c r="AD532" s="25"/>
      <c r="AE532" s="25"/>
      <c r="AF532" s="20"/>
      <c r="AG532" s="20"/>
      <c r="AH532" s="20" t="s">
        <v>76</v>
      </c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</row>
    <row r="533" ht="29.59398496240601" customHeight="1" spans="1:57" x14ac:dyDescent="0.25">
      <c r="A533" s="25" t="s">
        <v>1663</v>
      </c>
      <c r="B533" s="19" t="s">
        <v>2172</v>
      </c>
      <c r="C533" s="20" t="s">
        <v>57</v>
      </c>
      <c r="D533" s="21"/>
      <c r="E533" s="22"/>
      <c r="F533" s="41"/>
      <c r="G533" s="29" t="s">
        <v>2615</v>
      </c>
      <c r="H533" s="20" t="str">
        <f>SUBSTITUTE(SUBSTITUTE(SUBSTITUTE(S533,"/@","_"),"/cac:","_"),"/cbc:","_")</f>
        <v>Invoice_Delivery_Shipment_OriginAddress</v>
      </c>
      <c r="I533" s="20" t="str">
        <f>SUBSTITUTE(SUBSTITUTE(SUBSTITUTE(T533,"/@","_"),"/cac:","_"),"/cbc:","_")</f>
        <v/>
      </c>
      <c r="J533" s="25" t="s">
        <v>2617</v>
      </c>
      <c r="K533" s="25" t="s">
        <v>2618</v>
      </c>
      <c r="L533" s="25" t="s">
        <v>2619</v>
      </c>
      <c r="M533" s="25" t="s">
        <v>220</v>
      </c>
      <c r="N533" s="27"/>
      <c r="O533" s="25" t="s">
        <v>64</v>
      </c>
      <c r="P533" s="27"/>
      <c r="Q533" s="26" t="str">
        <f>IF(S533="","",LEN(S533)-LEN(SUBSTITUTE(S533,"/",""))+IF(ISNUMBER(SEARCH("@",S533)),0,1))</f>
        <v>4</v>
      </c>
      <c r="R533" s="42" t="s">
        <v>2620</v>
      </c>
      <c r="S533" s="26" t="s">
        <v>2620</v>
      </c>
      <c r="T533" s="20"/>
      <c r="U533" s="20"/>
      <c r="V533" s="20"/>
      <c r="W533" s="25" t="s">
        <v>681</v>
      </c>
      <c r="X533" s="46"/>
      <c r="Y533" s="20"/>
      <c r="Z533" s="20"/>
      <c r="AA533" s="25" t="s">
        <v>222</v>
      </c>
      <c r="AB533" s="20" t="str">
        <f>IF(ISBLANK(S533),"是","否")</f>
        <v>否</v>
      </c>
      <c r="AC533" s="20"/>
      <c r="AD533" s="25"/>
      <c r="AE533" s="25"/>
      <c r="AF533" s="20"/>
      <c r="AG533" s="20"/>
      <c r="AH533" s="20" t="s">
        <v>76</v>
      </c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</row>
    <row r="534" ht="29.59398496240601" customHeight="1" spans="1:57" x14ac:dyDescent="0.25">
      <c r="A534" s="25" t="s">
        <v>1663</v>
      </c>
      <c r="B534" s="19" t="s">
        <v>282</v>
      </c>
      <c r="C534" s="20" t="s">
        <v>57</v>
      </c>
      <c r="D534" s="21"/>
      <c r="E534" s="22"/>
      <c r="F534" s="41"/>
      <c r="G534" s="29" t="s">
        <v>2621</v>
      </c>
      <c r="H534" s="20" t="str">
        <f>SUBSTITUTE(SUBSTITUTE(SUBSTITUTE(S534,"/@","_"),"/cac:","_"),"/cbc:","_")</f>
        <v>Invoice_Delivery_Shipment_OriginAddress_Postbox</v>
      </c>
      <c r="I534" s="20" t="str">
        <f>SUBSTITUTE(SUBSTITUTE(SUBSTITUTE(T534,"/@","_"),"/cac:","_"),"/cbc:","_")</f>
        <v/>
      </c>
      <c r="J534" s="25" t="s">
        <v>2622</v>
      </c>
      <c r="K534" s="25" t="s">
        <v>2623</v>
      </c>
      <c r="L534" s="25" t="s">
        <v>1392</v>
      </c>
      <c r="M534" s="25" t="s">
        <v>228</v>
      </c>
      <c r="N534" s="27"/>
      <c r="O534" s="25" t="s">
        <v>64</v>
      </c>
      <c r="P534" s="27"/>
      <c r="Q534" s="26" t="str">
        <f>IF(S534="","",LEN(S534)-LEN(SUBSTITUTE(S534,"/",""))+IF(ISNUMBER(SEARCH("@",S534)),0,1))</f>
        <v>5</v>
      </c>
      <c r="R534" s="42" t="s">
        <v>2624</v>
      </c>
      <c r="S534" s="26" t="s">
        <v>2624</v>
      </c>
      <c r="T534" s="20"/>
      <c r="U534" s="20"/>
      <c r="V534" s="20"/>
      <c r="W534" s="25" t="s">
        <v>681</v>
      </c>
      <c r="X534" s="46"/>
      <c r="Y534" s="20"/>
      <c r="Z534" s="20"/>
      <c r="AA534" s="25" t="s">
        <v>68</v>
      </c>
      <c r="AB534" s="20" t="str">
        <f>IF(ISBLANK(S534),"是","否")</f>
        <v>否</v>
      </c>
      <c r="AC534" s="20"/>
      <c r="AD534" s="25"/>
      <c r="AE534" s="25"/>
      <c r="AF534" s="20"/>
      <c r="AG534" s="20"/>
      <c r="AH534" s="20" t="s">
        <v>76</v>
      </c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</row>
    <row r="535" ht="29.59398496240601" customHeight="1" spans="1:57" x14ac:dyDescent="0.25">
      <c r="A535" s="25" t="s">
        <v>1663</v>
      </c>
      <c r="B535" s="19" t="s">
        <v>282</v>
      </c>
      <c r="C535" s="20" t="s">
        <v>57</v>
      </c>
      <c r="D535" s="21"/>
      <c r="E535" s="22"/>
      <c r="F535" s="41"/>
      <c r="G535" s="29" t="s">
        <v>2625</v>
      </c>
      <c r="H535" s="20" t="str">
        <f>SUBSTITUTE(SUBSTITUTE(SUBSTITUTE(S535,"/@","_"),"/cac:","_"),"/cbc:","_")</f>
        <v>Invoice_Delivery_Shipment_OriginAddress_StreetName</v>
      </c>
      <c r="I535" s="20" t="str">
        <f>SUBSTITUTE(SUBSTITUTE(SUBSTITUTE(T535,"/@","_"),"/cac:","_"),"/cbc:","_")</f>
        <v/>
      </c>
      <c r="J535" s="25" t="s">
        <v>2491</v>
      </c>
      <c r="K535" s="25" t="s">
        <v>2626</v>
      </c>
      <c r="L535" s="25" t="s">
        <v>2627</v>
      </c>
      <c r="M535" s="25" t="s">
        <v>228</v>
      </c>
      <c r="N535" s="27"/>
      <c r="O535" s="25" t="s">
        <v>64</v>
      </c>
      <c r="P535" s="27"/>
      <c r="Q535" s="26" t="str">
        <f>IF(S535="","",LEN(S535)-LEN(SUBSTITUTE(S535,"/",""))+IF(ISNUMBER(SEARCH("@",S535)),0,1))</f>
        <v>5</v>
      </c>
      <c r="R535" s="42" t="s">
        <v>2628</v>
      </c>
      <c r="S535" s="26" t="s">
        <v>2628</v>
      </c>
      <c r="T535" s="20"/>
      <c r="U535" s="20"/>
      <c r="V535" s="20"/>
      <c r="W535" s="25" t="s">
        <v>2629</v>
      </c>
      <c r="X535" s="46"/>
      <c r="Y535" s="20"/>
      <c r="Z535" s="20"/>
      <c r="AA535" s="25" t="s">
        <v>68</v>
      </c>
      <c r="AB535" s="20" t="str">
        <f>IF(ISBLANK(S535),"是","否")</f>
        <v>否</v>
      </c>
      <c r="AC535" s="20"/>
      <c r="AD535" s="25"/>
      <c r="AE535" s="25"/>
      <c r="AF535" s="20"/>
      <c r="AG535" s="20"/>
      <c r="AH535" s="20" t="s">
        <v>76</v>
      </c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</row>
    <row r="536" ht="29.59398496240601" customHeight="1" spans="1:57" x14ac:dyDescent="0.25">
      <c r="A536" s="25" t="s">
        <v>1663</v>
      </c>
      <c r="B536" s="19" t="s">
        <v>282</v>
      </c>
      <c r="C536" s="20" t="s">
        <v>57</v>
      </c>
      <c r="D536" s="21"/>
      <c r="E536" s="22"/>
      <c r="F536" s="41"/>
      <c r="G536" s="29" t="s">
        <v>2630</v>
      </c>
      <c r="H536" s="20" t="str">
        <f>SUBSTITUTE(SUBSTITUTE(SUBSTITUTE(S536,"/@","_"),"/cac:","_"),"/cbc:","_")</f>
        <v>Invoice_Delivery_Shipment_OriginAddress_AdditionalStreetName</v>
      </c>
      <c r="I536" s="20" t="str">
        <f>SUBSTITUTE(SUBSTITUTE(SUBSTITUTE(T536,"/@","_"),"/cac:","_"),"/cbc:","_")</f>
        <v/>
      </c>
      <c r="J536" s="25" t="s">
        <v>2499</v>
      </c>
      <c r="K536" s="25" t="s">
        <v>2631</v>
      </c>
      <c r="L536" s="25" t="s">
        <v>1392</v>
      </c>
      <c r="M536" s="25" t="s">
        <v>228</v>
      </c>
      <c r="N536" s="27"/>
      <c r="O536" s="25" t="s">
        <v>64</v>
      </c>
      <c r="P536" s="27"/>
      <c r="Q536" s="26" t="str">
        <f>IF(S536="","",LEN(S536)-LEN(SUBSTITUTE(S536,"/",""))+IF(ISNUMBER(SEARCH("@",S536)),0,1))</f>
        <v>5</v>
      </c>
      <c r="R536" s="42" t="s">
        <v>2632</v>
      </c>
      <c r="S536" s="26" t="s">
        <v>2632</v>
      </c>
      <c r="T536" s="20"/>
      <c r="U536" s="20"/>
      <c r="V536" s="20"/>
      <c r="W536" s="25" t="s">
        <v>2633</v>
      </c>
      <c r="X536" s="46"/>
      <c r="Y536" s="20"/>
      <c r="Z536" s="20"/>
      <c r="AA536" s="25" t="s">
        <v>68</v>
      </c>
      <c r="AB536" s="20" t="str">
        <f>IF(ISBLANK(S536),"是","否")</f>
        <v>否</v>
      </c>
      <c r="AC536" s="20"/>
      <c r="AD536" s="25"/>
      <c r="AE536" s="25"/>
      <c r="AF536" s="20"/>
      <c r="AG536" s="20"/>
      <c r="AH536" s="20" t="s">
        <v>76</v>
      </c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</row>
    <row r="537" ht="29.59398496240601" customHeight="1" spans="1:57" x14ac:dyDescent="0.25">
      <c r="A537" s="25" t="s">
        <v>1663</v>
      </c>
      <c r="B537" s="19" t="s">
        <v>282</v>
      </c>
      <c r="C537" s="20" t="s">
        <v>57</v>
      </c>
      <c r="D537" s="21"/>
      <c r="E537" s="22"/>
      <c r="F537" s="41"/>
      <c r="G537" s="29" t="s">
        <v>2634</v>
      </c>
      <c r="H537" s="20" t="str">
        <f>SUBSTITUTE(SUBSTITUTE(SUBSTITUTE(S537,"/@","_"),"/cac:","_"),"/cbc:","_")</f>
        <v>Invoice_Delivery_Shipment_OriginAddress_BuildingNumber</v>
      </c>
      <c r="I537" s="20" t="str">
        <f>SUBSTITUTE(SUBSTITUTE(SUBSTITUTE(T537,"/@","_"),"/cac:","_"),"/cbc:","_")</f>
        <v/>
      </c>
      <c r="J537" s="25" t="s">
        <v>2635</v>
      </c>
      <c r="K537" s="25" t="s">
        <v>2636</v>
      </c>
      <c r="L537" s="25" t="s">
        <v>1392</v>
      </c>
      <c r="M537" s="25" t="s">
        <v>228</v>
      </c>
      <c r="N537" s="27"/>
      <c r="O537" s="25" t="s">
        <v>64</v>
      </c>
      <c r="P537" s="27"/>
      <c r="Q537" s="26" t="str">
        <f>IF(S537="","",LEN(S537)-LEN(SUBSTITUTE(S537,"/",""))+IF(ISNUMBER(SEARCH("@",S537)),0,1))</f>
        <v>5</v>
      </c>
      <c r="R537" s="42" t="s">
        <v>2637</v>
      </c>
      <c r="S537" s="26" t="s">
        <v>2637</v>
      </c>
      <c r="T537" s="20"/>
      <c r="U537" s="20"/>
      <c r="V537" s="20"/>
      <c r="W537" s="25">
        <v>88</v>
      </c>
      <c r="X537" s="46"/>
      <c r="Y537" s="20"/>
      <c r="Z537" s="20"/>
      <c r="AA537" s="25" t="s">
        <v>68</v>
      </c>
      <c r="AB537" s="20" t="str">
        <f>IF(ISBLANK(S537),"是","否")</f>
        <v>否</v>
      </c>
      <c r="AC537" s="20"/>
      <c r="AD537" s="25"/>
      <c r="AE537" s="25"/>
      <c r="AF537" s="20"/>
      <c r="AG537" s="20"/>
      <c r="AH537" s="20" t="s">
        <v>76</v>
      </c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</row>
    <row r="538" ht="29.59398496240601" customHeight="1" spans="1:57" x14ac:dyDescent="0.25">
      <c r="A538" s="25" t="s">
        <v>1663</v>
      </c>
      <c r="B538" s="19" t="s">
        <v>282</v>
      </c>
      <c r="C538" s="20" t="s">
        <v>57</v>
      </c>
      <c r="D538" s="21"/>
      <c r="E538" s="22"/>
      <c r="F538" s="41"/>
      <c r="G538" s="29" t="s">
        <v>2638</v>
      </c>
      <c r="H538" s="20" t="str">
        <f>SUBSTITUTE(SUBSTITUTE(SUBSTITUTE(S538,"/@","_"),"/cac:","_"),"/cbc:","_")</f>
        <v>Invoice_Delivery_Shipment_OriginAddress_Department</v>
      </c>
      <c r="I538" s="20" t="str">
        <f>SUBSTITUTE(SUBSTITUTE(SUBSTITUTE(T538,"/@","_"),"/cac:","_"),"/cbc:","_")</f>
        <v/>
      </c>
      <c r="J538" s="25" t="s">
        <v>2639</v>
      </c>
      <c r="K538" s="25" t="s">
        <v>2640</v>
      </c>
      <c r="L538" s="25" t="s">
        <v>1392</v>
      </c>
      <c r="M538" s="25" t="s">
        <v>228</v>
      </c>
      <c r="N538" s="27"/>
      <c r="O538" s="25" t="s">
        <v>64</v>
      </c>
      <c r="P538" s="27"/>
      <c r="Q538" s="26" t="str">
        <f>IF(S538="","",LEN(S538)-LEN(SUBSTITUTE(S538,"/",""))+IF(ISNUMBER(SEARCH("@",S538)),0,1))</f>
        <v>5</v>
      </c>
      <c r="R538" s="42" t="s">
        <v>2641</v>
      </c>
      <c r="S538" s="26" t="s">
        <v>2641</v>
      </c>
      <c r="T538" s="20"/>
      <c r="U538" s="20"/>
      <c r="V538" s="20"/>
      <c r="W538" s="25" t="s">
        <v>2642</v>
      </c>
      <c r="X538" s="46"/>
      <c r="Y538" s="20"/>
      <c r="Z538" s="20"/>
      <c r="AA538" s="25" t="s">
        <v>68</v>
      </c>
      <c r="AB538" s="20" t="str">
        <f>IF(ISBLANK(S538),"是","否")</f>
        <v>否</v>
      </c>
      <c r="AC538" s="20"/>
      <c r="AD538" s="25"/>
      <c r="AE538" s="25"/>
      <c r="AF538" s="20"/>
      <c r="AG538" s="20"/>
      <c r="AH538" s="20" t="s">
        <v>76</v>
      </c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</row>
    <row r="539" ht="29.59398496240601" customHeight="1" spans="1:57" x14ac:dyDescent="0.25">
      <c r="A539" s="25" t="s">
        <v>1663</v>
      </c>
      <c r="B539" s="19" t="s">
        <v>282</v>
      </c>
      <c r="C539" s="20" t="s">
        <v>57</v>
      </c>
      <c r="D539" s="21"/>
      <c r="E539" s="22"/>
      <c r="F539" s="41"/>
      <c r="G539" s="29" t="s">
        <v>2643</v>
      </c>
      <c r="H539" s="20" t="str">
        <f>SUBSTITUTE(SUBSTITUTE(SUBSTITUTE(S539,"/@","_"),"/cac:","_"),"/cbc:","_")</f>
        <v>Invoice_Delivery_Shipment_OriginAddress_PlotIdentification</v>
      </c>
      <c r="I539" s="20" t="str">
        <f>SUBSTITUTE(SUBSTITUTE(SUBSTITUTE(T539,"/@","_"),"/cac:","_"),"/cbc:","_")</f>
        <v/>
      </c>
      <c r="J539" s="25" t="s">
        <v>2644</v>
      </c>
      <c r="K539" s="25" t="s">
        <v>2645</v>
      </c>
      <c r="L539" s="25" t="s">
        <v>1392</v>
      </c>
      <c r="M539" s="25" t="s">
        <v>228</v>
      </c>
      <c r="N539" s="27"/>
      <c r="O539" s="25" t="s">
        <v>64</v>
      </c>
      <c r="P539" s="27"/>
      <c r="Q539" s="26" t="str">
        <f>IF(S539="","",LEN(S539)-LEN(SUBSTITUTE(S539,"/",""))+IF(ISNUMBER(SEARCH("@",S539)),0,1))</f>
        <v>5</v>
      </c>
      <c r="R539" s="42" t="s">
        <v>2646</v>
      </c>
      <c r="S539" s="26" t="s">
        <v>2646</v>
      </c>
      <c r="T539" s="20"/>
      <c r="U539" s="20"/>
      <c r="V539" s="20"/>
      <c r="W539" s="25" t="s">
        <v>681</v>
      </c>
      <c r="X539" s="46"/>
      <c r="Y539" s="20"/>
      <c r="Z539" s="20"/>
      <c r="AA539" s="25" t="s">
        <v>68</v>
      </c>
      <c r="AB539" s="20" t="str">
        <f>IF(ISBLANK(S539),"是","否")</f>
        <v>否</v>
      </c>
      <c r="AC539" s="20"/>
      <c r="AD539" s="25"/>
      <c r="AE539" s="25"/>
      <c r="AF539" s="20"/>
      <c r="AG539" s="20"/>
      <c r="AH539" s="20" t="s">
        <v>76</v>
      </c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</row>
    <row r="540" ht="29.59398496240601" customHeight="1" spans="1:57" x14ac:dyDescent="0.25">
      <c r="A540" s="25" t="s">
        <v>1663</v>
      </c>
      <c r="B540" s="19" t="s">
        <v>282</v>
      </c>
      <c r="C540" s="20" t="s">
        <v>57</v>
      </c>
      <c r="D540" s="21"/>
      <c r="E540" s="22"/>
      <c r="F540" s="41"/>
      <c r="G540" s="29" t="s">
        <v>2647</v>
      </c>
      <c r="H540" s="20" t="str">
        <f>SUBSTITUTE(SUBSTITUTE(SUBSTITUTE(S540,"/@","_"),"/cac:","_"),"/cbc:","_")</f>
        <v>Invoice_Delivery_Shipment_OriginAddress_CitySubdivisionName</v>
      </c>
      <c r="I540" s="20" t="str">
        <f>SUBSTITUTE(SUBSTITUTE(SUBSTITUTE(T540,"/@","_"),"/cac:","_"),"/cbc:","_")</f>
        <v/>
      </c>
      <c r="J540" s="25" t="s">
        <v>2648</v>
      </c>
      <c r="K540" s="25" t="s">
        <v>2649</v>
      </c>
      <c r="L540" s="25" t="s">
        <v>1392</v>
      </c>
      <c r="M540" s="25" t="s">
        <v>228</v>
      </c>
      <c r="N540" s="27"/>
      <c r="O540" s="25" t="s">
        <v>64</v>
      </c>
      <c r="P540" s="27"/>
      <c r="Q540" s="26" t="str">
        <f>IF(S540="","",LEN(S540)-LEN(SUBSTITUTE(S540,"/",""))+IF(ISNUMBER(SEARCH("@",S540)),0,1))</f>
        <v>5</v>
      </c>
      <c r="R540" s="42" t="s">
        <v>2650</v>
      </c>
      <c r="S540" s="26" t="s">
        <v>2650</v>
      </c>
      <c r="T540" s="20"/>
      <c r="U540" s="20"/>
      <c r="V540" s="20"/>
      <c r="W540" s="25" t="s">
        <v>2651</v>
      </c>
      <c r="X540" s="46"/>
      <c r="Y540" s="20"/>
      <c r="Z540" s="20"/>
      <c r="AA540" s="25" t="s">
        <v>68</v>
      </c>
      <c r="AB540" s="20" t="str">
        <f>IF(ISBLANK(S540),"是","否")</f>
        <v>否</v>
      </c>
      <c r="AC540" s="20"/>
      <c r="AD540" s="25"/>
      <c r="AE540" s="25"/>
      <c r="AF540" s="20"/>
      <c r="AG540" s="20"/>
      <c r="AH540" s="20" t="s">
        <v>76</v>
      </c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</row>
    <row r="541" ht="29.59398496240601" customHeight="1" spans="1:57" x14ac:dyDescent="0.25">
      <c r="A541" s="25" t="s">
        <v>1663</v>
      </c>
      <c r="B541" s="19" t="s">
        <v>282</v>
      </c>
      <c r="C541" s="20" t="s">
        <v>57</v>
      </c>
      <c r="D541" s="21"/>
      <c r="E541" s="22"/>
      <c r="F541" s="41"/>
      <c r="G541" s="29" t="s">
        <v>2652</v>
      </c>
      <c r="H541" s="20" t="str">
        <f>SUBSTITUTE(SUBSTITUTE(SUBSTITUTE(S541,"/@","_"),"/cac:","_"),"/cbc:","_")</f>
        <v>Invoice_Delivery_Shipment_OriginAddress_CityName</v>
      </c>
      <c r="I541" s="20" t="str">
        <f>SUBSTITUTE(SUBSTITUTE(SUBSTITUTE(T541,"/@","_"),"/cac:","_"),"/cbc:","_")</f>
        <v/>
      </c>
      <c r="J541" s="25" t="s">
        <v>2507</v>
      </c>
      <c r="K541" s="25" t="s">
        <v>2653</v>
      </c>
      <c r="L541" s="25" t="s">
        <v>2654</v>
      </c>
      <c r="M541" s="25" t="s">
        <v>228</v>
      </c>
      <c r="N541" s="27"/>
      <c r="O541" s="25" t="s">
        <v>64</v>
      </c>
      <c r="P541" s="27"/>
      <c r="Q541" s="26" t="str">
        <f>IF(S541="","",LEN(S541)-LEN(SUBSTITUTE(S541,"/",""))+IF(ISNUMBER(SEARCH("@",S541)),0,1))</f>
        <v>5</v>
      </c>
      <c r="R541" s="42" t="s">
        <v>2655</v>
      </c>
      <c r="S541" s="26" t="s">
        <v>2655</v>
      </c>
      <c r="T541" s="20"/>
      <c r="U541" s="20"/>
      <c r="V541" s="20"/>
      <c r="W541" s="25" t="s">
        <v>2656</v>
      </c>
      <c r="X541" s="46"/>
      <c r="Y541" s="20"/>
      <c r="Z541" s="20"/>
      <c r="AA541" s="25" t="s">
        <v>68</v>
      </c>
      <c r="AB541" s="20" t="str">
        <f>IF(ISBLANK(S541),"是","否")</f>
        <v>否</v>
      </c>
      <c r="AC541" s="20"/>
      <c r="AD541" s="25"/>
      <c r="AE541" s="25"/>
      <c r="AF541" s="20"/>
      <c r="AG541" s="20"/>
      <c r="AH541" s="20" t="s">
        <v>76</v>
      </c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</row>
    <row r="542" ht="29.59398496240601" customHeight="1" spans="1:57" x14ac:dyDescent="0.25">
      <c r="A542" s="25" t="s">
        <v>1663</v>
      </c>
      <c r="B542" s="19" t="s">
        <v>282</v>
      </c>
      <c r="C542" s="20" t="s">
        <v>57</v>
      </c>
      <c r="D542" s="21"/>
      <c r="E542" s="22"/>
      <c r="F542" s="41"/>
      <c r="G542" s="29" t="s">
        <v>2657</v>
      </c>
      <c r="H542" s="20" t="str">
        <f>SUBSTITUTE(SUBSTITUTE(SUBSTITUTE(S542,"/@","_"),"/cac:","_"),"/cbc:","_")</f>
        <v>Invoice_Delivery_Shipment_OriginAddress_PostalZone</v>
      </c>
      <c r="I542" s="20" t="str">
        <f>SUBSTITUTE(SUBSTITUTE(SUBSTITUTE(T542,"/@","_"),"/cac:","_"),"/cbc:","_")</f>
        <v/>
      </c>
      <c r="J542" s="25" t="s">
        <v>2658</v>
      </c>
      <c r="K542" s="25" t="s">
        <v>2659</v>
      </c>
      <c r="L542" s="25" t="s">
        <v>1392</v>
      </c>
      <c r="M542" s="25" t="s">
        <v>228</v>
      </c>
      <c r="N542" s="27"/>
      <c r="O542" s="25" t="s">
        <v>64</v>
      </c>
      <c r="P542" s="27"/>
      <c r="Q542" s="26" t="str">
        <f>IF(S542="","",LEN(S542)-LEN(SUBSTITUTE(S542,"/",""))+IF(ISNUMBER(SEARCH("@",S542)),0,1))</f>
        <v>5</v>
      </c>
      <c r="R542" s="42" t="s">
        <v>2660</v>
      </c>
      <c r="S542" s="26" t="s">
        <v>2660</v>
      </c>
      <c r="T542" s="20"/>
      <c r="U542" s="20"/>
      <c r="V542" s="20"/>
      <c r="W542" s="25">
        <v>100000</v>
      </c>
      <c r="X542" s="46"/>
      <c r="Y542" s="20"/>
      <c r="Z542" s="20"/>
      <c r="AA542" s="25" t="s">
        <v>68</v>
      </c>
      <c r="AB542" s="20" t="str">
        <f>IF(ISBLANK(S542),"是","否")</f>
        <v>否</v>
      </c>
      <c r="AC542" s="20"/>
      <c r="AD542" s="25"/>
      <c r="AE542" s="25"/>
      <c r="AF542" s="20"/>
      <c r="AG542" s="20"/>
      <c r="AH542" s="20" t="s">
        <v>76</v>
      </c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</row>
    <row r="543" ht="29.59398496240601" customHeight="1" spans="1:57" x14ac:dyDescent="0.25">
      <c r="A543" s="25" t="s">
        <v>1663</v>
      </c>
      <c r="B543" s="19" t="s">
        <v>282</v>
      </c>
      <c r="C543" s="20" t="s">
        <v>57</v>
      </c>
      <c r="D543" s="21"/>
      <c r="E543" s="22"/>
      <c r="F543" s="41"/>
      <c r="G543" s="29" t="s">
        <v>2661</v>
      </c>
      <c r="H543" s="20" t="str">
        <f>SUBSTITUTE(SUBSTITUTE(SUBSTITUTE(S543,"/@","_"),"/cac:","_"),"/cbc:","_")</f>
        <v>Invoice_Delivery_Shipment_OriginAddress_CountrySubentity</v>
      </c>
      <c r="I543" s="20" t="str">
        <f>SUBSTITUTE(SUBSTITUTE(SUBSTITUTE(T543,"/@","_"),"/cac:","_"),"/cbc:","_")</f>
        <v/>
      </c>
      <c r="J543" s="25" t="s">
        <v>2662</v>
      </c>
      <c r="K543" s="25" t="s">
        <v>2663</v>
      </c>
      <c r="L543" s="25" t="s">
        <v>2523</v>
      </c>
      <c r="M543" s="25" t="s">
        <v>228</v>
      </c>
      <c r="N543" s="27"/>
      <c r="O543" s="25" t="s">
        <v>64</v>
      </c>
      <c r="P543" s="27"/>
      <c r="Q543" s="26" t="str">
        <f>IF(S543="","",LEN(S543)-LEN(SUBSTITUTE(S543,"/",""))+IF(ISNUMBER(SEARCH("@",S543)),0,1))</f>
        <v>5</v>
      </c>
      <c r="R543" s="42" t="s">
        <v>2664</v>
      </c>
      <c r="S543" s="26" t="s">
        <v>2664</v>
      </c>
      <c r="T543" s="20"/>
      <c r="U543" s="20"/>
      <c r="V543" s="20"/>
      <c r="W543" s="25" t="s">
        <v>2656</v>
      </c>
      <c r="X543" s="46"/>
      <c r="Y543" s="20"/>
      <c r="Z543" s="20"/>
      <c r="AA543" s="25" t="s">
        <v>68</v>
      </c>
      <c r="AB543" s="20" t="str">
        <f>IF(ISBLANK(S543),"是","否")</f>
        <v>否</v>
      </c>
      <c r="AC543" s="20"/>
      <c r="AD543" s="25"/>
      <c r="AE543" s="25"/>
      <c r="AF543" s="20"/>
      <c r="AG543" s="20"/>
      <c r="AH543" s="20" t="s">
        <v>76</v>
      </c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</row>
    <row r="544" ht="29.59398496240601" customHeight="1" spans="1:57" x14ac:dyDescent="0.25">
      <c r="A544" s="25" t="s">
        <v>1663</v>
      </c>
      <c r="B544" s="19" t="s">
        <v>282</v>
      </c>
      <c r="C544" s="20" t="s">
        <v>57</v>
      </c>
      <c r="D544" s="21"/>
      <c r="E544" s="22"/>
      <c r="F544" s="41"/>
      <c r="G544" s="29" t="s">
        <v>2665</v>
      </c>
      <c r="H544" s="20" t="str">
        <f>SUBSTITUTE(SUBSTITUTE(SUBSTITUTE(S544,"/@","_"),"/cac:","_"),"/cbc:","_")</f>
        <v>Invoice_Delivery_Shipment_OriginAddress_AddressLine</v>
      </c>
      <c r="I544" s="20" t="str">
        <f>SUBSTITUTE(SUBSTITUTE(SUBSTITUTE(T544,"/@","_"),"/cac:","_"),"/cbc:","_")</f>
        <v/>
      </c>
      <c r="J544" s="25" t="s">
        <v>2527</v>
      </c>
      <c r="K544" s="25" t="s">
        <v>2666</v>
      </c>
      <c r="L544" s="25" t="s">
        <v>2529</v>
      </c>
      <c r="M544" s="25" t="s">
        <v>220</v>
      </c>
      <c r="N544" s="27"/>
      <c r="O544" s="25" t="s">
        <v>64</v>
      </c>
      <c r="P544" s="27"/>
      <c r="Q544" s="26" t="str">
        <f>IF(S544="","",LEN(S544)-LEN(SUBSTITUTE(S544,"/",""))+IF(ISNUMBER(SEARCH("@",S544)),0,1))</f>
        <v>5</v>
      </c>
      <c r="R544" s="42" t="s">
        <v>2667</v>
      </c>
      <c r="S544" s="26" t="s">
        <v>2667</v>
      </c>
      <c r="T544" s="20"/>
      <c r="U544" s="20"/>
      <c r="V544" s="20"/>
      <c r="W544" s="25" t="s">
        <v>681</v>
      </c>
      <c r="X544" s="46"/>
      <c r="Y544" s="20"/>
      <c r="Z544" s="20"/>
      <c r="AA544" s="25" t="s">
        <v>222</v>
      </c>
      <c r="AB544" s="20" t="str">
        <f>IF(ISBLANK(S544),"是","否")</f>
        <v>否</v>
      </c>
      <c r="AC544" s="20"/>
      <c r="AD544" s="25"/>
      <c r="AE544" s="25"/>
      <c r="AF544" s="20"/>
      <c r="AG544" s="20"/>
      <c r="AH544" s="20" t="s">
        <v>76</v>
      </c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</row>
    <row r="545" ht="29.59398496240601" customHeight="1" spans="1:57" x14ac:dyDescent="0.25">
      <c r="A545" s="25" t="s">
        <v>1663</v>
      </c>
      <c r="B545" s="19" t="s">
        <v>316</v>
      </c>
      <c r="C545" s="20" t="s">
        <v>57</v>
      </c>
      <c r="D545" s="21"/>
      <c r="E545" s="22"/>
      <c r="F545" s="41"/>
      <c r="G545" s="29" t="s">
        <v>2668</v>
      </c>
      <c r="H545" s="20" t="str">
        <f>SUBSTITUTE(SUBSTITUTE(SUBSTITUTE(S545,"/@","_"),"/cac:","_"),"/cbc:","_")</f>
        <v>Invoice_Delivery_Shipment_OriginAddress_AddressLine_Line</v>
      </c>
      <c r="I545" s="20" t="str">
        <f>SUBSTITUTE(SUBSTITUTE(SUBSTITUTE(T545,"/@","_"),"/cac:","_"),"/cbc:","_")</f>
        <v/>
      </c>
      <c r="J545" s="25" t="s">
        <v>2533</v>
      </c>
      <c r="K545" s="25" t="s">
        <v>2669</v>
      </c>
      <c r="L545" s="25" t="s">
        <v>1392</v>
      </c>
      <c r="M545" s="25" t="s">
        <v>228</v>
      </c>
      <c r="N545" s="27"/>
      <c r="O545" s="25" t="s">
        <v>49</v>
      </c>
      <c r="P545" s="27"/>
      <c r="Q545" s="26" t="str">
        <f>IF(S545="","",LEN(S545)-LEN(SUBSTITUTE(S545,"/",""))+IF(ISNUMBER(SEARCH("@",S545)),0,1))</f>
        <v>6</v>
      </c>
      <c r="R545" s="42" t="s">
        <v>2670</v>
      </c>
      <c r="S545" s="26" t="s">
        <v>2670</v>
      </c>
      <c r="T545" s="20"/>
      <c r="U545" s="20"/>
      <c r="V545" s="20"/>
      <c r="W545" s="25" t="s">
        <v>2671</v>
      </c>
      <c r="X545" s="46"/>
      <c r="Y545" s="20"/>
      <c r="Z545" s="20"/>
      <c r="AA545" s="25" t="s">
        <v>68</v>
      </c>
      <c r="AB545" s="20" t="str">
        <f>IF(ISBLANK(S545),"是","否")</f>
        <v>否</v>
      </c>
      <c r="AC545" s="20"/>
      <c r="AD545" s="25"/>
      <c r="AE545" s="25"/>
      <c r="AF545" s="20"/>
      <c r="AG545" s="20"/>
      <c r="AH545" s="20" t="s">
        <v>76</v>
      </c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</row>
    <row r="546" ht="29.59398496240601" customHeight="1" spans="1:57" x14ac:dyDescent="0.25">
      <c r="A546" s="25" t="s">
        <v>1663</v>
      </c>
      <c r="B546" s="19" t="s">
        <v>328</v>
      </c>
      <c r="C546" s="20" t="s">
        <v>57</v>
      </c>
      <c r="D546" s="21"/>
      <c r="E546" s="22"/>
      <c r="F546" s="41"/>
      <c r="G546" s="29" t="s">
        <v>2672</v>
      </c>
      <c r="H546" s="20" t="str">
        <f>SUBSTITUTE(SUBSTITUTE(SUBSTITUTE(S546,"/@","_"),"/cac:","_"),"/cbc:","_")</f>
        <v>Invoice_Delivery_Shipment_OriginAddress_Country_IdentificationCode</v>
      </c>
      <c r="I546" s="20" t="str">
        <f>SUBSTITUTE(SUBSTITUTE(SUBSTITUTE(T546,"/@","_"),"/cac:","_"),"/cbc:","_")</f>
        <v/>
      </c>
      <c r="J546" s="25" t="s">
        <v>2541</v>
      </c>
      <c r="K546" s="25" t="s">
        <v>2673</v>
      </c>
      <c r="L546" s="25" t="s">
        <v>1465</v>
      </c>
      <c r="M546" s="25" t="s">
        <v>1661</v>
      </c>
      <c r="N546" s="27"/>
      <c r="O546" s="25" t="s">
        <v>64</v>
      </c>
      <c r="P546" s="27"/>
      <c r="Q546" s="26" t="str">
        <f>IF(S546="","",LEN(S546)-LEN(SUBSTITUTE(S546,"/",""))+IF(ISNUMBER(SEARCH("@",S546)),0,1))</f>
        <v>6</v>
      </c>
      <c r="R546" s="42" t="s">
        <v>2674</v>
      </c>
      <c r="S546" s="26" t="s">
        <v>2674</v>
      </c>
      <c r="T546" s="20"/>
      <c r="U546" s="20"/>
      <c r="V546" s="20"/>
      <c r="W546" s="25" t="s">
        <v>773</v>
      </c>
      <c r="X546" s="46"/>
      <c r="Y546" s="20"/>
      <c r="Z546" s="20"/>
      <c r="AA546" s="25" t="s">
        <v>68</v>
      </c>
      <c r="AB546" s="20" t="str">
        <f>IF(ISBLANK(S546),"是","否")</f>
        <v>否</v>
      </c>
      <c r="AC546" s="20"/>
      <c r="AD546" s="25"/>
      <c r="AE546" s="25"/>
      <c r="AF546" s="20"/>
      <c r="AG546" s="20"/>
      <c r="AH546" s="20" t="s">
        <v>76</v>
      </c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</row>
    <row r="547" ht="29.59398496240601" customHeight="1" spans="1:57" x14ac:dyDescent="0.25">
      <c r="A547" s="25" t="s">
        <v>1663</v>
      </c>
      <c r="B547" s="19" t="s">
        <v>328</v>
      </c>
      <c r="C547" s="20" t="s">
        <v>57</v>
      </c>
      <c r="D547" s="21"/>
      <c r="E547" s="22"/>
      <c r="F547" s="41"/>
      <c r="G547" s="29" t="s">
        <v>2675</v>
      </c>
      <c r="H547" s="20" t="str">
        <f>SUBSTITUTE(SUBSTITUTE(SUBSTITUTE(S547,"/@","_"),"/cac:","_"),"/cbc:","_")</f>
        <v>Invoice_Delivery_Shipment_OriginAddress_Country_Name</v>
      </c>
      <c r="I547" s="20" t="str">
        <f>SUBSTITUTE(SUBSTITUTE(SUBSTITUTE(T547,"/@","_"),"/cac:","_"),"/cbc:","_")</f>
        <v/>
      </c>
      <c r="J547" s="25" t="s">
        <v>2676</v>
      </c>
      <c r="K547" s="25" t="s">
        <v>2677</v>
      </c>
      <c r="L547" s="25" t="s">
        <v>1392</v>
      </c>
      <c r="M547" s="25" t="s">
        <v>228</v>
      </c>
      <c r="N547" s="27"/>
      <c r="O547" s="25" t="s">
        <v>64</v>
      </c>
      <c r="P547" s="27"/>
      <c r="Q547" s="26" t="str">
        <f>IF(S547="","",LEN(S547)-LEN(SUBSTITUTE(S547,"/",""))+IF(ISNUMBER(SEARCH("@",S547)),0,1))</f>
        <v>6</v>
      </c>
      <c r="R547" s="42" t="s">
        <v>2678</v>
      </c>
      <c r="S547" s="26" t="s">
        <v>2678</v>
      </c>
      <c r="T547" s="20"/>
      <c r="U547" s="20"/>
      <c r="V547" s="20"/>
      <c r="W547" s="25" t="s">
        <v>779</v>
      </c>
      <c r="X547" s="46"/>
      <c r="Y547" s="20"/>
      <c r="Z547" s="20"/>
      <c r="AA547" s="25" t="s">
        <v>68</v>
      </c>
      <c r="AB547" s="20" t="str">
        <f>IF(ISBLANK(S547),"是","否")</f>
        <v>否</v>
      </c>
      <c r="AC547" s="20"/>
      <c r="AD547" s="25"/>
      <c r="AE547" s="25"/>
      <c r="AF547" s="20"/>
      <c r="AG547" s="20"/>
      <c r="AH547" s="20" t="s">
        <v>76</v>
      </c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</row>
    <row r="548" ht="29.59398496240601" customHeight="1" spans="1:57" x14ac:dyDescent="0.25">
      <c r="A548" s="25" t="s">
        <v>1663</v>
      </c>
      <c r="B548" s="19" t="s">
        <v>2439</v>
      </c>
      <c r="C548" s="20" t="s">
        <v>57</v>
      </c>
      <c r="D548" s="21"/>
      <c r="E548" s="22"/>
      <c r="F548" s="41"/>
      <c r="G548" s="29" t="s">
        <v>2679</v>
      </c>
      <c r="H548" s="20" t="str">
        <f>SUBSTITUTE(SUBSTITUTE(SUBSTITUTE(S548,"/@","_"),"/cac:","_"),"/cbc:","_")</f>
        <v>Invoice_Delivery_Shipment_LastExitPortLocation</v>
      </c>
      <c r="I548" s="20" t="str">
        <f>SUBSTITUTE(SUBSTITUTE(SUBSTITUTE(T548,"/@","_"),"/cac:","_"),"/cbc:","_")</f>
        <v/>
      </c>
      <c r="J548" s="25" t="s">
        <v>2681</v>
      </c>
      <c r="K548" s="25" t="s">
        <v>2682</v>
      </c>
      <c r="L548" s="25" t="s">
        <v>2683</v>
      </c>
      <c r="M548" s="25" t="s">
        <v>220</v>
      </c>
      <c r="N548" s="27"/>
      <c r="O548" s="25" t="s">
        <v>64</v>
      </c>
      <c r="P548" s="27"/>
      <c r="Q548" s="26" t="str">
        <f>IF(S548="","",LEN(S548)-LEN(SUBSTITUTE(S548,"/",""))+IF(ISNUMBER(SEARCH("@",S548)),0,1))</f>
        <v>4</v>
      </c>
      <c r="R548" s="42" t="s">
        <v>2684</v>
      </c>
      <c r="S548" s="26" t="s">
        <v>2684</v>
      </c>
      <c r="T548" s="20"/>
      <c r="U548" s="20"/>
      <c r="V548" s="20"/>
      <c r="W548" s="25" t="s">
        <v>681</v>
      </c>
      <c r="X548" s="46"/>
      <c r="Y548" s="20"/>
      <c r="Z548" s="20"/>
      <c r="AA548" s="25" t="s">
        <v>222</v>
      </c>
      <c r="AB548" s="20" t="str">
        <f>IF(ISBLANK(S548),"是","否")</f>
        <v>否</v>
      </c>
      <c r="AC548" s="20"/>
      <c r="AD548" s="25"/>
      <c r="AE548" s="25"/>
      <c r="AF548" s="20"/>
      <c r="AG548" s="20"/>
      <c r="AH548" s="20" t="s">
        <v>76</v>
      </c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</row>
    <row r="549" ht="29.59398496240601" customHeight="1" spans="1:57" x14ac:dyDescent="0.25">
      <c r="A549" s="25" t="s">
        <v>1663</v>
      </c>
      <c r="B549" s="19" t="s">
        <v>41</v>
      </c>
      <c r="C549" s="20" t="s">
        <v>57</v>
      </c>
      <c r="D549" s="21"/>
      <c r="E549" s="22"/>
      <c r="F549" s="21" t="s">
        <v>2685</v>
      </c>
      <c r="G549" s="29" t="s">
        <v>2685</v>
      </c>
      <c r="H549" s="20" t="str">
        <f>SUBSTITUTE(SUBSTITUTE(SUBSTITUTE(S549,"/@","_"),"/cac:","_"),"/cbc:","_")</f>
        <v>Invoice_DeliveryTerms</v>
      </c>
      <c r="I549" s="20" t="str">
        <f>SUBSTITUTE(SUBSTITUTE(SUBSTITUTE(T549,"/@","_"),"/cac:","_"),"/cbc:","_")</f>
        <v/>
      </c>
      <c r="J549" s="25" t="s">
        <v>2687</v>
      </c>
      <c r="K549" s="25" t="s">
        <v>2688</v>
      </c>
      <c r="L549" s="25" t="s">
        <v>2689</v>
      </c>
      <c r="M549" s="25" t="s">
        <v>220</v>
      </c>
      <c r="N549" s="27" t="s">
        <v>64</v>
      </c>
      <c r="O549" s="25" t="s">
        <v>64</v>
      </c>
      <c r="P549" s="27" t="s">
        <v>3014</v>
      </c>
      <c r="Q549" s="26" t="str">
        <f>IF(S549="","",LEN(S549)-LEN(SUBSTITUTE(S549,"/",""))+IF(ISNUMBER(SEARCH("@",S549)),0,1))</f>
        <v>2</v>
      </c>
      <c r="R549" s="42" t="s">
        <v>2690</v>
      </c>
      <c r="S549" s="26" t="s">
        <v>2690</v>
      </c>
      <c r="T549" s="20"/>
      <c r="U549" s="20"/>
      <c r="V549" s="20"/>
      <c r="W549" s="25" t="s">
        <v>681</v>
      </c>
      <c r="X549" s="46"/>
      <c r="Y549" s="20"/>
      <c r="Z549" s="20"/>
      <c r="AA549" s="25" t="s">
        <v>222</v>
      </c>
      <c r="AB549" s="20" t="str">
        <f>IF(ISBLANK(S549),"是","否")</f>
        <v>否</v>
      </c>
      <c r="AC549" s="20"/>
      <c r="AD549" s="25"/>
      <c r="AE549" s="25"/>
      <c r="AF549" s="20"/>
      <c r="AG549" s="20"/>
      <c r="AH549" s="20" t="s">
        <v>76</v>
      </c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</row>
    <row r="550" ht="29.59398496240601" customHeight="1" spans="1:57" x14ac:dyDescent="0.25">
      <c r="A550" s="25" t="s">
        <v>1663</v>
      </c>
      <c r="B550" s="19" t="s">
        <v>2685</v>
      </c>
      <c r="C550" s="20" t="s">
        <v>57</v>
      </c>
      <c r="D550" s="21"/>
      <c r="E550" s="22"/>
      <c r="F550" s="21" t="s">
        <v>81</v>
      </c>
      <c r="G550" s="29" t="s">
        <v>2691</v>
      </c>
      <c r="H550" s="20" t="str">
        <f>SUBSTITUTE(SUBSTITUTE(SUBSTITUTE(S550,"/@","_"),"/cac:","_"),"/cbc:","_")</f>
        <v>Invoice_DeliveryTerms_ID</v>
      </c>
      <c r="I550" s="20" t="str">
        <f>SUBSTITUTE(SUBSTITUTE(SUBSTITUTE(T550,"/@","_"),"/cac:","_"),"/cbc:","_")</f>
        <v/>
      </c>
      <c r="J550" s="25" t="s">
        <v>2693</v>
      </c>
      <c r="K550" s="25" t="s">
        <v>2694</v>
      </c>
      <c r="L550" s="25" t="s">
        <v>2695</v>
      </c>
      <c r="M550" s="25" t="s">
        <v>1661</v>
      </c>
      <c r="N550" s="27" t="s">
        <v>64</v>
      </c>
      <c r="O550" s="25" t="s">
        <v>64</v>
      </c>
      <c r="P550" s="27" t="s">
        <v>50</v>
      </c>
      <c r="Q550" s="26" t="str">
        <f>IF(S550="","",LEN(S550)-LEN(SUBSTITUTE(S550,"/",""))+IF(ISNUMBER(SEARCH("@",S550)),0,1))</f>
        <v>3</v>
      </c>
      <c r="R550" s="42" t="s">
        <v>2696</v>
      </c>
      <c r="S550" s="26" t="s">
        <v>2696</v>
      </c>
      <c r="T550" s="20"/>
      <c r="U550" s="20"/>
      <c r="V550" s="20"/>
      <c r="W550" s="25" t="s">
        <v>2697</v>
      </c>
      <c r="X550" s="46"/>
      <c r="Y550" s="20"/>
      <c r="Z550" s="20"/>
      <c r="AA550" s="25" t="s">
        <v>68</v>
      </c>
      <c r="AB550" s="20" t="str">
        <f>IF(ISBLANK(S550),"是","否")</f>
        <v>否</v>
      </c>
      <c r="AC550" s="20"/>
      <c r="AD550" s="25"/>
      <c r="AE550" s="25"/>
      <c r="AF550" s="20"/>
      <c r="AG550" s="20"/>
      <c r="AH550" s="20" t="s">
        <v>76</v>
      </c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</row>
    <row r="551" ht="29.59398496240601" customHeight="1" spans="1:57" x14ac:dyDescent="0.25">
      <c r="A551" s="25" t="s">
        <v>1663</v>
      </c>
      <c r="B551" s="19" t="s">
        <v>2685</v>
      </c>
      <c r="C551" s="20" t="s">
        <v>57</v>
      </c>
      <c r="D551" s="21"/>
      <c r="E551" s="22"/>
      <c r="F551" s="21" t="s">
        <v>2698</v>
      </c>
      <c r="G551" s="29" t="s">
        <v>2699</v>
      </c>
      <c r="H551" s="20" t="str">
        <f>SUBSTITUTE(SUBSTITUTE(SUBSTITUTE(S551,"/@","_"),"/cac:","_"),"/cbc:","_")</f>
        <v>Invoice_DeliveryTerms_SpecialTerms</v>
      </c>
      <c r="I551" s="20" t="str">
        <f>SUBSTITUTE(SUBSTITUTE(SUBSTITUTE(T551,"/@","_"),"/cac:","_"),"/cbc:","_")</f>
        <v/>
      </c>
      <c r="J551" s="25" t="s">
        <v>2701</v>
      </c>
      <c r="K551" s="25" t="s">
        <v>2702</v>
      </c>
      <c r="L551" s="25" t="s">
        <v>2703</v>
      </c>
      <c r="M551" s="25" t="s">
        <v>228</v>
      </c>
      <c r="N551" s="27" t="s">
        <v>64</v>
      </c>
      <c r="O551" s="25" t="s">
        <v>64</v>
      </c>
      <c r="P551" s="27" t="s">
        <v>50</v>
      </c>
      <c r="Q551" s="26" t="str">
        <f>IF(S551="","",LEN(S551)-LEN(SUBSTITUTE(S551,"/",""))+IF(ISNUMBER(SEARCH("@",S551)),0,1))</f>
        <v>3</v>
      </c>
      <c r="R551" s="42" t="s">
        <v>2704</v>
      </c>
      <c r="S551" s="26" t="s">
        <v>2704</v>
      </c>
      <c r="T551" s="20"/>
      <c r="U551" s="20"/>
      <c r="V551" s="20"/>
      <c r="W551" s="25" t="s">
        <v>2705</v>
      </c>
      <c r="X551" s="46"/>
      <c r="Y551" s="20"/>
      <c r="Z551" s="20"/>
      <c r="AA551" s="25" t="s">
        <v>68</v>
      </c>
      <c r="AB551" s="20" t="str">
        <f>IF(ISBLANK(S551),"是","否")</f>
        <v>否</v>
      </c>
      <c r="AC551" s="20"/>
      <c r="AD551" s="25"/>
      <c r="AE551" s="25"/>
      <c r="AF551" s="20"/>
      <c r="AG551" s="20"/>
      <c r="AH551" s="20" t="s">
        <v>76</v>
      </c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</row>
    <row r="552" ht="29.59398496240601" customHeight="1" spans="1:57" x14ac:dyDescent="0.25">
      <c r="A552" s="25" t="s">
        <v>1663</v>
      </c>
      <c r="B552" s="19" t="s">
        <v>2685</v>
      </c>
      <c r="C552" s="20" t="s">
        <v>57</v>
      </c>
      <c r="D552" s="21"/>
      <c r="E552" s="22"/>
      <c r="F552" s="21" t="s">
        <v>2706</v>
      </c>
      <c r="G552" s="29" t="s">
        <v>2707</v>
      </c>
      <c r="H552" s="20" t="str">
        <f>SUBSTITUTE(SUBSTITUTE(SUBSTITUTE(S552,"/@","_"),"/cac:","_"),"/cbc:","_")</f>
        <v>Invoice_DeliveryTerms_LossRiskResponsibilityCode</v>
      </c>
      <c r="I552" s="20" t="str">
        <f>SUBSTITUTE(SUBSTITUTE(SUBSTITUTE(T552,"/@","_"),"/cac:","_"),"/cbc:","_")</f>
        <v/>
      </c>
      <c r="J552" s="25" t="s">
        <v>2709</v>
      </c>
      <c r="K552" s="25" t="s">
        <v>2710</v>
      </c>
      <c r="L552" s="25" t="s">
        <v>2711</v>
      </c>
      <c r="M552" s="25" t="s">
        <v>1661</v>
      </c>
      <c r="N552" s="27" t="s">
        <v>64</v>
      </c>
      <c r="O552" s="25" t="s">
        <v>64</v>
      </c>
      <c r="P552" s="27" t="s">
        <v>50</v>
      </c>
      <c r="Q552" s="26" t="str">
        <f>IF(S552="","",LEN(S552)-LEN(SUBSTITUTE(S552,"/",""))+IF(ISNUMBER(SEARCH("@",S552)),0,1))</f>
        <v>3</v>
      </c>
      <c r="R552" s="42" t="s">
        <v>2712</v>
      </c>
      <c r="S552" s="26" t="s">
        <v>2712</v>
      </c>
      <c r="T552" s="20"/>
      <c r="U552" s="20"/>
      <c r="V552" s="20"/>
      <c r="W552" s="25" t="s">
        <v>681</v>
      </c>
      <c r="X552" s="46"/>
      <c r="Y552" s="20"/>
      <c r="Z552" s="20"/>
      <c r="AA552" s="25" t="s">
        <v>68</v>
      </c>
      <c r="AB552" s="20" t="str">
        <f>IF(ISBLANK(S552),"是","否")</f>
        <v>否</v>
      </c>
      <c r="AC552" s="20"/>
      <c r="AD552" s="25"/>
      <c r="AE552" s="25"/>
      <c r="AF552" s="20"/>
      <c r="AG552" s="20"/>
      <c r="AH552" s="20" t="s">
        <v>76</v>
      </c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</row>
    <row r="553" ht="29.59398496240601" customHeight="1" spans="1:57" x14ac:dyDescent="0.25">
      <c r="A553" s="25" t="s">
        <v>1663</v>
      </c>
      <c r="B553" s="19" t="s">
        <v>2685</v>
      </c>
      <c r="C553" s="20" t="s">
        <v>57</v>
      </c>
      <c r="D553" s="21"/>
      <c r="E553" s="22"/>
      <c r="F553" s="21" t="s">
        <v>2713</v>
      </c>
      <c r="G553" s="29" t="s">
        <v>2714</v>
      </c>
      <c r="H553" s="20" t="str">
        <f>SUBSTITUTE(SUBSTITUTE(SUBSTITUTE(S553,"/@","_"),"/cac:","_"),"/cbc:","_")</f>
        <v>Invoice_DeliveryTerms_LossRisk</v>
      </c>
      <c r="I553" s="20" t="str">
        <f>SUBSTITUTE(SUBSTITUTE(SUBSTITUTE(T553,"/@","_"),"/cac:","_"),"/cbc:","_")</f>
        <v/>
      </c>
      <c r="J553" s="25" t="s">
        <v>2716</v>
      </c>
      <c r="K553" s="25" t="s">
        <v>2717</v>
      </c>
      <c r="L553" s="25" t="s">
        <v>2718</v>
      </c>
      <c r="M553" s="25" t="s">
        <v>228</v>
      </c>
      <c r="N553" s="27" t="s">
        <v>64</v>
      </c>
      <c r="O553" s="25" t="s">
        <v>64</v>
      </c>
      <c r="P553" s="27" t="s">
        <v>50</v>
      </c>
      <c r="Q553" s="26" t="str">
        <f>IF(S553="","",LEN(S553)-LEN(SUBSTITUTE(S553,"/",""))+IF(ISNUMBER(SEARCH("@",S553)),0,1))</f>
        <v>3</v>
      </c>
      <c r="R553" s="42" t="s">
        <v>2719</v>
      </c>
      <c r="S553" s="26" t="s">
        <v>2719</v>
      </c>
      <c r="T553" s="20"/>
      <c r="U553" s="20"/>
      <c r="V553" s="20"/>
      <c r="W553" s="25" t="s">
        <v>2720</v>
      </c>
      <c r="X553" s="46"/>
      <c r="Y553" s="20"/>
      <c r="Z553" s="20"/>
      <c r="AA553" s="25" t="s">
        <v>68</v>
      </c>
      <c r="AB553" s="20" t="str">
        <f>IF(ISBLANK(S553),"是","否")</f>
        <v>否</v>
      </c>
      <c r="AC553" s="20"/>
      <c r="AD553" s="25"/>
      <c r="AE553" s="25"/>
      <c r="AF553" s="20"/>
      <c r="AG553" s="20"/>
      <c r="AH553" s="20" t="s">
        <v>76</v>
      </c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</row>
    <row r="554" ht="29.59398496240601" customHeight="1" spans="1:57" x14ac:dyDescent="0.25">
      <c r="A554" s="25" t="s">
        <v>1663</v>
      </c>
      <c r="B554" s="19" t="s">
        <v>41</v>
      </c>
      <c r="C554" s="20" t="s">
        <v>57</v>
      </c>
      <c r="D554" s="21"/>
      <c r="E554" s="22"/>
      <c r="F554" s="21" t="s">
        <v>2721</v>
      </c>
      <c r="G554" s="29" t="s">
        <v>2722</v>
      </c>
      <c r="H554" s="20" t="str">
        <f>SUBSTITUTE(SUBSTITUTE(SUBSTITUTE(S554,"/@","_"),"/cac:","_"),"/cbc:","_")</f>
        <v>Invoice_PaymentMeans</v>
      </c>
      <c r="I554" s="20" t="str">
        <f>SUBSTITUTE(SUBSTITUTE(SUBSTITUTE(T554,"/@","_"),"/cac:","_"),"/cbc:","_")</f>
        <v/>
      </c>
      <c r="J554" s="25" t="s">
        <v>2724</v>
      </c>
      <c r="K554" s="25" t="s">
        <v>2725</v>
      </c>
      <c r="L554" s="25" t="s">
        <v>2726</v>
      </c>
      <c r="M554" s="25" t="s">
        <v>220</v>
      </c>
      <c r="N554" s="27" t="s">
        <v>64</v>
      </c>
      <c r="O554" s="25" t="s">
        <v>49</v>
      </c>
      <c r="P554" s="27" t="s">
        <v>3014</v>
      </c>
      <c r="Q554" s="26" t="str">
        <f>IF(S554="","",LEN(S554)-LEN(SUBSTITUTE(S554,"/",""))+IF(ISNUMBER(SEARCH("@",S554)),0,1))</f>
        <v>2</v>
      </c>
      <c r="R554" s="42" t="s">
        <v>2727</v>
      </c>
      <c r="S554" s="26" t="s">
        <v>2727</v>
      </c>
      <c r="T554" s="20"/>
      <c r="U554" s="20"/>
      <c r="V554" s="20"/>
      <c r="W554" s="25" t="s">
        <v>681</v>
      </c>
      <c r="X554" s="46"/>
      <c r="Y554" s="20"/>
      <c r="Z554" s="20"/>
      <c r="AA554" s="25" t="s">
        <v>222</v>
      </c>
      <c r="AB554" s="20" t="str">
        <f>IF(ISBLANK(S554),"是","否")</f>
        <v>否</v>
      </c>
      <c r="AC554" s="20"/>
      <c r="AD554" s="25"/>
      <c r="AE554" s="25"/>
      <c r="AF554" s="20"/>
      <c r="AG554" s="20"/>
      <c r="AH554" s="20" t="s">
        <v>76</v>
      </c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</row>
    <row r="555" ht="50.16541353383458" customHeight="1" spans="1:57" x14ac:dyDescent="0.25">
      <c r="A555" s="25" t="s">
        <v>1663</v>
      </c>
      <c r="B555" s="19" t="s">
        <v>2721</v>
      </c>
      <c r="C555" s="20" t="s">
        <v>57</v>
      </c>
      <c r="D555" s="21"/>
      <c r="E555" s="22"/>
      <c r="F555" s="21" t="s">
        <v>2728</v>
      </c>
      <c r="G555" s="29" t="s">
        <v>2729</v>
      </c>
      <c r="H555" s="20" t="str">
        <f>SUBSTITUTE(SUBSTITUTE(SUBSTITUTE(S555,"/@","_"),"/cac:","_"),"/cbc:","_")</f>
        <v>Invoice_PaymentMeans_PaymentMeansCode</v>
      </c>
      <c r="I555" s="20" t="str">
        <f>SUBSTITUTE(SUBSTITUTE(SUBSTITUTE(T555,"/@","_"),"/cac:","_"),"/cbc:","_")</f>
        <v/>
      </c>
      <c r="J555" s="25" t="s">
        <v>2731</v>
      </c>
      <c r="K555" s="25" t="s">
        <v>2732</v>
      </c>
      <c r="L555" s="25" t="s">
        <v>2733</v>
      </c>
      <c r="M555" s="25" t="s">
        <v>1661</v>
      </c>
      <c r="N555" s="27" t="s">
        <v>64</v>
      </c>
      <c r="O555" s="25">
        <v>1</v>
      </c>
      <c r="P555" s="27" t="s">
        <v>50</v>
      </c>
      <c r="Q555" s="26" t="str">
        <f>IF(S555="","",LEN(S555)-LEN(SUBSTITUTE(S555,"/",""))+IF(ISNUMBER(SEARCH("@",S555)),0,1))</f>
        <v>3</v>
      </c>
      <c r="R555" s="42" t="s">
        <v>2734</v>
      </c>
      <c r="S555" s="26" t="s">
        <v>2734</v>
      </c>
      <c r="T555" s="20"/>
      <c r="U555" s="20"/>
      <c r="V555" s="20"/>
      <c r="W555" s="25">
        <v>30</v>
      </c>
      <c r="X555" s="46"/>
      <c r="Y555" s="20"/>
      <c r="Z555" s="20"/>
      <c r="AA555" s="25" t="s">
        <v>68</v>
      </c>
      <c r="AB555" s="20" t="str">
        <f>IF(ISBLANK(S555),"是","否")</f>
        <v>否</v>
      </c>
      <c r="AC555" s="20"/>
      <c r="AD555" s="25"/>
      <c r="AE555" s="25"/>
      <c r="AF555" s="20"/>
      <c r="AG555" s="20"/>
      <c r="AH555" s="20" t="s">
        <v>76</v>
      </c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</row>
    <row r="556" ht="29.59398496240601" customHeight="1" spans="1:57" x14ac:dyDescent="0.25">
      <c r="A556" s="25" t="s">
        <v>1663</v>
      </c>
      <c r="B556" s="19" t="s">
        <v>2721</v>
      </c>
      <c r="C556" s="20" t="s">
        <v>57</v>
      </c>
      <c r="D556" s="21"/>
      <c r="E556" s="22"/>
      <c r="F556" s="21" t="s">
        <v>2735</v>
      </c>
      <c r="G556" s="29" t="s">
        <v>2736</v>
      </c>
      <c r="H556" s="20" t="str">
        <f>SUBSTITUTE(SUBSTITUTE(SUBSTITUTE(S556,"/@","_"),"/cac:","_"),"/cbc:","_")</f>
        <v>Invoice_PaymentMeans_PaymentMeansCode_name</v>
      </c>
      <c r="I556" s="20" t="str">
        <f>SUBSTITUTE(SUBSTITUTE(SUBSTITUTE(T556,"/@","_"),"/cac:","_"),"/cbc:","_")</f>
        <v/>
      </c>
      <c r="J556" s="25" t="s">
        <v>2738</v>
      </c>
      <c r="K556" s="25" t="s">
        <v>2739</v>
      </c>
      <c r="L556" s="25" t="s">
        <v>2740</v>
      </c>
      <c r="M556" s="25" t="s">
        <v>228</v>
      </c>
      <c r="N556" s="27" t="s">
        <v>64</v>
      </c>
      <c r="O556" s="25">
        <v>1</v>
      </c>
      <c r="P556" s="27" t="s">
        <v>50</v>
      </c>
      <c r="Q556" s="26" t="str">
        <f>IF(S556="","",LEN(S556)-LEN(SUBSTITUTE(S556,"/",""))+IF(ISNUMBER(SEARCH("@",S556)),0,1))</f>
        <v>3</v>
      </c>
      <c r="R556" s="42" t="s">
        <v>2741</v>
      </c>
      <c r="S556" s="26" t="s">
        <v>2741</v>
      </c>
      <c r="T556" s="20"/>
      <c r="U556" s="20"/>
      <c r="V556" s="20"/>
      <c r="W556" s="25" t="s">
        <v>2742</v>
      </c>
      <c r="X556" s="46"/>
      <c r="Y556" s="20"/>
      <c r="Z556" s="20"/>
      <c r="AA556" s="25" t="s">
        <v>68</v>
      </c>
      <c r="AB556" s="20" t="str">
        <f>IF(ISBLANK(S556),"是","否")</f>
        <v>否</v>
      </c>
      <c r="AC556" s="20"/>
      <c r="AD556" s="25"/>
      <c r="AE556" s="25"/>
      <c r="AF556" s="20"/>
      <c r="AG556" s="20"/>
      <c r="AH556" s="20" t="s">
        <v>76</v>
      </c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</row>
    <row r="557" ht="29.59398496240601" customHeight="1" spans="1:57" x14ac:dyDescent="0.25">
      <c r="A557" s="25" t="s">
        <v>1663</v>
      </c>
      <c r="B557" s="19" t="s">
        <v>2721</v>
      </c>
      <c r="C557" s="20" t="s">
        <v>57</v>
      </c>
      <c r="D557" s="21"/>
      <c r="E557" s="22"/>
      <c r="F557" s="21" t="s">
        <v>2743</v>
      </c>
      <c r="G557" s="29" t="s">
        <v>2744</v>
      </c>
      <c r="H557" s="20" t="str">
        <f>SUBSTITUTE(SUBSTITUTE(SUBSTITUTE(S557,"/@","_"),"/cac:","_"),"/cbc:","_")</f>
        <v>Invoice_PaymentMeans_PaymentID</v>
      </c>
      <c r="I557" s="20" t="str">
        <f>SUBSTITUTE(SUBSTITUTE(SUBSTITUTE(T557,"/@","_"),"/cac:","_"),"/cbc:","_")</f>
        <v/>
      </c>
      <c r="J557" s="25" t="s">
        <v>2746</v>
      </c>
      <c r="K557" s="25" t="s">
        <v>2747</v>
      </c>
      <c r="L557" s="25" t="s">
        <v>2748</v>
      </c>
      <c r="M557" s="25" t="s">
        <v>228</v>
      </c>
      <c r="N557" s="27" t="s">
        <v>64</v>
      </c>
      <c r="O557" s="25" t="s">
        <v>64</v>
      </c>
      <c r="P557" s="27" t="s">
        <v>50</v>
      </c>
      <c r="Q557" s="26" t="str">
        <f>IF(S557="","",LEN(S557)-LEN(SUBSTITUTE(S557,"/",""))+IF(ISNUMBER(SEARCH("@",S557)),0,1))</f>
        <v>3</v>
      </c>
      <c r="R557" s="42" t="s">
        <v>2749</v>
      </c>
      <c r="S557" s="26" t="s">
        <v>2749</v>
      </c>
      <c r="T557" s="20"/>
      <c r="U557" s="20"/>
      <c r="V557" s="20"/>
      <c r="W557" s="25" t="s">
        <v>2750</v>
      </c>
      <c r="X557" s="46"/>
      <c r="Y557" s="20"/>
      <c r="Z557" s="20"/>
      <c r="AA557" s="25" t="s">
        <v>68</v>
      </c>
      <c r="AB557" s="20" t="str">
        <f>IF(ISBLANK(S557),"是","否")</f>
        <v>否</v>
      </c>
      <c r="AC557" s="20"/>
      <c r="AD557" s="25"/>
      <c r="AE557" s="25"/>
      <c r="AF557" s="20"/>
      <c r="AG557" s="20"/>
      <c r="AH557" s="20" t="s">
        <v>76</v>
      </c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</row>
    <row r="558" ht="39.879699248120296" customHeight="1" spans="1:57" x14ac:dyDescent="0.25">
      <c r="A558" s="25" t="s">
        <v>1663</v>
      </c>
      <c r="B558" s="19" t="s">
        <v>2751</v>
      </c>
      <c r="C558" s="20" t="s">
        <v>57</v>
      </c>
      <c r="D558" s="21"/>
      <c r="E558" s="22"/>
      <c r="F558" s="21" t="s">
        <v>2752</v>
      </c>
      <c r="G558" s="29" t="s">
        <v>2753</v>
      </c>
      <c r="H558" s="20" t="str">
        <f>SUBSTITUTE(SUBSTITUTE(SUBSTITUTE(S558,"/@","_"),"/cac:","_"),"/cbc:","_")</f>
        <v>Invoice_PaymentMeans_CardAccount_PrimaryAccountNumberID</v>
      </c>
      <c r="I558" s="20" t="str">
        <f>SUBSTITUTE(SUBSTITUTE(SUBSTITUTE(T558,"/@","_"),"/cac:","_"),"/cbc:","_")</f>
        <v/>
      </c>
      <c r="J558" s="25" t="s">
        <v>2755</v>
      </c>
      <c r="K558" s="25" t="s">
        <v>2756</v>
      </c>
      <c r="L558" s="25" t="s">
        <v>2757</v>
      </c>
      <c r="M558" s="25" t="s">
        <v>228</v>
      </c>
      <c r="N558" s="27" t="s">
        <v>64</v>
      </c>
      <c r="O558" s="25" t="s">
        <v>64</v>
      </c>
      <c r="P558" s="27" t="s">
        <v>50</v>
      </c>
      <c r="Q558" s="26" t="str">
        <f>IF(S558="","",LEN(S558)-LEN(SUBSTITUTE(S558,"/",""))+IF(ISNUMBER(SEARCH("@",S558)),0,1))</f>
        <v>4</v>
      </c>
      <c r="R558" s="42" t="s">
        <v>2758</v>
      </c>
      <c r="S558" s="26" t="s">
        <v>2758</v>
      </c>
      <c r="T558" s="20"/>
      <c r="U558" s="20"/>
      <c r="V558" s="20"/>
      <c r="W558" s="25" t="s">
        <v>2759</v>
      </c>
      <c r="X558" s="46"/>
      <c r="Y558" s="20"/>
      <c r="Z558" s="20"/>
      <c r="AA558" s="25" t="s">
        <v>68</v>
      </c>
      <c r="AB558" s="20" t="str">
        <f>IF(ISBLANK(S558),"是","否")</f>
        <v>否</v>
      </c>
      <c r="AC558" s="20"/>
      <c r="AD558" s="25"/>
      <c r="AE558" s="25"/>
      <c r="AF558" s="20"/>
      <c r="AG558" s="20"/>
      <c r="AH558" s="20" t="s">
        <v>76</v>
      </c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</row>
    <row r="559" ht="29.59398496240601" customHeight="1" spans="1:57" x14ac:dyDescent="0.25">
      <c r="A559" s="25" t="s">
        <v>1663</v>
      </c>
      <c r="B559" s="19" t="s">
        <v>2751</v>
      </c>
      <c r="C559" s="20" t="s">
        <v>57</v>
      </c>
      <c r="D559" s="21"/>
      <c r="E559" s="22"/>
      <c r="F559" s="21" t="s">
        <v>2760</v>
      </c>
      <c r="G559" s="29" t="s">
        <v>2761</v>
      </c>
      <c r="H559" s="20" t="str">
        <f>SUBSTITUTE(SUBSTITUTE(SUBSTITUTE(S559,"/@","_"),"/cac:","_"),"/cbc:","_")</f>
        <v>Invoice_PaymentMeans_CardAccount_NetworkID</v>
      </c>
      <c r="I559" s="20" t="str">
        <f>SUBSTITUTE(SUBSTITUTE(SUBSTITUTE(T559,"/@","_"),"/cac:","_"),"/cbc:","_")</f>
        <v/>
      </c>
      <c r="J559" s="25" t="s">
        <v>2763</v>
      </c>
      <c r="K559" s="25" t="s">
        <v>2764</v>
      </c>
      <c r="L559" s="25" t="s">
        <v>2765</v>
      </c>
      <c r="M559" s="25" t="s">
        <v>228</v>
      </c>
      <c r="N559" s="27" t="s">
        <v>64</v>
      </c>
      <c r="O559" s="25" t="s">
        <v>64</v>
      </c>
      <c r="P559" s="27" t="s">
        <v>50</v>
      </c>
      <c r="Q559" s="26" t="str">
        <f>IF(S559="","",LEN(S559)-LEN(SUBSTITUTE(S559,"/",""))+IF(ISNUMBER(SEARCH("@",S559)),0,1))</f>
        <v>4</v>
      </c>
      <c r="R559" s="42" t="s">
        <v>2766</v>
      </c>
      <c r="S559" s="26" t="s">
        <v>2766</v>
      </c>
      <c r="T559" s="20"/>
      <c r="U559" s="20"/>
      <c r="V559" s="20"/>
      <c r="W559" s="25" t="s">
        <v>2767</v>
      </c>
      <c r="X559" s="46"/>
      <c r="Y559" s="20"/>
      <c r="Z559" s="20"/>
      <c r="AA559" s="25" t="s">
        <v>68</v>
      </c>
      <c r="AB559" s="20" t="str">
        <f>IF(ISBLANK(S559),"是","否")</f>
        <v>否</v>
      </c>
      <c r="AC559" s="20"/>
      <c r="AD559" s="25"/>
      <c r="AE559" s="25"/>
      <c r="AF559" s="20"/>
      <c r="AG559" s="20"/>
      <c r="AH559" s="20" t="s">
        <v>76</v>
      </c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</row>
    <row r="560" ht="29.59398496240601" customHeight="1" spans="1:57" x14ac:dyDescent="0.25">
      <c r="A560" s="25" t="s">
        <v>1663</v>
      </c>
      <c r="B560" s="19" t="s">
        <v>2751</v>
      </c>
      <c r="C560" s="20" t="s">
        <v>57</v>
      </c>
      <c r="D560" s="21"/>
      <c r="E560" s="22"/>
      <c r="F560" s="21" t="s">
        <v>2768</v>
      </c>
      <c r="G560" s="29" t="s">
        <v>2769</v>
      </c>
      <c r="H560" s="20" t="str">
        <f>SUBSTITUTE(SUBSTITUTE(SUBSTITUTE(S560,"/@","_"),"/cac:","_"),"/cbc:","_")</f>
        <v>Invoice_PaymentMeans_CardAccount_HolderName</v>
      </c>
      <c r="I560" s="20" t="str">
        <f>SUBSTITUTE(SUBSTITUTE(SUBSTITUTE(T560,"/@","_"),"/cac:","_"),"/cbc:","_")</f>
        <v/>
      </c>
      <c r="J560" s="25" t="s">
        <v>2771</v>
      </c>
      <c r="K560" s="25" t="s">
        <v>2772</v>
      </c>
      <c r="L560" s="25" t="s">
        <v>1392</v>
      </c>
      <c r="M560" s="25" t="s">
        <v>228</v>
      </c>
      <c r="N560" s="27" t="s">
        <v>64</v>
      </c>
      <c r="O560" s="25" t="s">
        <v>64</v>
      </c>
      <c r="P560" s="27" t="s">
        <v>50</v>
      </c>
      <c r="Q560" s="26" t="str">
        <f>IF(S560="","",LEN(S560)-LEN(SUBSTITUTE(S560,"/",""))+IF(ISNUMBER(SEARCH("@",S560)),0,1))</f>
        <v>4</v>
      </c>
      <c r="R560" s="42" t="s">
        <v>2773</v>
      </c>
      <c r="S560" s="26" t="s">
        <v>2773</v>
      </c>
      <c r="T560" s="20"/>
      <c r="U560" s="20"/>
      <c r="V560" s="20"/>
      <c r="W560" s="25" t="s">
        <v>2774</v>
      </c>
      <c r="X560" s="46"/>
      <c r="Y560" s="20"/>
      <c r="Z560" s="20"/>
      <c r="AA560" s="25" t="s">
        <v>68</v>
      </c>
      <c r="AB560" s="20" t="str">
        <f>IF(ISBLANK(S560),"是","否")</f>
        <v>否</v>
      </c>
      <c r="AC560" s="20"/>
      <c r="AD560" s="25"/>
      <c r="AE560" s="25"/>
      <c r="AF560" s="20"/>
      <c r="AG560" s="20"/>
      <c r="AH560" s="20" t="s">
        <v>76</v>
      </c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</row>
    <row r="561" ht="29.59398496240601" customHeight="1" spans="1:57" x14ac:dyDescent="0.25">
      <c r="A561" s="25" t="s">
        <v>1663</v>
      </c>
      <c r="B561" s="19" t="s">
        <v>2775</v>
      </c>
      <c r="C561" s="20" t="s">
        <v>57</v>
      </c>
      <c r="D561" s="21"/>
      <c r="E561" s="22"/>
      <c r="F561" s="21" t="s">
        <v>2776</v>
      </c>
      <c r="G561" s="29" t="s">
        <v>2777</v>
      </c>
      <c r="H561" s="20" t="str">
        <f>SUBSTITUTE(SUBSTITUTE(SUBSTITUTE(S561,"/@","_"),"/cac:","_"),"/cbc:","_")</f>
        <v>Invoice_PaymentMeans_PayeeFinancialAccount_ID</v>
      </c>
      <c r="I561" s="20" t="str">
        <f>SUBSTITUTE(SUBSTITUTE(SUBSTITUTE(T561,"/@","_"),"/cac:","_"),"/cbc:","_")</f>
        <v/>
      </c>
      <c r="J561" s="25" t="s">
        <v>2779</v>
      </c>
      <c r="K561" s="25" t="s">
        <v>2780</v>
      </c>
      <c r="L561" s="25" t="s">
        <v>2781</v>
      </c>
      <c r="M561" s="25" t="s">
        <v>228</v>
      </c>
      <c r="N561" s="27" t="s">
        <v>64</v>
      </c>
      <c r="O561" s="25" t="s">
        <v>64</v>
      </c>
      <c r="P561" s="27" t="s">
        <v>50</v>
      </c>
      <c r="Q561" s="26" t="str">
        <f>IF(S561="","",LEN(S561)-LEN(SUBSTITUTE(S561,"/",""))+IF(ISNUMBER(SEARCH("@",S561)),0,1))</f>
        <v>4</v>
      </c>
      <c r="R561" s="42" t="s">
        <v>2782</v>
      </c>
      <c r="S561" s="26" t="s">
        <v>2782</v>
      </c>
      <c r="T561" s="20"/>
      <c r="U561" s="20"/>
      <c r="V561" s="20"/>
      <c r="W561" s="25">
        <v>6222020000000000000</v>
      </c>
      <c r="X561" s="46"/>
      <c r="Y561" s="20"/>
      <c r="Z561" s="20"/>
      <c r="AA561" s="25" t="s">
        <v>68</v>
      </c>
      <c r="AB561" s="20" t="str">
        <f>IF(ISBLANK(S561),"是","否")</f>
        <v>否</v>
      </c>
      <c r="AC561" s="20"/>
      <c r="AD561" s="25"/>
      <c r="AE561" s="25"/>
      <c r="AF561" s="20"/>
      <c r="AG561" s="20"/>
      <c r="AH561" s="20" t="s">
        <v>76</v>
      </c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</row>
    <row r="562" ht="29.59398496240601" customHeight="1" spans="1:57" x14ac:dyDescent="0.25">
      <c r="A562" s="25" t="s">
        <v>1663</v>
      </c>
      <c r="B562" s="19" t="s">
        <v>2775</v>
      </c>
      <c r="C562" s="20" t="s">
        <v>57</v>
      </c>
      <c r="D562" s="21"/>
      <c r="E562" s="22"/>
      <c r="F562" s="21" t="s">
        <v>2783</v>
      </c>
      <c r="G562" s="29" t="s">
        <v>2784</v>
      </c>
      <c r="H562" s="20" t="str">
        <f>SUBSTITUTE(SUBSTITUTE(SUBSTITUTE(S562,"/@","_"),"/cac:","_"),"/cbc:","_")</f>
        <v>Invoice_PaymentMeans_PayeeFinancialAccount_Name</v>
      </c>
      <c r="I562" s="20" t="str">
        <f>SUBSTITUTE(SUBSTITUTE(SUBSTITUTE(T562,"/@","_"),"/cac:","_"),"/cbc:","_")</f>
        <v/>
      </c>
      <c r="J562" s="25" t="s">
        <v>2786</v>
      </c>
      <c r="K562" s="25" t="s">
        <v>2787</v>
      </c>
      <c r="L562" s="25" t="s">
        <v>2788</v>
      </c>
      <c r="M562" s="25" t="s">
        <v>228</v>
      </c>
      <c r="N562" s="27" t="s">
        <v>64</v>
      </c>
      <c r="O562" s="25" t="s">
        <v>64</v>
      </c>
      <c r="P562" s="27" t="s">
        <v>50</v>
      </c>
      <c r="Q562" s="26" t="str">
        <f>IF(S562="","",LEN(S562)-LEN(SUBSTITUTE(S562,"/",""))+IF(ISNUMBER(SEARCH("@",S562)),0,1))</f>
        <v>4</v>
      </c>
      <c r="R562" s="42" t="s">
        <v>2789</v>
      </c>
      <c r="S562" s="26" t="s">
        <v>2789</v>
      </c>
      <c r="T562" s="20"/>
      <c r="U562" s="20"/>
      <c r="V562" s="20"/>
      <c r="W562" s="25" t="s">
        <v>2790</v>
      </c>
      <c r="X562" s="46"/>
      <c r="Y562" s="20"/>
      <c r="Z562" s="20"/>
      <c r="AA562" s="25" t="s">
        <v>68</v>
      </c>
      <c r="AB562" s="20" t="str">
        <f>IF(ISBLANK(S562),"是","否")</f>
        <v>否</v>
      </c>
      <c r="AC562" s="20"/>
      <c r="AD562" s="25"/>
      <c r="AE562" s="25"/>
      <c r="AF562" s="20"/>
      <c r="AG562" s="20"/>
      <c r="AH562" s="20" t="s">
        <v>76</v>
      </c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</row>
    <row r="563" ht="39.879699248120296" customHeight="1" spans="1:57" x14ac:dyDescent="0.25">
      <c r="A563" s="25" t="s">
        <v>1663</v>
      </c>
      <c r="B563" s="19" t="s">
        <v>2775</v>
      </c>
      <c r="C563" s="20" t="s">
        <v>57</v>
      </c>
      <c r="D563" s="21"/>
      <c r="E563" s="22"/>
      <c r="F563" s="21" t="s">
        <v>2791</v>
      </c>
      <c r="G563" s="29" t="s">
        <v>2792</v>
      </c>
      <c r="H563" s="20" t="str">
        <f>SUBSTITUTE(SUBSTITUTE(SUBSTITUTE(S563,"/@","_"),"/cac:","_"),"/cbc:","_")</f>
        <v>Invoice_PaymentMeans_PayeeFinancialAccount_CurrencyCode</v>
      </c>
      <c r="I563" s="20" t="str">
        <f>SUBSTITUTE(SUBSTITUTE(SUBSTITUTE(T563,"/@","_"),"/cac:","_"),"/cbc:","_")</f>
        <v/>
      </c>
      <c r="J563" s="25" t="s">
        <v>2794</v>
      </c>
      <c r="K563" s="25" t="s">
        <v>2795</v>
      </c>
      <c r="L563" s="25" t="s">
        <v>2796</v>
      </c>
      <c r="M563" s="25" t="s">
        <v>1661</v>
      </c>
      <c r="N563" s="27" t="s">
        <v>64</v>
      </c>
      <c r="O563" s="25" t="s">
        <v>64</v>
      </c>
      <c r="P563" s="27" t="s">
        <v>50</v>
      </c>
      <c r="Q563" s="26" t="str">
        <f>IF(S563="","",LEN(S563)-LEN(SUBSTITUTE(S563,"/",""))+IF(ISNUMBER(SEARCH("@",S563)),0,1))</f>
        <v>4</v>
      </c>
      <c r="R563" s="42" t="s">
        <v>2797</v>
      </c>
      <c r="S563" s="26" t="s">
        <v>2797</v>
      </c>
      <c r="T563" s="20"/>
      <c r="U563" s="20"/>
      <c r="V563" s="20"/>
      <c r="W563" s="25" t="s">
        <v>993</v>
      </c>
      <c r="X563" s="46"/>
      <c r="Y563" s="20"/>
      <c r="Z563" s="20"/>
      <c r="AA563" s="25" t="s">
        <v>68</v>
      </c>
      <c r="AB563" s="20" t="str">
        <f>IF(ISBLANK(S563),"是","否")</f>
        <v>否</v>
      </c>
      <c r="AC563" s="20"/>
      <c r="AD563" s="25"/>
      <c r="AE563" s="25"/>
      <c r="AF563" s="20"/>
      <c r="AG563" s="20"/>
      <c r="AH563" s="20" t="s">
        <v>76</v>
      </c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</row>
    <row r="564" ht="50.16541353383458" customHeight="1" spans="1:57" x14ac:dyDescent="0.25">
      <c r="A564" s="25" t="s">
        <v>1663</v>
      </c>
      <c r="B564" s="19" t="s">
        <v>2798</v>
      </c>
      <c r="C564" s="20" t="s">
        <v>57</v>
      </c>
      <c r="D564" s="21"/>
      <c r="E564" s="22"/>
      <c r="F564" s="21" t="s">
        <v>2799</v>
      </c>
      <c r="G564" s="29" t="s">
        <v>2800</v>
      </c>
      <c r="H564" s="20" t="str">
        <f>SUBSTITUTE(SUBSTITUTE(SUBSTITUTE(S564,"/@","_"),"/cac:","_"),"/cbc:","_")</f>
        <v>Invoice_PaymentMeans_PayeeFinancialAccount_FinancialInstitutionBranch_ID</v>
      </c>
      <c r="I564" s="20" t="str">
        <f>SUBSTITUTE(SUBSTITUTE(SUBSTITUTE(T564,"/@","_"),"/cac:","_"),"/cbc:","_")</f>
        <v/>
      </c>
      <c r="J564" s="25" t="s">
        <v>2802</v>
      </c>
      <c r="K564" s="25" t="s">
        <v>2803</v>
      </c>
      <c r="L564" s="25" t="s">
        <v>2804</v>
      </c>
      <c r="M564" s="25" t="s">
        <v>228</v>
      </c>
      <c r="N564" s="27" t="s">
        <v>64</v>
      </c>
      <c r="O564" s="25" t="s">
        <v>64</v>
      </c>
      <c r="P564" s="27" t="s">
        <v>50</v>
      </c>
      <c r="Q564" s="26" t="str">
        <f>IF(S564="","",LEN(S564)-LEN(SUBSTITUTE(S564,"/",""))+IF(ISNUMBER(SEARCH("@",S564)),0,1))</f>
        <v>5</v>
      </c>
      <c r="R564" s="42" t="s">
        <v>2805</v>
      </c>
      <c r="S564" s="26" t="s">
        <v>2805</v>
      </c>
      <c r="T564" s="20"/>
      <c r="U564" s="20"/>
      <c r="V564" s="20"/>
      <c r="W564" s="25" t="s">
        <v>2806</v>
      </c>
      <c r="X564" s="46"/>
      <c r="Y564" s="20"/>
      <c r="Z564" s="20"/>
      <c r="AA564" s="25" t="s">
        <v>68</v>
      </c>
      <c r="AB564" s="20" t="str">
        <f>IF(ISBLANK(S564),"是","否")</f>
        <v>否</v>
      </c>
      <c r="AC564" s="20"/>
      <c r="AD564" s="25"/>
      <c r="AE564" s="25"/>
      <c r="AF564" s="20"/>
      <c r="AG564" s="20"/>
      <c r="AH564" s="20" t="s">
        <v>76</v>
      </c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</row>
    <row r="565" ht="50.16541353383458" customHeight="1" spans="1:57" x14ac:dyDescent="0.25">
      <c r="A565" s="25" t="s">
        <v>1663</v>
      </c>
      <c r="B565" s="19" t="s">
        <v>2798</v>
      </c>
      <c r="C565" s="20" t="s">
        <v>57</v>
      </c>
      <c r="D565" s="21"/>
      <c r="E565" s="22"/>
      <c r="F565" s="21" t="s">
        <v>2807</v>
      </c>
      <c r="G565" s="29" t="s">
        <v>2808</v>
      </c>
      <c r="H565" s="20" t="str">
        <f>SUBSTITUTE(SUBSTITUTE(SUBSTITUTE(S565,"/@","_"),"/cac:","_"),"/cbc:","_")</f>
        <v>Invoice_PaymentMeans_PayeeFinancialAccount_FinancialInstitutionBranch_Name</v>
      </c>
      <c r="I565" s="20" t="str">
        <f>SUBSTITUTE(SUBSTITUTE(SUBSTITUTE(T565,"/@","_"),"/cac:","_"),"/cbc:","_")</f>
        <v/>
      </c>
      <c r="J565" s="25" t="s">
        <v>2810</v>
      </c>
      <c r="K565" s="25" t="s">
        <v>2811</v>
      </c>
      <c r="L565" s="25" t="s">
        <v>1392</v>
      </c>
      <c r="M565" s="25" t="s">
        <v>228</v>
      </c>
      <c r="N565" s="27" t="s">
        <v>64</v>
      </c>
      <c r="O565" s="25" t="s">
        <v>64</v>
      </c>
      <c r="P565" s="27" t="s">
        <v>50</v>
      </c>
      <c r="Q565" s="26" t="str">
        <f>IF(S565="","",LEN(S565)-LEN(SUBSTITUTE(S565,"/",""))+IF(ISNUMBER(SEARCH("@",S565)),0,1))</f>
        <v>5</v>
      </c>
      <c r="R565" s="42" t="s">
        <v>2812</v>
      </c>
      <c r="S565" s="26" t="s">
        <v>2812</v>
      </c>
      <c r="T565" s="20"/>
      <c r="U565" s="20"/>
      <c r="V565" s="20"/>
      <c r="W565" s="25" t="s">
        <v>2813</v>
      </c>
      <c r="X565" s="46"/>
      <c r="Y565" s="20"/>
      <c r="Z565" s="20"/>
      <c r="AA565" s="25" t="s">
        <v>68</v>
      </c>
      <c r="AB565" s="20" t="str">
        <f>IF(ISBLANK(S565),"是","否")</f>
        <v>否</v>
      </c>
      <c r="AC565" s="20"/>
      <c r="AD565" s="25"/>
      <c r="AE565" s="25"/>
      <c r="AF565" s="20"/>
      <c r="AG565" s="20"/>
      <c r="AH565" s="20" t="s">
        <v>76</v>
      </c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</row>
    <row r="566" ht="39.879699248120296" customHeight="1" spans="1:57" x14ac:dyDescent="0.25">
      <c r="A566" s="25" t="s">
        <v>1663</v>
      </c>
      <c r="B566" s="19" t="s">
        <v>2798</v>
      </c>
      <c r="C566" s="20" t="s">
        <v>57</v>
      </c>
      <c r="D566" s="21"/>
      <c r="E566" s="22"/>
      <c r="F566" s="41"/>
      <c r="G566" s="29" t="s">
        <v>2814</v>
      </c>
      <c r="H566" s="20" t="str">
        <f>SUBSTITUTE(SUBSTITUTE(SUBSTITUTE(S566,"/@","_"),"/cac:","_"),"/cbc:","_")</f>
        <v>Invoice_PaymentMeans_PayeeFinancialAccount_FinancialInstitutionBranch_Address</v>
      </c>
      <c r="I566" s="20" t="str">
        <f>SUBSTITUTE(SUBSTITUTE(SUBSTITUTE(T566,"/@","_"),"/cac:","_"),"/cbc:","_")</f>
        <v/>
      </c>
      <c r="J566" s="25" t="s">
        <v>2816</v>
      </c>
      <c r="K566" s="35" t="s">
        <v>2817</v>
      </c>
      <c r="L566" s="25" t="s">
        <v>2529</v>
      </c>
      <c r="M566" s="35" t="s">
        <v>220</v>
      </c>
      <c r="N566" s="27"/>
      <c r="O566" s="25" t="s">
        <v>64</v>
      </c>
      <c r="P566" s="27"/>
      <c r="Q566" s="26" t="str">
        <f>IF(S566="","",LEN(S566)-LEN(SUBSTITUTE(S566,"/",""))+IF(ISNUMBER(SEARCH("@",S566)),0,1))</f>
        <v>5</v>
      </c>
      <c r="R566" s="42" t="s">
        <v>2818</v>
      </c>
      <c r="S566" s="26" t="s">
        <v>2818</v>
      </c>
      <c r="T566" s="20"/>
      <c r="U566" s="20"/>
      <c r="V566" s="20"/>
      <c r="W566" s="25" t="s">
        <v>681</v>
      </c>
      <c r="X566" s="46"/>
      <c r="Y566" s="20"/>
      <c r="Z566" s="20"/>
      <c r="AA566" s="25" t="s">
        <v>222</v>
      </c>
      <c r="AB566" s="20" t="str">
        <f>IF(ISBLANK(S566),"是","否")</f>
        <v>否</v>
      </c>
      <c r="AC566" s="20"/>
      <c r="AD566" s="25"/>
      <c r="AE566" s="25"/>
      <c r="AF566" s="20"/>
      <c r="AG566" s="20"/>
      <c r="AH566" s="20" t="s">
        <v>76</v>
      </c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</row>
    <row r="567" ht="60.45112781954887" customHeight="1" spans="1:57" x14ac:dyDescent="0.25">
      <c r="A567" s="25" t="s">
        <v>1663</v>
      </c>
      <c r="B567" s="19" t="s">
        <v>282</v>
      </c>
      <c r="C567" s="20" t="s">
        <v>57</v>
      </c>
      <c r="D567" s="21"/>
      <c r="E567" s="22"/>
      <c r="F567" s="21" t="s">
        <v>2819</v>
      </c>
      <c r="G567" s="29" t="s">
        <v>2820</v>
      </c>
      <c r="H567" s="20" t="str">
        <f>SUBSTITUTE(SUBSTITUTE(SUBSTITUTE(S567,"/@","_"),"/cac:","_"),"/cbc:","_")</f>
        <v>Invoice_PaymentMeans_PayeeFinancialAccount_FinancialInstitutionBranch_Address_Postbox</v>
      </c>
      <c r="I567" s="20" t="str">
        <f>SUBSTITUTE(SUBSTITUTE(SUBSTITUTE(T567,"/@","_"),"/cac:","_"),"/cbc:","_")</f>
        <v/>
      </c>
      <c r="J567" s="25" t="s">
        <v>2822</v>
      </c>
      <c r="K567" s="25" t="s">
        <v>2823</v>
      </c>
      <c r="L567" s="25" t="s">
        <v>1392</v>
      </c>
      <c r="M567" s="25" t="s">
        <v>228</v>
      </c>
      <c r="N567" s="27" t="s">
        <v>64</v>
      </c>
      <c r="O567" s="25" t="s">
        <v>64</v>
      </c>
      <c r="P567" s="27" t="s">
        <v>50</v>
      </c>
      <c r="Q567" s="26" t="str">
        <f>IF(S567="","",LEN(S567)-LEN(SUBSTITUTE(S567,"/",""))+IF(ISNUMBER(SEARCH("@",S567)),0,1))</f>
        <v>6</v>
      </c>
      <c r="R567" s="42" t="s">
        <v>2824</v>
      </c>
      <c r="S567" s="26" t="s">
        <v>2824</v>
      </c>
      <c r="T567" s="20"/>
      <c r="U567" s="20"/>
      <c r="V567" s="20"/>
      <c r="W567" s="25" t="s">
        <v>681</v>
      </c>
      <c r="X567" s="46"/>
      <c r="Y567" s="20"/>
      <c r="Z567" s="20"/>
      <c r="AA567" s="25" t="s">
        <v>68</v>
      </c>
      <c r="AB567" s="20" t="str">
        <f>IF(ISBLANK(S567),"是","否")</f>
        <v>否</v>
      </c>
      <c r="AC567" s="20"/>
      <c r="AD567" s="25"/>
      <c r="AE567" s="25"/>
      <c r="AF567" s="20"/>
      <c r="AG567" s="20"/>
      <c r="AH567" s="20" t="s">
        <v>76</v>
      </c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</row>
    <row r="568" ht="60.45112781954887" customHeight="1" spans="1:57" x14ac:dyDescent="0.25">
      <c r="A568" s="25" t="s">
        <v>1663</v>
      </c>
      <c r="B568" s="19" t="s">
        <v>282</v>
      </c>
      <c r="C568" s="20" t="s">
        <v>57</v>
      </c>
      <c r="D568" s="21"/>
      <c r="E568" s="22"/>
      <c r="F568" s="21" t="s">
        <v>2825</v>
      </c>
      <c r="G568" s="29" t="s">
        <v>2826</v>
      </c>
      <c r="H568" s="20" t="str">
        <f>SUBSTITUTE(SUBSTITUTE(SUBSTITUTE(S568,"/@","_"),"/cac:","_"),"/cbc:","_")</f>
        <v>Invoice_PaymentMeans_PayeeFinancialAccount_FinancialInstitutionBranch_Address_Floor</v>
      </c>
      <c r="I568" s="20" t="str">
        <f>SUBSTITUTE(SUBSTITUTE(SUBSTITUTE(T568,"/@","_"),"/cac:","_"),"/cbc:","_")</f>
        <v/>
      </c>
      <c r="J568" s="25" t="s">
        <v>2828</v>
      </c>
      <c r="K568" s="25" t="s">
        <v>2829</v>
      </c>
      <c r="L568" s="25" t="s">
        <v>1392</v>
      </c>
      <c r="M568" s="25" t="s">
        <v>228</v>
      </c>
      <c r="N568" s="27" t="s">
        <v>64</v>
      </c>
      <c r="O568" s="25" t="s">
        <v>64</v>
      </c>
      <c r="P568" s="27" t="s">
        <v>50</v>
      </c>
      <c r="Q568" s="26" t="str">
        <f>IF(S568="","",LEN(S568)-LEN(SUBSTITUTE(S568,"/",""))+IF(ISNUMBER(SEARCH("@",S568)),0,1))</f>
        <v>6</v>
      </c>
      <c r="R568" s="42" t="s">
        <v>2830</v>
      </c>
      <c r="S568" s="26" t="s">
        <v>2830</v>
      </c>
      <c r="T568" s="20"/>
      <c r="U568" s="20"/>
      <c r="V568" s="20"/>
      <c r="W568" s="25" t="s">
        <v>2831</v>
      </c>
      <c r="X568" s="46"/>
      <c r="Y568" s="20"/>
      <c r="Z568" s="20"/>
      <c r="AA568" s="25" t="s">
        <v>68</v>
      </c>
      <c r="AB568" s="20" t="str">
        <f>IF(ISBLANK(S568),"是","否")</f>
        <v>否</v>
      </c>
      <c r="AC568" s="20"/>
      <c r="AD568" s="25"/>
      <c r="AE568" s="25"/>
      <c r="AF568" s="20"/>
      <c r="AG568" s="20"/>
      <c r="AH568" s="20" t="s">
        <v>76</v>
      </c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</row>
    <row r="569" ht="60.45112781954887" customHeight="1" spans="1:57" x14ac:dyDescent="0.25">
      <c r="A569" s="25" t="s">
        <v>1663</v>
      </c>
      <c r="B569" s="19" t="s">
        <v>282</v>
      </c>
      <c r="C569" s="20" t="s">
        <v>57</v>
      </c>
      <c r="D569" s="21"/>
      <c r="E569" s="22"/>
      <c r="F569" s="21" t="s">
        <v>2832</v>
      </c>
      <c r="G569" s="29" t="s">
        <v>2833</v>
      </c>
      <c r="H569" s="20" t="str">
        <f>SUBSTITUTE(SUBSTITUTE(SUBSTITUTE(S569,"/@","_"),"/cac:","_"),"/cbc:","_")</f>
        <v>Invoice_PaymentMeans_PayeeFinancialAccount_FinancialInstitutionBranch_Address_Room</v>
      </c>
      <c r="I569" s="20" t="str">
        <f>SUBSTITUTE(SUBSTITUTE(SUBSTITUTE(T569,"/@","_"),"/cac:","_"),"/cbc:","_")</f>
        <v/>
      </c>
      <c r="J569" s="25" t="s">
        <v>2835</v>
      </c>
      <c r="K569" s="25" t="s">
        <v>2836</v>
      </c>
      <c r="L569" s="25" t="s">
        <v>1392</v>
      </c>
      <c r="M569" s="25" t="s">
        <v>228</v>
      </c>
      <c r="N569" s="27" t="s">
        <v>64</v>
      </c>
      <c r="O569" s="25" t="s">
        <v>64</v>
      </c>
      <c r="P569" s="27" t="s">
        <v>50</v>
      </c>
      <c r="Q569" s="26" t="str">
        <f>IF(S569="","",LEN(S569)-LEN(SUBSTITUTE(S569,"/",""))+IF(ISNUMBER(SEARCH("@",S569)),0,1))</f>
        <v>6</v>
      </c>
      <c r="R569" s="42" t="s">
        <v>2837</v>
      </c>
      <c r="S569" s="26" t="s">
        <v>2837</v>
      </c>
      <c r="T569" s="20"/>
      <c r="U569" s="20"/>
      <c r="V569" s="20"/>
      <c r="W569" s="25" t="s">
        <v>681</v>
      </c>
      <c r="X569" s="46"/>
      <c r="Y569" s="20"/>
      <c r="Z569" s="20"/>
      <c r="AA569" s="25" t="s">
        <v>68</v>
      </c>
      <c r="AB569" s="20" t="str">
        <f>IF(ISBLANK(S569),"是","否")</f>
        <v>否</v>
      </c>
      <c r="AC569" s="20"/>
      <c r="AD569" s="25"/>
      <c r="AE569" s="25"/>
      <c r="AF569" s="20"/>
      <c r="AG569" s="20"/>
      <c r="AH569" s="20" t="s">
        <v>76</v>
      </c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</row>
    <row r="570" ht="60.45112781954887" customHeight="1" spans="1:57" x14ac:dyDescent="0.25">
      <c r="A570" s="25" t="s">
        <v>1663</v>
      </c>
      <c r="B570" s="19" t="s">
        <v>282</v>
      </c>
      <c r="C570" s="20" t="s">
        <v>57</v>
      </c>
      <c r="D570" s="21"/>
      <c r="E570" s="22"/>
      <c r="F570" s="21" t="s">
        <v>2838</v>
      </c>
      <c r="G570" s="29" t="s">
        <v>2839</v>
      </c>
      <c r="H570" s="20" t="str">
        <f>SUBSTITUTE(SUBSTITUTE(SUBSTITUTE(S570,"/@","_"),"/cac:","_"),"/cbc:","_")</f>
        <v>Invoice_PaymentMeans_PayeeFinancialAccount_FinancialInstitutionBranch_Address_StreetName</v>
      </c>
      <c r="I570" s="20" t="str">
        <f>SUBSTITUTE(SUBSTITUTE(SUBSTITUTE(T570,"/@","_"),"/cac:","_"),"/cbc:","_")</f>
        <v/>
      </c>
      <c r="J570" s="25" t="s">
        <v>2841</v>
      </c>
      <c r="K570" s="25" t="s">
        <v>2842</v>
      </c>
      <c r="L570" s="25" t="s">
        <v>1392</v>
      </c>
      <c r="M570" s="25" t="s">
        <v>228</v>
      </c>
      <c r="N570" s="27" t="s">
        <v>64</v>
      </c>
      <c r="O570" s="25" t="s">
        <v>64</v>
      </c>
      <c r="P570" s="27" t="s">
        <v>50</v>
      </c>
      <c r="Q570" s="26" t="str">
        <f>IF(S570="","",LEN(S570)-LEN(SUBSTITUTE(S570,"/",""))+IF(ISNUMBER(SEARCH("@",S570)),0,1))</f>
        <v>6</v>
      </c>
      <c r="R570" s="42" t="s">
        <v>2843</v>
      </c>
      <c r="S570" s="26" t="s">
        <v>2843</v>
      </c>
      <c r="T570" s="20"/>
      <c r="U570" s="20"/>
      <c r="V570" s="20"/>
      <c r="W570" s="25" t="s">
        <v>2844</v>
      </c>
      <c r="X570" s="46"/>
      <c r="Y570" s="20"/>
      <c r="Z570" s="20"/>
      <c r="AA570" s="25" t="s">
        <v>68</v>
      </c>
      <c r="AB570" s="20" t="str">
        <f>IF(ISBLANK(S570),"是","否")</f>
        <v>否</v>
      </c>
      <c r="AC570" s="20"/>
      <c r="AD570" s="25"/>
      <c r="AE570" s="25"/>
      <c r="AF570" s="20"/>
      <c r="AG570" s="20"/>
      <c r="AH570" s="20" t="s">
        <v>76</v>
      </c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</row>
    <row r="571" ht="60.45112781954887" customHeight="1" spans="1:57" x14ac:dyDescent="0.25">
      <c r="A571" s="25" t="s">
        <v>1663</v>
      </c>
      <c r="B571" s="19" t="s">
        <v>282</v>
      </c>
      <c r="C571" s="20" t="s">
        <v>57</v>
      </c>
      <c r="D571" s="21"/>
      <c r="E571" s="22"/>
      <c r="F571" s="21" t="s">
        <v>2845</v>
      </c>
      <c r="G571" s="29" t="s">
        <v>2846</v>
      </c>
      <c r="H571" s="20" t="str">
        <f>SUBSTITUTE(SUBSTITUTE(SUBSTITUTE(S571,"/@","_"),"/cac:","_"),"/cbc:","_")</f>
        <v>Invoice_PaymentMeans_PayeeFinancialAccount_FinancialInstitutionBranch_Address_CityName</v>
      </c>
      <c r="I571" s="20" t="str">
        <f>SUBSTITUTE(SUBSTITUTE(SUBSTITUTE(T571,"/@","_"),"/cac:","_"),"/cbc:","_")</f>
        <v/>
      </c>
      <c r="J571" s="25" t="s">
        <v>2848</v>
      </c>
      <c r="K571" s="25" t="s">
        <v>2849</v>
      </c>
      <c r="L571" s="25" t="s">
        <v>1392</v>
      </c>
      <c r="M571" s="25" t="s">
        <v>228</v>
      </c>
      <c r="N571" s="27" t="s">
        <v>64</v>
      </c>
      <c r="O571" s="25" t="s">
        <v>64</v>
      </c>
      <c r="P571" s="27" t="s">
        <v>50</v>
      </c>
      <c r="Q571" s="26" t="str">
        <f>IF(S571="","",LEN(S571)-LEN(SUBSTITUTE(S571,"/",""))+IF(ISNUMBER(SEARCH("@",S571)),0,1))</f>
        <v>6</v>
      </c>
      <c r="R571" s="42" t="s">
        <v>2850</v>
      </c>
      <c r="S571" s="26" t="s">
        <v>2850</v>
      </c>
      <c r="T571" s="20"/>
      <c r="U571" s="20"/>
      <c r="V571" s="20"/>
      <c r="W571" s="25" t="s">
        <v>2656</v>
      </c>
      <c r="X571" s="46"/>
      <c r="Y571" s="20"/>
      <c r="Z571" s="20"/>
      <c r="AA571" s="25" t="s">
        <v>68</v>
      </c>
      <c r="AB571" s="20" t="str">
        <f>IF(ISBLANK(S571),"是","否")</f>
        <v>否</v>
      </c>
      <c r="AC571" s="20"/>
      <c r="AD571" s="25"/>
      <c r="AE571" s="25"/>
      <c r="AF571" s="20"/>
      <c r="AG571" s="20"/>
      <c r="AH571" s="20" t="s">
        <v>76</v>
      </c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</row>
    <row r="572" ht="70.73684210526315" customHeight="1" spans="1:57" x14ac:dyDescent="0.25">
      <c r="A572" s="25" t="s">
        <v>1663</v>
      </c>
      <c r="B572" s="19" t="s">
        <v>328</v>
      </c>
      <c r="C572" s="20" t="s">
        <v>57</v>
      </c>
      <c r="D572" s="21"/>
      <c r="E572" s="22"/>
      <c r="F572" s="21" t="s">
        <v>2851</v>
      </c>
      <c r="G572" s="29" t="s">
        <v>2852</v>
      </c>
      <c r="H572" s="20" t="str">
        <f>SUBSTITUTE(SUBSTITUTE(SUBSTITUTE(S572,"/@","_"),"/cac:","_"),"/cbc:","_")</f>
        <v>Invoice_PaymentMeans_PayeeFinancialAccount_FinancialInstitutionBranch_Address_Country_IdentificationCode</v>
      </c>
      <c r="I572" s="20" t="str">
        <f>SUBSTITUTE(SUBSTITUTE(SUBSTITUTE(T572,"/@","_"),"/cac:","_"),"/cbc:","_")</f>
        <v/>
      </c>
      <c r="J572" s="25" t="s">
        <v>2854</v>
      </c>
      <c r="K572" s="25" t="s">
        <v>2855</v>
      </c>
      <c r="L572" s="25" t="s">
        <v>2856</v>
      </c>
      <c r="M572" s="25" t="s">
        <v>1661</v>
      </c>
      <c r="N572" s="27" t="s">
        <v>64</v>
      </c>
      <c r="O572" s="25" t="s">
        <v>64</v>
      </c>
      <c r="P572" s="27" t="s">
        <v>50</v>
      </c>
      <c r="Q572" s="26" t="str">
        <f>IF(S572="","",LEN(S572)-LEN(SUBSTITUTE(S572,"/",""))+IF(ISNUMBER(SEARCH("@",S572)),0,1))</f>
        <v>7</v>
      </c>
      <c r="R572" s="42" t="s">
        <v>2857</v>
      </c>
      <c r="S572" s="26" t="s">
        <v>2857</v>
      </c>
      <c r="T572" s="20"/>
      <c r="U572" s="20"/>
      <c r="V572" s="20"/>
      <c r="W572" s="25" t="s">
        <v>773</v>
      </c>
      <c r="X572" s="46"/>
      <c r="Y572" s="20"/>
      <c r="Z572" s="20"/>
      <c r="AA572" s="25" t="s">
        <v>68</v>
      </c>
      <c r="AB572" s="20" t="str">
        <f>IF(ISBLANK(S572),"是","否")</f>
        <v>否</v>
      </c>
      <c r="AC572" s="20"/>
      <c r="AD572" s="25"/>
      <c r="AE572" s="25"/>
      <c r="AF572" s="20"/>
      <c r="AG572" s="20"/>
      <c r="AH572" s="20" t="s">
        <v>76</v>
      </c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</row>
    <row r="573" ht="29.59398496240601" customHeight="1" spans="1:57" x14ac:dyDescent="0.25">
      <c r="A573" s="25" t="s">
        <v>1663</v>
      </c>
      <c r="B573" s="19" t="s">
        <v>2858</v>
      </c>
      <c r="C573" s="20" t="s">
        <v>57</v>
      </c>
      <c r="D573" s="21"/>
      <c r="E573" s="22"/>
      <c r="F573" s="21" t="s">
        <v>2859</v>
      </c>
      <c r="G573" s="29" t="s">
        <v>2860</v>
      </c>
      <c r="H573" s="20" t="str">
        <f>SUBSTITUTE(SUBSTITUTE(SUBSTITUTE(S573,"/@","_"),"/cac:","_"),"/cbc:","_")</f>
        <v>Invoice_PaymentMeans_PaymentMandate_ID</v>
      </c>
      <c r="I573" s="20" t="str">
        <f>SUBSTITUTE(SUBSTITUTE(SUBSTITUTE(T573,"/@","_"),"/cac:","_"),"/cbc:","_")</f>
        <v/>
      </c>
      <c r="J573" s="25" t="s">
        <v>2862</v>
      </c>
      <c r="K573" s="25" t="s">
        <v>2863</v>
      </c>
      <c r="L573" s="25" t="s">
        <v>2864</v>
      </c>
      <c r="M573" s="25" t="s">
        <v>228</v>
      </c>
      <c r="N573" s="27" t="s">
        <v>64</v>
      </c>
      <c r="O573" s="25" t="s">
        <v>64</v>
      </c>
      <c r="P573" s="27" t="s">
        <v>50</v>
      </c>
      <c r="Q573" s="26" t="str">
        <f>IF(S573="","",LEN(S573)-LEN(SUBSTITUTE(S573,"/",""))+IF(ISNUMBER(SEARCH("@",S573)),0,1))</f>
        <v>4</v>
      </c>
      <c r="R573" s="42" t="s">
        <v>2865</v>
      </c>
      <c r="S573" s="26" t="s">
        <v>2865</v>
      </c>
      <c r="T573" s="20"/>
      <c r="U573" s="20"/>
      <c r="V573" s="20"/>
      <c r="W573" s="25" t="s">
        <v>2866</v>
      </c>
      <c r="X573" s="46"/>
      <c r="Y573" s="20"/>
      <c r="Z573" s="20"/>
      <c r="AA573" s="25" t="s">
        <v>68</v>
      </c>
      <c r="AB573" s="20" t="str">
        <f>IF(ISBLANK(S573),"是","否")</f>
        <v>否</v>
      </c>
      <c r="AC573" s="20"/>
      <c r="AD573" s="25"/>
      <c r="AE573" s="25"/>
      <c r="AF573" s="20"/>
      <c r="AG573" s="20"/>
      <c r="AH573" s="20" t="s">
        <v>76</v>
      </c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</row>
    <row r="574" ht="39.879699248120296" customHeight="1" spans="1:57" x14ac:dyDescent="0.25">
      <c r="A574" s="25" t="s">
        <v>1663</v>
      </c>
      <c r="B574" s="19" t="s">
        <v>2775</v>
      </c>
      <c r="C574" s="20" t="s">
        <v>57</v>
      </c>
      <c r="D574" s="21"/>
      <c r="E574" s="22"/>
      <c r="F574" s="21" t="s">
        <v>2867</v>
      </c>
      <c r="G574" s="29" t="s">
        <v>2868</v>
      </c>
      <c r="H574" s="20" t="str">
        <f>SUBSTITUTE(SUBSTITUTE(SUBSTITUTE(S574,"/@","_"),"/cac:","_"),"/cbc:","_")</f>
        <v>Invoice_PaymentMeans_PaymentMandate_PayerFinancialAccount_ID</v>
      </c>
      <c r="I574" s="20" t="str">
        <f>SUBSTITUTE(SUBSTITUTE(SUBSTITUTE(T574,"/@","_"),"/cac:","_"),"/cbc:","_")</f>
        <v/>
      </c>
      <c r="J574" s="25" t="s">
        <v>2870</v>
      </c>
      <c r="K574" s="25" t="s">
        <v>2871</v>
      </c>
      <c r="L574" s="25" t="s">
        <v>1392</v>
      </c>
      <c r="M574" s="25" t="s">
        <v>228</v>
      </c>
      <c r="N574" s="27" t="s">
        <v>64</v>
      </c>
      <c r="O574" s="25" t="s">
        <v>64</v>
      </c>
      <c r="P574" s="27" t="s">
        <v>50</v>
      </c>
      <c r="Q574" s="26" t="str">
        <f>IF(S574="","",LEN(S574)-LEN(SUBSTITUTE(S574,"/",""))+IF(ISNUMBER(SEARCH("@",S574)),0,1))</f>
        <v>5</v>
      </c>
      <c r="R574" s="42" t="s">
        <v>2872</v>
      </c>
      <c r="S574" s="26" t="s">
        <v>2872</v>
      </c>
      <c r="T574" s="20"/>
      <c r="U574" s="20"/>
      <c r="V574" s="20"/>
      <c r="W574" s="25" t="s">
        <v>2873</v>
      </c>
      <c r="X574" s="46"/>
      <c r="Y574" s="20"/>
      <c r="Z574" s="20"/>
      <c r="AA574" s="25" t="s">
        <v>68</v>
      </c>
      <c r="AB574" s="20" t="str">
        <f>IF(ISBLANK(S574),"是","否")</f>
        <v>否</v>
      </c>
      <c r="AC574" s="20"/>
      <c r="AD574" s="25"/>
      <c r="AE574" s="25"/>
      <c r="AF574" s="20"/>
      <c r="AG574" s="20"/>
      <c r="AH574" s="20" t="s">
        <v>76</v>
      </c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</row>
    <row r="575" ht="29.59398496240601" customHeight="1" spans="1:57" x14ac:dyDescent="0.25">
      <c r="A575" s="25" t="s">
        <v>1663</v>
      </c>
      <c r="B575" s="19" t="s">
        <v>41</v>
      </c>
      <c r="C575" s="20" t="s">
        <v>57</v>
      </c>
      <c r="D575" s="21"/>
      <c r="E575" s="22"/>
      <c r="F575" s="21" t="s">
        <v>2874</v>
      </c>
      <c r="G575" s="29" t="s">
        <v>2875</v>
      </c>
      <c r="H575" s="20" t="str">
        <f>SUBSTITUTE(SUBSTITUTE(SUBSTITUTE(S575,"/@","_"),"/cac:","_"),"/cbc:","_")</f>
        <v>Invoice_PaymentTerms</v>
      </c>
      <c r="I575" s="20" t="str">
        <f>SUBSTITUTE(SUBSTITUTE(SUBSTITUTE(T575,"/@","_"),"/cac:","_"),"/cbc:","_")</f>
        <v/>
      </c>
      <c r="J575" s="25" t="s">
        <v>2877</v>
      </c>
      <c r="K575" s="25" t="s">
        <v>2878</v>
      </c>
      <c r="L575" s="25" t="s">
        <v>2879</v>
      </c>
      <c r="M575" s="25" t="s">
        <v>220</v>
      </c>
      <c r="N575" s="27" t="s">
        <v>64</v>
      </c>
      <c r="O575" s="25" t="s">
        <v>49</v>
      </c>
      <c r="P575" s="27" t="s">
        <v>3014</v>
      </c>
      <c r="Q575" s="26" t="str">
        <f>IF(S575="","",LEN(S575)-LEN(SUBSTITUTE(S575,"/",""))+IF(ISNUMBER(SEARCH("@",S575)),0,1))</f>
        <v>2</v>
      </c>
      <c r="R575" s="42" t="s">
        <v>2880</v>
      </c>
      <c r="S575" s="26" t="s">
        <v>2880</v>
      </c>
      <c r="T575" s="20"/>
      <c r="U575" s="20"/>
      <c r="V575" s="20"/>
      <c r="W575" s="25" t="s">
        <v>681</v>
      </c>
      <c r="X575" s="46"/>
      <c r="Y575" s="20"/>
      <c r="Z575" s="20"/>
      <c r="AA575" s="25" t="s">
        <v>222</v>
      </c>
      <c r="AB575" s="20" t="str">
        <f>IF(ISBLANK(S575),"是","否")</f>
        <v>否</v>
      </c>
      <c r="AC575" s="20"/>
      <c r="AD575" s="25"/>
      <c r="AE575" s="25"/>
      <c r="AF575" s="20"/>
      <c r="AG575" s="20"/>
      <c r="AH575" s="20" t="s">
        <v>76</v>
      </c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</row>
    <row r="576" ht="29.59398496240601" customHeight="1" spans="1:57" x14ac:dyDescent="0.25">
      <c r="A576" s="25" t="s">
        <v>1663</v>
      </c>
      <c r="B576" s="19" t="s">
        <v>2874</v>
      </c>
      <c r="C576" s="20" t="s">
        <v>57</v>
      </c>
      <c r="D576" s="21"/>
      <c r="E576" s="22"/>
      <c r="F576" s="21" t="s">
        <v>151</v>
      </c>
      <c r="G576" s="29" t="s">
        <v>2881</v>
      </c>
      <c r="H576" s="20" t="str">
        <f>SUBSTITUTE(SUBSTITUTE(SUBSTITUTE(S576,"/@","_"),"/cac:","_"),"/cbc:","_")</f>
        <v>Invoice_PaymentTerms_Note</v>
      </c>
      <c r="I576" s="20" t="str">
        <f>SUBSTITUTE(SUBSTITUTE(SUBSTITUTE(T576,"/@","_"),"/cac:","_"),"/cbc:","_")</f>
        <v/>
      </c>
      <c r="J576" s="25" t="s">
        <v>2883</v>
      </c>
      <c r="K576" s="25" t="s">
        <v>2884</v>
      </c>
      <c r="L576" s="25" t="s">
        <v>2885</v>
      </c>
      <c r="M576" s="25" t="s">
        <v>228</v>
      </c>
      <c r="N576" s="27" t="s">
        <v>64</v>
      </c>
      <c r="O576" s="25" t="s">
        <v>49</v>
      </c>
      <c r="P576" s="27" t="s">
        <v>50</v>
      </c>
      <c r="Q576" s="26" t="str">
        <f>IF(S576="","",LEN(S576)-LEN(SUBSTITUTE(S576,"/",""))+IF(ISNUMBER(SEARCH("@",S576)),0,1))</f>
        <v>3</v>
      </c>
      <c r="R576" s="42" t="s">
        <v>2886</v>
      </c>
      <c r="S576" s="26" t="s">
        <v>2886</v>
      </c>
      <c r="T576" s="20"/>
      <c r="U576" s="20"/>
      <c r="V576" s="20"/>
      <c r="W576" s="25" t="s">
        <v>2887</v>
      </c>
      <c r="X576" s="46"/>
      <c r="Y576" s="20"/>
      <c r="Z576" s="20"/>
      <c r="AA576" s="25" t="s">
        <v>68</v>
      </c>
      <c r="AB576" s="20" t="str">
        <f>IF(ISBLANK(S576),"是","否")</f>
        <v>否</v>
      </c>
      <c r="AC576" s="20"/>
      <c r="AD576" s="25"/>
      <c r="AE576" s="25"/>
      <c r="AF576" s="20"/>
      <c r="AG576" s="20"/>
      <c r="AH576" s="20" t="s">
        <v>76</v>
      </c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</row>
    <row r="577" ht="29.59398496240601" customHeight="1" spans="1:57" x14ac:dyDescent="0.25">
      <c r="A577" s="25" t="s">
        <v>1663</v>
      </c>
      <c r="B577" s="19" t="s">
        <v>2874</v>
      </c>
      <c r="C577" s="20" t="s">
        <v>57</v>
      </c>
      <c r="D577" s="21"/>
      <c r="E577" s="22"/>
      <c r="F577" s="21" t="s">
        <v>2888</v>
      </c>
      <c r="G577" s="29" t="s">
        <v>2889</v>
      </c>
      <c r="H577" s="20" t="str">
        <f>SUBSTITUTE(SUBSTITUTE(SUBSTITUTE(S577,"/@","_"),"/cac:","_"),"/cbc:","_")</f>
        <v>Invoice_PaymentTerms_PenaltySurchargePercent</v>
      </c>
      <c r="I577" s="20" t="str">
        <f>SUBSTITUTE(SUBSTITUTE(SUBSTITUTE(T577,"/@","_"),"/cac:","_"),"/cbc:","_")</f>
        <v/>
      </c>
      <c r="J577" s="25" t="s">
        <v>2891</v>
      </c>
      <c r="K577" s="25" t="s">
        <v>2892</v>
      </c>
      <c r="L577" s="25" t="s">
        <v>2893</v>
      </c>
      <c r="M577" s="25" t="s">
        <v>1000</v>
      </c>
      <c r="N577" s="27" t="s">
        <v>64</v>
      </c>
      <c r="O577" s="25" t="s">
        <v>64</v>
      </c>
      <c r="P577" s="27" t="s">
        <v>50</v>
      </c>
      <c r="Q577" s="26" t="str">
        <f>IF(S577="","",LEN(S577)-LEN(SUBSTITUTE(S577,"/",""))+IF(ISNUMBER(SEARCH("@",S577)),0,1))</f>
        <v>3</v>
      </c>
      <c r="R577" s="42" t="s">
        <v>2894</v>
      </c>
      <c r="S577" s="26" t="s">
        <v>2894</v>
      </c>
      <c r="T577" s="20"/>
      <c r="U577" s="20"/>
      <c r="V577" s="20"/>
      <c r="W577" s="25">
        <v>0.05</v>
      </c>
      <c r="X577" s="46"/>
      <c r="Y577" s="20"/>
      <c r="Z577" s="20"/>
      <c r="AA577" s="25" t="s">
        <v>68</v>
      </c>
      <c r="AB577" s="20" t="str">
        <f>IF(ISBLANK(S577),"是","否")</f>
        <v>否</v>
      </c>
      <c r="AC577" s="20"/>
      <c r="AD577" s="25"/>
      <c r="AE577" s="25"/>
      <c r="AF577" s="20"/>
      <c r="AG577" s="20"/>
      <c r="AH577" s="20" t="s">
        <v>76</v>
      </c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</row>
    <row r="578" ht="29.59398496240601" customHeight="1" spans="1:57" x14ac:dyDescent="0.25">
      <c r="A578" s="25" t="s">
        <v>1663</v>
      </c>
      <c r="B578" s="19" t="s">
        <v>41</v>
      </c>
      <c r="C578" s="20" t="s">
        <v>57</v>
      </c>
      <c r="D578" s="21"/>
      <c r="E578" s="22"/>
      <c r="F578" s="21" t="s">
        <v>2895</v>
      </c>
      <c r="G578" s="29" t="s">
        <v>2896</v>
      </c>
      <c r="H578" s="20" t="str">
        <f>SUBSTITUTE(SUBSTITUTE(SUBSTITUTE(S578,"/@","_"),"/cac:","_"),"/cbc:","_")</f>
        <v>Invoice_PrepaidPayment</v>
      </c>
      <c r="I578" s="20" t="str">
        <f>SUBSTITUTE(SUBSTITUTE(SUBSTITUTE(T578,"/@","_"),"/cac:","_"),"/cbc:","_")</f>
        <v/>
      </c>
      <c r="J578" s="25" t="s">
        <v>2898</v>
      </c>
      <c r="K578" s="25" t="s">
        <v>2899</v>
      </c>
      <c r="L578" s="25" t="s">
        <v>2900</v>
      </c>
      <c r="M578" s="25" t="s">
        <v>220</v>
      </c>
      <c r="N578" s="27"/>
      <c r="O578" s="25" t="s">
        <v>49</v>
      </c>
      <c r="P578" s="27" t="s">
        <v>3014</v>
      </c>
      <c r="Q578" s="26" t="str">
        <f>IF(S578="","",LEN(S578)-LEN(SUBSTITUTE(S578,"/",""))+IF(ISNUMBER(SEARCH("@",S578)),0,1))</f>
        <v>2</v>
      </c>
      <c r="R578" s="42" t="s">
        <v>2901</v>
      </c>
      <c r="S578" s="26" t="s">
        <v>2901</v>
      </c>
      <c r="T578" s="20"/>
      <c r="U578" s="20"/>
      <c r="V578" s="20"/>
      <c r="W578" s="25" t="s">
        <v>681</v>
      </c>
      <c r="X578" s="46"/>
      <c r="Y578" s="20"/>
      <c r="Z578" s="20"/>
      <c r="AA578" s="25" t="s">
        <v>222</v>
      </c>
      <c r="AB578" s="20" t="str">
        <f>IF(ISBLANK(S578),"是","否")</f>
        <v>否</v>
      </c>
      <c r="AC578" s="20"/>
      <c r="AD578" s="25"/>
      <c r="AE578" s="25"/>
      <c r="AF578" s="20"/>
      <c r="AG578" s="20"/>
      <c r="AH578" s="20" t="s">
        <v>76</v>
      </c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</row>
    <row r="579" ht="29.59398496240601" customHeight="1" spans="1:57" x14ac:dyDescent="0.25">
      <c r="A579" s="25" t="s">
        <v>1663</v>
      </c>
      <c r="B579" s="19" t="s">
        <v>2902</v>
      </c>
      <c r="C579" s="20" t="s">
        <v>57</v>
      </c>
      <c r="D579" s="21"/>
      <c r="E579" s="22"/>
      <c r="F579" s="21" t="s">
        <v>2903</v>
      </c>
      <c r="G579" s="23" t="s">
        <v>2904</v>
      </c>
      <c r="H579" s="20" t="str">
        <f>SUBSTITUTE(SUBSTITUTE(SUBSTITUTE(S579,"/@","_"),"/cac:","_"),"/cbc:","_")</f>
        <v>Invoice_PrepaidPayment_ID</v>
      </c>
      <c r="I579" s="20" t="str">
        <f>SUBSTITUTE(SUBSTITUTE(SUBSTITUTE(T579,"/@","_"),"/cac:","_"),"/cbc:","_")</f>
        <v/>
      </c>
      <c r="J579" s="25" t="s">
        <v>2906</v>
      </c>
      <c r="K579" s="25" t="s">
        <v>2907</v>
      </c>
      <c r="L579" s="25" t="s">
        <v>1392</v>
      </c>
      <c r="M579" s="25" t="s">
        <v>228</v>
      </c>
      <c r="N579" s="27"/>
      <c r="O579" s="25" t="s">
        <v>64</v>
      </c>
      <c r="P579" s="27" t="s">
        <v>50</v>
      </c>
      <c r="Q579" s="26" t="str">
        <f>IF(S579="","",LEN(S579)-LEN(SUBSTITUTE(S579,"/",""))+IF(ISNUMBER(SEARCH("@",S579)),0,1))</f>
        <v>3</v>
      </c>
      <c r="R579" s="42" t="s">
        <v>2908</v>
      </c>
      <c r="S579" s="26" t="s">
        <v>2908</v>
      </c>
      <c r="T579" s="20"/>
      <c r="U579" s="20"/>
      <c r="V579" s="20"/>
      <c r="W579" s="25" t="s">
        <v>2909</v>
      </c>
      <c r="X579" s="46"/>
      <c r="Y579" s="20"/>
      <c r="Z579" s="20"/>
      <c r="AA579" s="25" t="s">
        <v>68</v>
      </c>
      <c r="AB579" s="20" t="str">
        <f>IF(ISBLANK(S579),"是","否")</f>
        <v>否</v>
      </c>
      <c r="AC579" s="20"/>
      <c r="AD579" s="25"/>
      <c r="AE579" s="25"/>
      <c r="AF579" s="20"/>
      <c r="AG579" s="20"/>
      <c r="AH579" s="20" t="s">
        <v>76</v>
      </c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</row>
    <row r="580" ht="29.59398496240601" customHeight="1" spans="1:57" x14ac:dyDescent="0.25">
      <c r="A580" s="25" t="s">
        <v>1663</v>
      </c>
      <c r="B580" s="19" t="s">
        <v>2902</v>
      </c>
      <c r="C580" s="20" t="s">
        <v>57</v>
      </c>
      <c r="D580" s="21"/>
      <c r="E580" s="22"/>
      <c r="F580" s="21" t="s">
        <v>2910</v>
      </c>
      <c r="G580" s="29" t="s">
        <v>2911</v>
      </c>
      <c r="H580" s="20" t="str">
        <f>SUBSTITUTE(SUBSTITUTE(SUBSTITUTE(S580,"/@","_"),"/cac:","_"),"/cbc:","_")</f>
        <v>Invoice_PrepaidPayment_PaidAmount</v>
      </c>
      <c r="I580" s="20" t="str">
        <f>SUBSTITUTE(SUBSTITUTE(SUBSTITUTE(T580,"/@","_"),"/cac:","_"),"/cbc:","_")</f>
        <v/>
      </c>
      <c r="J580" s="25" t="s">
        <v>2913</v>
      </c>
      <c r="K580" s="25" t="s">
        <v>2914</v>
      </c>
      <c r="L580" s="25" t="s">
        <v>1139</v>
      </c>
      <c r="M580" s="25" t="s">
        <v>1000</v>
      </c>
      <c r="N580" s="27"/>
      <c r="O580" s="25">
        <v>1</v>
      </c>
      <c r="P580" s="27" t="s">
        <v>50</v>
      </c>
      <c r="Q580" s="26" t="str">
        <f>IF(S580="","",LEN(S580)-LEN(SUBSTITUTE(S580,"/",""))+IF(ISNUMBER(SEARCH("@",S580)),0,1))</f>
        <v>3</v>
      </c>
      <c r="R580" s="42" t="s">
        <v>2915</v>
      </c>
      <c r="S580" s="26" t="s">
        <v>2915</v>
      </c>
      <c r="T580" s="20"/>
      <c r="U580" s="20"/>
      <c r="V580" s="20"/>
      <c r="W580" s="25">
        <v>100</v>
      </c>
      <c r="X580" s="46"/>
      <c r="Y580" s="20"/>
      <c r="Z580" s="20"/>
      <c r="AA580" s="25" t="s">
        <v>68</v>
      </c>
      <c r="AB580" s="20" t="str">
        <f>IF(ISBLANK(S580),"是","否")</f>
        <v>否</v>
      </c>
      <c r="AC580" s="20"/>
      <c r="AD580" s="25"/>
      <c r="AE580" s="25"/>
      <c r="AF580" s="20"/>
      <c r="AG580" s="20"/>
      <c r="AH580" s="20" t="s">
        <v>76</v>
      </c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</row>
    <row r="581" ht="29.59398496240601" customHeight="1" spans="1:57" x14ac:dyDescent="0.25">
      <c r="A581" s="25" t="s">
        <v>1663</v>
      </c>
      <c r="B581" s="19" t="s">
        <v>2902</v>
      </c>
      <c r="C581" s="20" t="s">
        <v>57</v>
      </c>
      <c r="D581" s="21"/>
      <c r="E581" s="22"/>
      <c r="F581" s="21" t="s">
        <v>2916</v>
      </c>
      <c r="G581" s="29" t="s">
        <v>2917</v>
      </c>
      <c r="H581" s="20" t="str">
        <f>SUBSTITUTE(SUBSTITUTE(SUBSTITUTE(S581,"/@","_"),"/cac:","_"),"/cbc:","_")</f>
        <v>Invoice_PrepaidPayment_PaidAmount_currencyID</v>
      </c>
      <c r="I581" s="20" t="str">
        <f>SUBSTITUTE(SUBSTITUTE(SUBSTITUTE(T581,"/@","_"),"/cac:","_"),"/cbc:","_")</f>
        <v/>
      </c>
      <c r="J581" s="25" t="s">
        <v>1055</v>
      </c>
      <c r="K581" s="25" t="s">
        <v>2919</v>
      </c>
      <c r="L581" s="25" t="s">
        <v>2796</v>
      </c>
      <c r="M581" s="25" t="s">
        <v>1661</v>
      </c>
      <c r="N581" s="27"/>
      <c r="O581" s="25" t="s">
        <v>64</v>
      </c>
      <c r="P581" s="27" t="s">
        <v>50</v>
      </c>
      <c r="Q581" s="26" t="str">
        <f>IF(S581="","",LEN(S581)-LEN(SUBSTITUTE(S581,"/",""))+IF(ISNUMBER(SEARCH("@",S581)),0,1))</f>
        <v>3</v>
      </c>
      <c r="R581" s="42" t="s">
        <v>2920</v>
      </c>
      <c r="S581" s="26" t="s">
        <v>2920</v>
      </c>
      <c r="T581" s="20"/>
      <c r="U581" s="20"/>
      <c r="V581" s="20"/>
      <c r="W581" s="25" t="s">
        <v>993</v>
      </c>
      <c r="X581" s="46"/>
      <c r="Y581" s="20"/>
      <c r="Z581" s="20"/>
      <c r="AA581" s="25" t="s">
        <v>68</v>
      </c>
      <c r="AB581" s="20" t="str">
        <f>IF(ISBLANK(S581),"是","否")</f>
        <v>否</v>
      </c>
      <c r="AC581" s="20"/>
      <c r="AD581" s="25"/>
      <c r="AE581" s="25"/>
      <c r="AF581" s="20"/>
      <c r="AG581" s="20"/>
      <c r="AH581" s="20" t="s">
        <v>76</v>
      </c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</row>
    <row r="582" ht="29.59398496240601" customHeight="1" spans="1:57" x14ac:dyDescent="0.25">
      <c r="A582" s="25" t="s">
        <v>1663</v>
      </c>
      <c r="B582" s="19" t="s">
        <v>2902</v>
      </c>
      <c r="C582" s="20" t="s">
        <v>57</v>
      </c>
      <c r="D582" s="21"/>
      <c r="E582" s="22"/>
      <c r="F582" s="21" t="s">
        <v>2921</v>
      </c>
      <c r="G582" s="25" t="s">
        <v>2922</v>
      </c>
      <c r="H582" s="20" t="str">
        <f>SUBSTITUTE(SUBSTITUTE(SUBSTITUTE(S582,"/@","_"),"/cac:","_"),"/cbc:","_")</f>
        <v>Invoice_PrepaidPayment_ReceivedDate</v>
      </c>
      <c r="I582" s="20" t="str">
        <f>SUBSTITUTE(SUBSTITUTE(SUBSTITUTE(T582,"/@","_"),"/cac:","_"),"/cbc:","_")</f>
        <v/>
      </c>
      <c r="J582" s="25" t="s">
        <v>2924</v>
      </c>
      <c r="K582" s="25" t="s">
        <v>2925</v>
      </c>
      <c r="L582" s="25" t="s">
        <v>1571</v>
      </c>
      <c r="M582" s="25" t="s">
        <v>1016</v>
      </c>
      <c r="N582" s="27"/>
      <c r="O582" s="25" t="s">
        <v>64</v>
      </c>
      <c r="P582" s="27" t="s">
        <v>50</v>
      </c>
      <c r="Q582" s="26" t="str">
        <f>IF(S582="","",LEN(S582)-LEN(SUBSTITUTE(S582,"/",""))+IF(ISNUMBER(SEARCH("@",S582)),0,1))</f>
        <v>3</v>
      </c>
      <c r="R582" s="42" t="s">
        <v>2926</v>
      </c>
      <c r="S582" s="26" t="s">
        <v>2926</v>
      </c>
      <c r="T582" s="20"/>
      <c r="U582" s="20"/>
      <c r="V582" s="20"/>
      <c r="W582" s="20" t="s">
        <v>1852</v>
      </c>
      <c r="X582" s="46"/>
      <c r="Y582" s="20"/>
      <c r="Z582" s="20"/>
      <c r="AA582" s="25" t="s">
        <v>68</v>
      </c>
      <c r="AB582" s="20" t="str">
        <f>IF(ISBLANK(S582),"是","否")</f>
        <v>否</v>
      </c>
      <c r="AC582" s="20"/>
      <c r="AD582" s="25"/>
      <c r="AE582" s="25"/>
      <c r="AF582" s="20"/>
      <c r="AG582" s="20"/>
      <c r="AH582" s="20" t="s">
        <v>76</v>
      </c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</row>
    <row r="583" ht="29.59398496240601" customHeight="1" spans="1:57" x14ac:dyDescent="0.25">
      <c r="A583" s="25" t="s">
        <v>1663</v>
      </c>
      <c r="B583" s="19" t="s">
        <v>2902</v>
      </c>
      <c r="C583" s="20" t="s">
        <v>57</v>
      </c>
      <c r="D583" s="21"/>
      <c r="E583" s="22"/>
      <c r="F583" s="21" t="s">
        <v>2927</v>
      </c>
      <c r="G583" s="23" t="s">
        <v>2928</v>
      </c>
      <c r="H583" s="20" t="str">
        <f>SUBSTITUTE(SUBSTITUTE(SUBSTITUTE(S583,"/@","_"),"/cac:","_"),"/cbc:","_")</f>
        <v>Invoice_PrepaidPayment_PaidDate</v>
      </c>
      <c r="I583" s="20" t="str">
        <f>SUBSTITUTE(SUBSTITUTE(SUBSTITUTE(T583,"/@","_"),"/cac:","_"),"/cbc:","_")</f>
        <v/>
      </c>
      <c r="J583" s="25" t="s">
        <v>2930</v>
      </c>
      <c r="K583" s="25" t="s">
        <v>2931</v>
      </c>
      <c r="L583" s="25" t="s">
        <v>1571</v>
      </c>
      <c r="M583" s="25" t="s">
        <v>1016</v>
      </c>
      <c r="N583" s="27"/>
      <c r="O583" s="25" t="s">
        <v>64</v>
      </c>
      <c r="P583" s="27" t="s">
        <v>50</v>
      </c>
      <c r="Q583" s="26" t="str">
        <f>IF(S583="","",LEN(S583)-LEN(SUBSTITUTE(S583,"/",""))+IF(ISNUMBER(SEARCH("@",S583)),0,1))</f>
        <v>3</v>
      </c>
      <c r="R583" s="42" t="s">
        <v>2932</v>
      </c>
      <c r="S583" s="26" t="s">
        <v>2932</v>
      </c>
      <c r="T583" s="20"/>
      <c r="U583" s="20"/>
      <c r="V583" s="20"/>
      <c r="W583" s="20" t="s">
        <v>1852</v>
      </c>
      <c r="X583" s="46"/>
      <c r="Y583" s="20"/>
      <c r="Z583" s="20"/>
      <c r="AA583" s="25" t="s">
        <v>68</v>
      </c>
      <c r="AB583" s="20" t="str">
        <f>IF(ISBLANK(S583),"是","否")</f>
        <v>否</v>
      </c>
      <c r="AC583" s="20"/>
      <c r="AD583" s="25"/>
      <c r="AE583" s="25"/>
      <c r="AF583" s="20"/>
      <c r="AG583" s="20"/>
      <c r="AH583" s="20" t="s">
        <v>76</v>
      </c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</row>
    <row r="584" ht="29.59398496240601" customHeight="1" spans="1:57" x14ac:dyDescent="0.25">
      <c r="A584" s="25" t="s">
        <v>1663</v>
      </c>
      <c r="B584" s="19" t="s">
        <v>2902</v>
      </c>
      <c r="C584" s="20" t="s">
        <v>57</v>
      </c>
      <c r="D584" s="21"/>
      <c r="E584" s="22"/>
      <c r="F584" s="21" t="s">
        <v>2933</v>
      </c>
      <c r="G584" s="23" t="s">
        <v>2934</v>
      </c>
      <c r="H584" s="20" t="str">
        <f>SUBSTITUTE(SUBSTITUTE(SUBSTITUTE(S584,"/@","_"),"/cac:","_"),"/cbc:","_")</f>
        <v>Invoice_PrepaidPayment_PaidTime</v>
      </c>
      <c r="I584" s="20" t="str">
        <f>SUBSTITUTE(SUBSTITUTE(SUBSTITUTE(T584,"/@","_"),"/cac:","_"),"/cbc:","_")</f>
        <v/>
      </c>
      <c r="J584" s="25" t="s">
        <v>2936</v>
      </c>
      <c r="K584" s="25" t="s">
        <v>2937</v>
      </c>
      <c r="L584" s="25" t="s">
        <v>1904</v>
      </c>
      <c r="M584" s="25" t="s">
        <v>1905</v>
      </c>
      <c r="N584" s="27"/>
      <c r="O584" s="25" t="s">
        <v>64</v>
      </c>
      <c r="P584" s="27" t="s">
        <v>50</v>
      </c>
      <c r="Q584" s="26" t="str">
        <f>IF(S584="","",LEN(S584)-LEN(SUBSTITUTE(S584,"/",""))+IF(ISNUMBER(SEARCH("@",S584)),0,1))</f>
        <v>3</v>
      </c>
      <c r="R584" s="42" t="s">
        <v>2938</v>
      </c>
      <c r="S584" s="26" t="s">
        <v>2938</v>
      </c>
      <c r="T584" s="20"/>
      <c r="U584" s="20"/>
      <c r="V584" s="20"/>
      <c r="W584" s="20" t="s">
        <v>2939</v>
      </c>
      <c r="X584" s="46"/>
      <c r="Y584" s="20"/>
      <c r="Z584" s="20"/>
      <c r="AA584" s="25" t="s">
        <v>68</v>
      </c>
      <c r="AB584" s="20" t="str">
        <f>IF(ISBLANK(S584),"是","否")</f>
        <v>否</v>
      </c>
      <c r="AC584" s="20"/>
      <c r="AD584" s="25"/>
      <c r="AE584" s="25"/>
      <c r="AF584" s="20"/>
      <c r="AG584" s="20"/>
      <c r="AH584" s="20" t="s">
        <v>76</v>
      </c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</row>
    <row r="585" ht="29.59398496240601" customHeight="1" spans="1:57" x14ac:dyDescent="0.25">
      <c r="A585" s="25" t="s">
        <v>1663</v>
      </c>
      <c r="B585" s="19" t="s">
        <v>41</v>
      </c>
      <c r="C585" s="20" t="s">
        <v>57</v>
      </c>
      <c r="D585" s="21"/>
      <c r="E585" s="22"/>
      <c r="F585" s="21" t="s">
        <v>2940</v>
      </c>
      <c r="G585" s="29" t="s">
        <v>2941</v>
      </c>
      <c r="H585" s="20" t="str">
        <f>SUBSTITUTE(SUBSTITUTE(SUBSTITUTE(S585,"/@","_"),"/cac:","_"),"/cbc:","_")</f>
        <v>Invoice_TaxRepresentativeParty</v>
      </c>
      <c r="I585" s="20" t="str">
        <f>SUBSTITUTE(SUBSTITUTE(SUBSTITUTE(T585,"/@","_"),"/cac:","_"),"/cbc:","_")</f>
        <v/>
      </c>
      <c r="J585" s="25" t="s">
        <v>2943</v>
      </c>
      <c r="K585" s="25" t="s">
        <v>2944</v>
      </c>
      <c r="L585" s="25" t="s">
        <v>2945</v>
      </c>
      <c r="M585" s="25" t="s">
        <v>220</v>
      </c>
      <c r="N585" s="27" t="s">
        <v>64</v>
      </c>
      <c r="O585" s="25" t="s">
        <v>64</v>
      </c>
      <c r="P585" s="27" t="s">
        <v>3014</v>
      </c>
      <c r="Q585" s="26" t="str">
        <f>IF(S585="","",LEN(S585)-LEN(SUBSTITUTE(S585,"/",""))+IF(ISNUMBER(SEARCH("@",S585)),0,1))</f>
        <v>2</v>
      </c>
      <c r="R585" s="42" t="s">
        <v>2946</v>
      </c>
      <c r="S585" s="26" t="s">
        <v>2946</v>
      </c>
      <c r="T585" s="20"/>
      <c r="U585" s="20"/>
      <c r="V585" s="20"/>
      <c r="W585" s="25" t="s">
        <v>681</v>
      </c>
      <c r="X585" s="46"/>
      <c r="Y585" s="20"/>
      <c r="Z585" s="20"/>
      <c r="AA585" s="25" t="s">
        <v>222</v>
      </c>
      <c r="AB585" s="20" t="str">
        <f>IF(ISBLANK(S585),"是","否")</f>
        <v>否</v>
      </c>
      <c r="AC585" s="20"/>
      <c r="AD585" s="25"/>
      <c r="AE585" s="25"/>
      <c r="AF585" s="20"/>
      <c r="AG585" s="20"/>
      <c r="AH585" s="20" t="s">
        <v>76</v>
      </c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</row>
    <row r="586" ht="29.59398496240601" customHeight="1" spans="1:57" x14ac:dyDescent="0.25">
      <c r="A586" s="25" t="s">
        <v>1663</v>
      </c>
      <c r="B586" s="19" t="s">
        <v>230</v>
      </c>
      <c r="C586" s="20" t="s">
        <v>57</v>
      </c>
      <c r="D586" s="21"/>
      <c r="E586" s="22"/>
      <c r="F586" s="21" t="s">
        <v>230</v>
      </c>
      <c r="G586" s="29" t="s">
        <v>2947</v>
      </c>
      <c r="H586" s="20" t="str">
        <f>SUBSTITUTE(SUBSTITUTE(SUBSTITUTE(S586,"/@","_"),"/cac:","_"),"/cbc:","_")</f>
        <v>Invoice_TaxRepresentativeParty_PartyName</v>
      </c>
      <c r="I586" s="20" t="str">
        <f>SUBSTITUTE(SUBSTITUTE(SUBSTITUTE(T586,"/@","_"),"/cac:","_"),"/cbc:","_")</f>
        <v/>
      </c>
      <c r="J586" s="25" t="s">
        <v>2949</v>
      </c>
      <c r="K586" s="25" t="s">
        <v>2950</v>
      </c>
      <c r="L586" s="25" t="s">
        <v>2529</v>
      </c>
      <c r="M586" s="25" t="s">
        <v>220</v>
      </c>
      <c r="N586" s="27" t="s">
        <v>64</v>
      </c>
      <c r="O586" s="25" t="s">
        <v>49</v>
      </c>
      <c r="P586" s="27" t="s">
        <v>50</v>
      </c>
      <c r="Q586" s="26" t="str">
        <f>IF(S586="","",LEN(S586)-LEN(SUBSTITUTE(S586,"/",""))+IF(ISNUMBER(SEARCH("@",S586)),0,1))</f>
        <v>3</v>
      </c>
      <c r="R586" s="42" t="s">
        <v>2951</v>
      </c>
      <c r="S586" s="26" t="s">
        <v>2951</v>
      </c>
      <c r="T586" s="20"/>
      <c r="U586" s="20"/>
      <c r="V586" s="20"/>
      <c r="W586" s="25" t="s">
        <v>681</v>
      </c>
      <c r="X586" s="46"/>
      <c r="Y586" s="20"/>
      <c r="Z586" s="20"/>
      <c r="AA586" s="25" t="s">
        <v>222</v>
      </c>
      <c r="AB586" s="20" t="str">
        <f>IF(ISBLANK(S586),"是","否")</f>
        <v>否</v>
      </c>
      <c r="AC586" s="20"/>
      <c r="AD586" s="25"/>
      <c r="AE586" s="25"/>
      <c r="AF586" s="20"/>
      <c r="AG586" s="20"/>
      <c r="AH586" s="20" t="s">
        <v>76</v>
      </c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</row>
    <row r="587" ht="29.59398496240601" customHeight="1" spans="1:57" x14ac:dyDescent="0.25">
      <c r="A587" s="25" t="s">
        <v>1663</v>
      </c>
      <c r="B587" s="19" t="s">
        <v>188</v>
      </c>
      <c r="C587" s="20" t="s">
        <v>57</v>
      </c>
      <c r="D587" s="21"/>
      <c r="E587" s="22"/>
      <c r="F587" s="21" t="s">
        <v>2952</v>
      </c>
      <c r="G587" s="29" t="s">
        <v>2953</v>
      </c>
      <c r="H587" s="20" t="str">
        <f>SUBSTITUTE(SUBSTITUTE(SUBSTITUTE(S587,"/@","_"),"/cac:","_"),"/cbc:","_")</f>
        <v>Invoice_TaxRepresentativeParty_PartyName_Name</v>
      </c>
      <c r="I587" s="20" t="str">
        <f>SUBSTITUTE(SUBSTITUTE(SUBSTITUTE(T587,"/@","_"),"/cac:","_"),"/cbc:","_")</f>
        <v/>
      </c>
      <c r="J587" s="25" t="s">
        <v>2955</v>
      </c>
      <c r="K587" s="25" t="s">
        <v>2956</v>
      </c>
      <c r="L587" s="25" t="s">
        <v>1392</v>
      </c>
      <c r="M587" s="25" t="s">
        <v>228</v>
      </c>
      <c r="N587" s="27" t="s">
        <v>165</v>
      </c>
      <c r="O587" s="25">
        <v>1</v>
      </c>
      <c r="P587" s="27" t="s">
        <v>3015</v>
      </c>
      <c r="Q587" s="26" t="str">
        <f>IF(S587="","",LEN(S587)-LEN(SUBSTITUTE(S587,"/",""))+IF(ISNUMBER(SEARCH("@",S587)),0,1))</f>
        <v>4</v>
      </c>
      <c r="R587" s="42" t="s">
        <v>2957</v>
      </c>
      <c r="S587" s="26" t="s">
        <v>2957</v>
      </c>
      <c r="T587" s="20"/>
      <c r="U587" s="20"/>
      <c r="V587" s="20"/>
      <c r="W587" s="25" t="s">
        <v>2958</v>
      </c>
      <c r="X587" s="46"/>
      <c r="Y587" s="20"/>
      <c r="Z587" s="20"/>
      <c r="AA587" s="25" t="s">
        <v>68</v>
      </c>
      <c r="AB587" s="20" t="str">
        <f>IF(ISBLANK(S587),"是","否")</f>
        <v>否</v>
      </c>
      <c r="AC587" s="20"/>
      <c r="AD587" s="25"/>
      <c r="AE587" s="25"/>
      <c r="AF587" s="20"/>
      <c r="AG587" s="20"/>
      <c r="AH587" s="20" t="s">
        <v>76</v>
      </c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</row>
    <row r="588" ht="29.59398496240601" customHeight="1" spans="1:57" x14ac:dyDescent="0.25">
      <c r="A588" s="25" t="s">
        <v>1663</v>
      </c>
      <c r="B588" s="19" t="s">
        <v>230</v>
      </c>
      <c r="C588" s="20" t="s">
        <v>57</v>
      </c>
      <c r="D588" s="21"/>
      <c r="E588" s="22"/>
      <c r="F588" s="21" t="s">
        <v>466</v>
      </c>
      <c r="G588" s="29" t="s">
        <v>2959</v>
      </c>
      <c r="H588" s="20" t="str">
        <f>SUBSTITUTE(SUBSTITUTE(SUBSTITUTE(S588,"/@","_"),"/cac:","_"),"/cbc:","_")</f>
        <v>Invoice_TaxRepresentativeParty_PostalAddress</v>
      </c>
      <c r="I588" s="20" t="str">
        <f>SUBSTITUTE(SUBSTITUTE(SUBSTITUTE(T588,"/@","_"),"/cac:","_"),"/cbc:","_")</f>
        <v/>
      </c>
      <c r="J588" s="25" t="s">
        <v>2961</v>
      </c>
      <c r="K588" s="25" t="s">
        <v>2962</v>
      </c>
      <c r="L588" s="25" t="s">
        <v>2963</v>
      </c>
      <c r="M588" s="25" t="s">
        <v>220</v>
      </c>
      <c r="N588" s="27" t="s">
        <v>64</v>
      </c>
      <c r="O588" s="25" t="s">
        <v>64</v>
      </c>
      <c r="P588" s="27" t="s">
        <v>50</v>
      </c>
      <c r="Q588" s="26" t="str">
        <f>IF(S588="","",LEN(S588)-LEN(SUBSTITUTE(S588,"/",""))+IF(ISNUMBER(SEARCH("@",S588)),0,1))</f>
        <v>3</v>
      </c>
      <c r="R588" s="42" t="s">
        <v>2964</v>
      </c>
      <c r="S588" s="26" t="s">
        <v>2964</v>
      </c>
      <c r="T588" s="20"/>
      <c r="U588" s="20"/>
      <c r="V588" s="20"/>
      <c r="W588" s="25" t="s">
        <v>681</v>
      </c>
      <c r="X588" s="46"/>
      <c r="Y588" s="20"/>
      <c r="Z588" s="20"/>
      <c r="AA588" s="25" t="s">
        <v>222</v>
      </c>
      <c r="AB588" s="20" t="str">
        <f>IF(ISBLANK(S588),"是","否")</f>
        <v>否</v>
      </c>
      <c r="AC588" s="20"/>
      <c r="AD588" s="25"/>
      <c r="AE588" s="25"/>
      <c r="AF588" s="20"/>
      <c r="AG588" s="20"/>
      <c r="AH588" s="20" t="s">
        <v>76</v>
      </c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</row>
    <row r="589" ht="29.59398496240601" customHeight="1" spans="1:57" x14ac:dyDescent="0.25">
      <c r="A589" s="25" t="s">
        <v>1663</v>
      </c>
      <c r="B589" s="19" t="s">
        <v>282</v>
      </c>
      <c r="C589" s="20" t="s">
        <v>57</v>
      </c>
      <c r="D589" s="21"/>
      <c r="E589" s="22"/>
      <c r="F589" s="21" t="s">
        <v>283</v>
      </c>
      <c r="G589" s="29" t="s">
        <v>2965</v>
      </c>
      <c r="H589" s="20" t="str">
        <f>SUBSTITUTE(SUBSTITUTE(SUBSTITUTE(S589,"/@","_"),"/cac:","_"),"/cbc:","_")</f>
        <v>Invoice_TaxRepresentativeParty_PostalAddress_StreetName</v>
      </c>
      <c r="I589" s="20" t="str">
        <f>SUBSTITUTE(SUBSTITUTE(SUBSTITUTE(T589,"/@","_"),"/cac:","_"),"/cbc:","_")</f>
        <v/>
      </c>
      <c r="J589" s="25" t="s">
        <v>2491</v>
      </c>
      <c r="K589" s="25" t="s">
        <v>2966</v>
      </c>
      <c r="L589" s="25" t="s">
        <v>1392</v>
      </c>
      <c r="M589" s="25" t="s">
        <v>228</v>
      </c>
      <c r="N589" s="27" t="s">
        <v>64</v>
      </c>
      <c r="O589" s="25" t="s">
        <v>64</v>
      </c>
      <c r="P589" s="27" t="s">
        <v>3015</v>
      </c>
      <c r="Q589" s="26" t="str">
        <f>IF(S589="","",LEN(S589)-LEN(SUBSTITUTE(S589,"/",""))+IF(ISNUMBER(SEARCH("@",S589)),0,1))</f>
        <v>4</v>
      </c>
      <c r="R589" s="42" t="s">
        <v>2967</v>
      </c>
      <c r="S589" s="26" t="s">
        <v>2967</v>
      </c>
      <c r="T589" s="20"/>
      <c r="U589" s="20"/>
      <c r="V589" s="20"/>
      <c r="W589" s="25" t="s">
        <v>2968</v>
      </c>
      <c r="X589" s="46"/>
      <c r="Y589" s="20"/>
      <c r="Z589" s="20"/>
      <c r="AA589" s="25" t="s">
        <v>68</v>
      </c>
      <c r="AB589" s="20" t="str">
        <f>IF(ISBLANK(S589),"是","否")</f>
        <v>否</v>
      </c>
      <c r="AC589" s="20"/>
      <c r="AD589" s="25"/>
      <c r="AE589" s="25"/>
      <c r="AF589" s="20"/>
      <c r="AG589" s="20"/>
      <c r="AH589" s="20" t="s">
        <v>76</v>
      </c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</row>
    <row r="590" ht="29.59398496240601" customHeight="1" spans="1:57" x14ac:dyDescent="0.25">
      <c r="A590" s="25" t="s">
        <v>1663</v>
      </c>
      <c r="B590" s="19" t="s">
        <v>282</v>
      </c>
      <c r="C590" s="20" t="s">
        <v>57</v>
      </c>
      <c r="D590" s="21"/>
      <c r="E590" s="22"/>
      <c r="F590" s="21" t="s">
        <v>290</v>
      </c>
      <c r="G590" s="29" t="s">
        <v>2969</v>
      </c>
      <c r="H590" s="20" t="str">
        <f>SUBSTITUTE(SUBSTITUTE(SUBSTITUTE(S590,"/@","_"),"/cac:","_"),"/cbc:","_")</f>
        <v>Invoice_TaxRepresentativeParty_PostalAddress_CityName</v>
      </c>
      <c r="I590" s="20" t="str">
        <f>SUBSTITUTE(SUBSTITUTE(SUBSTITUTE(T590,"/@","_"),"/cac:","_"),"/cbc:","_")</f>
        <v/>
      </c>
      <c r="J590" s="25" t="s">
        <v>2507</v>
      </c>
      <c r="K590" s="25" t="s">
        <v>2970</v>
      </c>
      <c r="L590" s="25" t="s">
        <v>1392</v>
      </c>
      <c r="M590" s="25" t="s">
        <v>228</v>
      </c>
      <c r="N590" s="27" t="s">
        <v>64</v>
      </c>
      <c r="O590" s="25" t="s">
        <v>64</v>
      </c>
      <c r="P590" s="27" t="s">
        <v>3015</v>
      </c>
      <c r="Q590" s="26" t="str">
        <f>IF(S590="","",LEN(S590)-LEN(SUBSTITUTE(S590,"/",""))+IF(ISNUMBER(SEARCH("@",S590)),0,1))</f>
        <v>4</v>
      </c>
      <c r="R590" s="42" t="s">
        <v>2971</v>
      </c>
      <c r="S590" s="26" t="s">
        <v>2971</v>
      </c>
      <c r="T590" s="20"/>
      <c r="U590" s="20"/>
      <c r="V590" s="20"/>
      <c r="W590" s="25" t="s">
        <v>2972</v>
      </c>
      <c r="X590" s="46"/>
      <c r="Y590" s="20"/>
      <c r="Z590" s="20"/>
      <c r="AA590" s="25" t="s">
        <v>68</v>
      </c>
      <c r="AB590" s="20" t="str">
        <f>IF(ISBLANK(S590),"是","否")</f>
        <v>否</v>
      </c>
      <c r="AC590" s="20"/>
      <c r="AD590" s="25"/>
      <c r="AE590" s="25"/>
      <c r="AF590" s="20"/>
      <c r="AG590" s="20"/>
      <c r="AH590" s="20" t="s">
        <v>76</v>
      </c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</row>
    <row r="591" ht="29.59398496240601" customHeight="1" spans="1:57" x14ac:dyDescent="0.25">
      <c r="A591" s="25" t="s">
        <v>1663</v>
      </c>
      <c r="B591" s="19" t="s">
        <v>282</v>
      </c>
      <c r="C591" s="20" t="s">
        <v>57</v>
      </c>
      <c r="D591" s="21"/>
      <c r="E591" s="22"/>
      <c r="F591" s="21" t="s">
        <v>309</v>
      </c>
      <c r="G591" s="29" t="s">
        <v>2973</v>
      </c>
      <c r="H591" s="20" t="str">
        <f>SUBSTITUTE(SUBSTITUTE(SUBSTITUTE(S591,"/@","_"),"/cac:","_"),"/cbc:","_")</f>
        <v>Invoice_TaxRepresentativeParty_PostalAddress_PostalZone</v>
      </c>
      <c r="I591" s="20" t="str">
        <f>SUBSTITUTE(SUBSTITUTE(SUBSTITUTE(T591,"/@","_"),"/cac:","_"),"/cbc:","_")</f>
        <v/>
      </c>
      <c r="J591" s="25" t="s">
        <v>2974</v>
      </c>
      <c r="K591" s="25" t="s">
        <v>2975</v>
      </c>
      <c r="L591" s="25" t="s">
        <v>1392</v>
      </c>
      <c r="M591" s="25" t="s">
        <v>228</v>
      </c>
      <c r="N591" s="27" t="s">
        <v>165</v>
      </c>
      <c r="O591" s="25" t="s">
        <v>64</v>
      </c>
      <c r="P591" s="27" t="s">
        <v>3015</v>
      </c>
      <c r="Q591" s="26" t="str">
        <f>IF(S591="","",LEN(S591)-LEN(SUBSTITUTE(S591,"/",""))+IF(ISNUMBER(SEARCH("@",S591)),0,1))</f>
        <v>4</v>
      </c>
      <c r="R591" s="42" t="s">
        <v>2976</v>
      </c>
      <c r="S591" s="26" t="s">
        <v>2976</v>
      </c>
      <c r="T591" s="20"/>
      <c r="U591" s="20"/>
      <c r="V591" s="20"/>
      <c r="W591" s="25" t="s">
        <v>2977</v>
      </c>
      <c r="X591" s="46"/>
      <c r="Y591" s="20"/>
      <c r="Z591" s="20"/>
      <c r="AA591" s="25" t="s">
        <v>68</v>
      </c>
      <c r="AB591" s="20" t="str">
        <f>IF(ISBLANK(S591),"是","否")</f>
        <v>否</v>
      </c>
      <c r="AC591" s="20"/>
      <c r="AD591" s="25"/>
      <c r="AE591" s="25"/>
      <c r="AF591" s="20"/>
      <c r="AG591" s="20"/>
      <c r="AH591" s="20" t="s">
        <v>76</v>
      </c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</row>
    <row r="592" ht="29.59398496240601" customHeight="1" spans="1:57" x14ac:dyDescent="0.25">
      <c r="A592" s="25" t="s">
        <v>1663</v>
      </c>
      <c r="B592" s="19" t="s">
        <v>282</v>
      </c>
      <c r="C592" s="20" t="s">
        <v>57</v>
      </c>
      <c r="D592" s="21"/>
      <c r="E592" s="22"/>
      <c r="F592" s="21" t="s">
        <v>316</v>
      </c>
      <c r="G592" s="29" t="s">
        <v>2978</v>
      </c>
      <c r="H592" s="20" t="str">
        <f>SUBSTITUTE(SUBSTITUTE(SUBSTITUTE(S592,"/@","_"),"/cac:","_"),"/cbc:","_")</f>
        <v>Invoice_TaxRepresentativeParty_PostalAddress_AddressLine</v>
      </c>
      <c r="I592" s="20" t="str">
        <f>SUBSTITUTE(SUBSTITUTE(SUBSTITUTE(T592,"/@","_"),"/cac:","_"),"/cbc:","_")</f>
        <v/>
      </c>
      <c r="J592" s="25" t="s">
        <v>2527</v>
      </c>
      <c r="K592" s="25" t="s">
        <v>2979</v>
      </c>
      <c r="L592" s="25" t="s">
        <v>2529</v>
      </c>
      <c r="M592" s="25" t="s">
        <v>220</v>
      </c>
      <c r="N592" s="27" t="s">
        <v>64</v>
      </c>
      <c r="O592" s="25" t="s">
        <v>64</v>
      </c>
      <c r="P592" s="27" t="s">
        <v>3015</v>
      </c>
      <c r="Q592" s="26" t="str">
        <f>IF(S592="","",LEN(S592)-LEN(SUBSTITUTE(S592,"/",""))+IF(ISNUMBER(SEARCH("@",S592)),0,1))</f>
        <v>4</v>
      </c>
      <c r="R592" s="42" t="s">
        <v>2980</v>
      </c>
      <c r="S592" s="26" t="s">
        <v>2980</v>
      </c>
      <c r="T592" s="20"/>
      <c r="U592" s="20"/>
      <c r="V592" s="20"/>
      <c r="W592" s="25" t="s">
        <v>681</v>
      </c>
      <c r="X592" s="46"/>
      <c r="Y592" s="20"/>
      <c r="Z592" s="20"/>
      <c r="AA592" s="25" t="s">
        <v>222</v>
      </c>
      <c r="AB592" s="20" t="str">
        <f>IF(ISBLANK(S592),"是","否")</f>
        <v>否</v>
      </c>
      <c r="AC592" s="20"/>
      <c r="AD592" s="25"/>
      <c r="AE592" s="25"/>
      <c r="AF592" s="20"/>
      <c r="AG592" s="20"/>
      <c r="AH592" s="20" t="s">
        <v>76</v>
      </c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</row>
    <row r="593" ht="29.59398496240601" customHeight="1" spans="1:57" x14ac:dyDescent="0.25">
      <c r="A593" s="25" t="s">
        <v>1663</v>
      </c>
      <c r="B593" s="19" t="s">
        <v>316</v>
      </c>
      <c r="C593" s="20" t="s">
        <v>57</v>
      </c>
      <c r="D593" s="21"/>
      <c r="E593" s="22"/>
      <c r="F593" s="21" t="s">
        <v>321</v>
      </c>
      <c r="G593" s="29" t="s">
        <v>2981</v>
      </c>
      <c r="H593" s="20" t="str">
        <f>SUBSTITUTE(SUBSTITUTE(SUBSTITUTE(S593,"/@","_"),"/cac:","_"),"/cbc:","_")</f>
        <v>Invoice_TaxRepresentativeParty_PostalAddress_AddressLine_Line</v>
      </c>
      <c r="I593" s="20" t="str">
        <f>SUBSTITUTE(SUBSTITUTE(SUBSTITUTE(T593,"/@","_"),"/cac:","_"),"/cbc:","_")</f>
        <v/>
      </c>
      <c r="J593" s="25" t="s">
        <v>2533</v>
      </c>
      <c r="K593" s="25" t="s">
        <v>2982</v>
      </c>
      <c r="L593" s="25" t="s">
        <v>1392</v>
      </c>
      <c r="M593" s="25" t="s">
        <v>228</v>
      </c>
      <c r="N593" s="27" t="s">
        <v>64</v>
      </c>
      <c r="O593" s="25">
        <v>1</v>
      </c>
      <c r="P593" s="27" t="s">
        <v>3016</v>
      </c>
      <c r="Q593" s="26" t="str">
        <f>IF(S593="","",LEN(S593)-LEN(SUBSTITUTE(S593,"/",""))+IF(ISNUMBER(SEARCH("@",S593)),0,1))</f>
        <v>5</v>
      </c>
      <c r="R593" s="42" t="s">
        <v>2983</v>
      </c>
      <c r="S593" s="26" t="s">
        <v>2983</v>
      </c>
      <c r="T593" s="20"/>
      <c r="U593" s="20"/>
      <c r="V593" s="20"/>
      <c r="W593" s="25" t="s">
        <v>2984</v>
      </c>
      <c r="X593" s="46"/>
      <c r="Y593" s="20"/>
      <c r="Z593" s="20"/>
      <c r="AA593" s="25" t="s">
        <v>68</v>
      </c>
      <c r="AB593" s="20" t="str">
        <f>IF(ISBLANK(S593),"是","否")</f>
        <v>否</v>
      </c>
      <c r="AC593" s="20"/>
      <c r="AD593" s="25"/>
      <c r="AE593" s="25"/>
      <c r="AF593" s="20"/>
      <c r="AG593" s="20"/>
      <c r="AH593" s="20" t="s">
        <v>76</v>
      </c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</row>
    <row r="594" ht="39.879699248120296" customHeight="1" spans="1:57" x14ac:dyDescent="0.25">
      <c r="A594" s="25" t="s">
        <v>1663</v>
      </c>
      <c r="B594" s="19" t="s">
        <v>328</v>
      </c>
      <c r="C594" s="20" t="s">
        <v>57</v>
      </c>
      <c r="D594" s="21"/>
      <c r="E594" s="22"/>
      <c r="F594" s="21" t="s">
        <v>519</v>
      </c>
      <c r="G594" s="29" t="s">
        <v>2985</v>
      </c>
      <c r="H594" s="20" t="str">
        <f>SUBSTITUTE(SUBSTITUTE(SUBSTITUTE(S594,"/@","_"),"/cac:","_"),"/cbc:","_")</f>
        <v>Invoice_TaxRepresentativeParty_PostalAddress_Country_IdentificationCode</v>
      </c>
      <c r="I594" s="20" t="str">
        <f>SUBSTITUTE(SUBSTITUTE(SUBSTITUTE(T594,"/@","_"),"/cac:","_"),"/cbc:","_")</f>
        <v/>
      </c>
      <c r="J594" s="25" t="s">
        <v>2986</v>
      </c>
      <c r="K594" s="25" t="s">
        <v>2987</v>
      </c>
      <c r="L594" s="25" t="s">
        <v>2856</v>
      </c>
      <c r="M594" s="25" t="s">
        <v>1661</v>
      </c>
      <c r="N594" s="27" t="s">
        <v>165</v>
      </c>
      <c r="O594" s="25">
        <v>1</v>
      </c>
      <c r="P594" s="27" t="s">
        <v>3015</v>
      </c>
      <c r="Q594" s="26" t="str">
        <f>IF(S594="","",LEN(S594)-LEN(SUBSTITUTE(S594,"/",""))+IF(ISNUMBER(SEARCH("@",S594)),0,1))</f>
        <v>5</v>
      </c>
      <c r="R594" s="42" t="s">
        <v>2988</v>
      </c>
      <c r="S594" s="26" t="s">
        <v>2988</v>
      </c>
      <c r="T594" s="20"/>
      <c r="U594" s="20"/>
      <c r="V594" s="20"/>
      <c r="W594" s="25" t="s">
        <v>2989</v>
      </c>
      <c r="X594" s="46"/>
      <c r="Y594" s="20"/>
      <c r="Z594" s="20"/>
      <c r="AA594" s="25" t="s">
        <v>68</v>
      </c>
      <c r="AB594" s="20" t="str">
        <f>IF(ISBLANK(S594),"是","否")</f>
        <v>否</v>
      </c>
      <c r="AC594" s="20"/>
      <c r="AD594" s="25"/>
      <c r="AE594" s="25"/>
      <c r="AF594" s="20"/>
      <c r="AG594" s="20"/>
      <c r="AH594" s="20" t="s">
        <v>76</v>
      </c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</row>
    <row r="595" ht="29.59398496240601" customHeight="1" spans="1:57" x14ac:dyDescent="0.25">
      <c r="A595" s="25" t="s">
        <v>1663</v>
      </c>
      <c r="B595" s="19" t="s">
        <v>230</v>
      </c>
      <c r="C595" s="20" t="s">
        <v>57</v>
      </c>
      <c r="D595" s="21"/>
      <c r="E595" s="22"/>
      <c r="F595" s="21" t="s">
        <v>344</v>
      </c>
      <c r="G595" s="29" t="s">
        <v>2990</v>
      </c>
      <c r="H595" s="20" t="str">
        <f>SUBSTITUTE(SUBSTITUTE(SUBSTITUTE(S595,"/@","_"),"/cac:","_"),"/cbc:","_")</f>
        <v>Invoice_TaxRepresentativeParty_PartyTaxScheme</v>
      </c>
      <c r="I595" s="20" t="str">
        <f>SUBSTITUTE(SUBSTITUTE(SUBSTITUTE(T595,"/@","_"),"/cac:","_"),"/cbc:","_")</f>
        <v/>
      </c>
      <c r="J595" s="25" t="s">
        <v>2991</v>
      </c>
      <c r="K595" s="25" t="s">
        <v>2992</v>
      </c>
      <c r="L595" s="25" t="s">
        <v>2993</v>
      </c>
      <c r="M595" s="25" t="s">
        <v>220</v>
      </c>
      <c r="N595" s="27" t="s">
        <v>165</v>
      </c>
      <c r="O595" s="25" t="s">
        <v>49</v>
      </c>
      <c r="P595" s="27" t="s">
        <v>50</v>
      </c>
      <c r="Q595" s="26" t="str">
        <f>IF(S595="","",LEN(S595)-LEN(SUBSTITUTE(S595,"/",""))+IF(ISNUMBER(SEARCH("@",S595)),0,1))</f>
        <v>3</v>
      </c>
      <c r="R595" s="42" t="s">
        <v>2994</v>
      </c>
      <c r="S595" s="26" t="s">
        <v>2994</v>
      </c>
      <c r="T595" s="20"/>
      <c r="U595" s="20"/>
      <c r="V595" s="20"/>
      <c r="W595" s="25" t="s">
        <v>681</v>
      </c>
      <c r="X595" s="46"/>
      <c r="Y595" s="20"/>
      <c r="Z595" s="20"/>
      <c r="AA595" s="25" t="s">
        <v>222</v>
      </c>
      <c r="AB595" s="20" t="str">
        <f>IF(ISBLANK(S595),"是","否")</f>
        <v>否</v>
      </c>
      <c r="AC595" s="20"/>
      <c r="AD595" s="25"/>
      <c r="AE595" s="25"/>
      <c r="AF595" s="20"/>
      <c r="AG595" s="20"/>
      <c r="AH595" s="20" t="s">
        <v>76</v>
      </c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</row>
    <row r="596" ht="29.59398496240601" customHeight="1" spans="1:57" x14ac:dyDescent="0.25">
      <c r="A596" s="25" t="s">
        <v>1663</v>
      </c>
      <c r="B596" s="19" t="s">
        <v>349</v>
      </c>
      <c r="C596" s="20" t="s">
        <v>57</v>
      </c>
      <c r="D596" s="21"/>
      <c r="E596" s="22"/>
      <c r="F596" s="21" t="s">
        <v>527</v>
      </c>
      <c r="G596" s="29" t="s">
        <v>2995</v>
      </c>
      <c r="H596" s="20" t="str">
        <f>SUBSTITUTE(SUBSTITUTE(SUBSTITUTE(S596,"/@","_"),"/cac:","_"),"/cbc:","_")</f>
        <v>Invoice_TaxRepresentativeParty_PartyTaxScheme_TaxScheme_ID</v>
      </c>
      <c r="I596" s="20" t="str">
        <f>SUBSTITUTE(SUBSTITUTE(SUBSTITUTE(T596,"/@","_"),"/cac:","_"),"/cbc:","_")</f>
        <v/>
      </c>
      <c r="J596" s="25" t="s">
        <v>1261</v>
      </c>
      <c r="K596" s="25" t="s">
        <v>2996</v>
      </c>
      <c r="L596" s="25" t="s">
        <v>2566</v>
      </c>
      <c r="M596" s="25" t="s">
        <v>1661</v>
      </c>
      <c r="N596" s="27" t="s">
        <v>165</v>
      </c>
      <c r="O596" s="25" t="s">
        <v>64</v>
      </c>
      <c r="P596" s="27" t="s">
        <v>3015</v>
      </c>
      <c r="Q596" s="26" t="str">
        <f>IF(S596="","",LEN(S596)-LEN(SUBSTITUTE(S596,"/",""))+IF(ISNUMBER(SEARCH("@",S596)),0,1))</f>
        <v>5</v>
      </c>
      <c r="R596" s="42" t="s">
        <v>2997</v>
      </c>
      <c r="S596" s="26" t="s">
        <v>2997</v>
      </c>
      <c r="T596" s="20"/>
      <c r="U596" s="20"/>
      <c r="V596" s="20"/>
      <c r="W596" s="25" t="s">
        <v>791</v>
      </c>
      <c r="X596" s="46"/>
      <c r="Y596" s="20"/>
      <c r="Z596" s="20"/>
      <c r="AA596" s="25" t="s">
        <v>68</v>
      </c>
      <c r="AB596" s="20" t="str">
        <f>IF(ISBLANK(S596),"是","否")</f>
        <v>否</v>
      </c>
      <c r="AC596" s="20"/>
      <c r="AD596" s="25"/>
      <c r="AE596" s="25"/>
      <c r="AF596" s="20"/>
      <c r="AG596" s="20"/>
      <c r="AH596" s="20" t="s">
        <v>76</v>
      </c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</row>
    <row r="597" ht="29.59398496240601" customHeight="1" spans="1:57" x14ac:dyDescent="0.25">
      <c r="A597" s="25" t="s">
        <v>1663</v>
      </c>
      <c r="B597" s="19" t="s">
        <v>344</v>
      </c>
      <c r="C597" s="20" t="s">
        <v>57</v>
      </c>
      <c r="D597" s="21"/>
      <c r="E597" s="22"/>
      <c r="F597" s="21" t="s">
        <v>531</v>
      </c>
      <c r="G597" s="29" t="s">
        <v>2998</v>
      </c>
      <c r="H597" s="20" t="str">
        <f>SUBSTITUTE(SUBSTITUTE(SUBSTITUTE(S597,"/@","_"),"/cac:","_"),"/cbc:","_")</f>
        <v>Invoice_TaxRepresentativeParty_PartyTaxScheme_CompanyID</v>
      </c>
      <c r="I597" s="20" t="str">
        <f>SUBSTITUTE(SUBSTITUTE(SUBSTITUTE(T597,"/@","_"),"/cac:","_"),"/cbc:","_")</f>
        <v/>
      </c>
      <c r="J597" s="25" t="s">
        <v>2570</v>
      </c>
      <c r="K597" s="25" t="s">
        <v>3000</v>
      </c>
      <c r="L597" s="25" t="s">
        <v>1392</v>
      </c>
      <c r="M597" s="25" t="s">
        <v>228</v>
      </c>
      <c r="N597" s="27" t="s">
        <v>165</v>
      </c>
      <c r="O597" s="25">
        <v>1</v>
      </c>
      <c r="P597" s="27" t="s">
        <v>3015</v>
      </c>
      <c r="Q597" s="26" t="str">
        <f>IF(S597="","",LEN(S597)-LEN(SUBSTITUTE(S597,"/",""))+IF(ISNUMBER(SEARCH("@",S597)),0,1))</f>
        <v>4</v>
      </c>
      <c r="R597" s="42" t="s">
        <v>3001</v>
      </c>
      <c r="S597" s="26" t="s">
        <v>3001</v>
      </c>
      <c r="T597" s="20"/>
      <c r="U597" s="20"/>
      <c r="V597" s="20"/>
      <c r="W597" s="25" t="s">
        <v>3002</v>
      </c>
      <c r="X597" s="46"/>
      <c r="Y597" s="20"/>
      <c r="Z597" s="20"/>
      <c r="AA597" s="25" t="s">
        <v>68</v>
      </c>
      <c r="AB597" s="20" t="str">
        <f>IF(ISBLANK(S597),"是","否")</f>
        <v>否</v>
      </c>
      <c r="AC597" s="20"/>
      <c r="AD597" s="25"/>
      <c r="AE597" s="25"/>
      <c r="AF597" s="20"/>
      <c r="AG597" s="20"/>
      <c r="AH597" s="20" t="s">
        <v>76</v>
      </c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</row>
    <row r="598" ht="18.045112781954888" customHeight="1" spans="1:57" x14ac:dyDescent="0.25">
      <c r="A598" s="20"/>
      <c r="B598" s="20"/>
      <c r="C598" s="20"/>
      <c r="D598" s="21"/>
      <c r="E598" s="22"/>
      <c r="F598" s="21"/>
      <c r="G598" s="25"/>
      <c r="H598" s="20"/>
      <c r="I598" s="20"/>
      <c r="J598" s="20"/>
      <c r="K598" s="20"/>
      <c r="L598" s="20"/>
      <c r="M598" s="25"/>
      <c r="N598" s="27"/>
      <c r="O598" s="27"/>
      <c r="P598" s="27"/>
      <c r="Q598" s="42"/>
      <c r="R598" s="42"/>
      <c r="S598" s="26"/>
      <c r="T598" s="20"/>
      <c r="U598" s="20"/>
      <c r="V598" s="20"/>
      <c r="W598" s="20"/>
      <c r="X598" s="46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</row>
    <row r="599" ht="18.045112781954888" customHeight="1" spans="1:57" x14ac:dyDescent="0.25">
      <c r="A599" s="20"/>
      <c r="B599" s="20"/>
      <c r="C599" s="20"/>
      <c r="D599" s="21"/>
      <c r="E599" s="22"/>
      <c r="F599" s="21"/>
      <c r="G599" s="25"/>
      <c r="H599" s="20"/>
      <c r="I599" s="20"/>
      <c r="J599" s="20"/>
      <c r="K599" s="20"/>
      <c r="L599" s="20"/>
      <c r="M599" s="25"/>
      <c r="N599" s="27"/>
      <c r="O599" s="27"/>
      <c r="P599" s="27"/>
      <c r="Q599" s="42"/>
      <c r="R599" s="42"/>
      <c r="S599" s="26"/>
      <c r="T599" s="20"/>
      <c r="U599" s="20"/>
      <c r="V599" s="20"/>
      <c r="W599" s="20"/>
      <c r="X599" s="46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</row>
    <row r="600" ht="18.045112781954888" customHeight="1" spans="1:57" x14ac:dyDescent="0.25">
      <c r="A600" s="20"/>
      <c r="B600" s="20"/>
      <c r="C600" s="20"/>
      <c r="D600" s="21"/>
      <c r="E600" s="22"/>
      <c r="F600" s="21"/>
      <c r="G600" s="25"/>
      <c r="H600" s="20"/>
      <c r="I600" s="20"/>
      <c r="J600" s="20"/>
      <c r="K600" s="20"/>
      <c r="L600" s="20"/>
      <c r="M600" s="25"/>
      <c r="N600" s="27"/>
      <c r="O600" s="27"/>
      <c r="P600" s="27"/>
      <c r="Q600" s="42"/>
      <c r="R600" s="42"/>
      <c r="S600" s="26"/>
      <c r="T600" s="20"/>
      <c r="U600" s="20"/>
      <c r="V600" s="20"/>
      <c r="W600" s="20"/>
      <c r="X600" s="46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</row>
    <row r="601" ht="18.045112781954888" customHeight="1" spans="1:57" x14ac:dyDescent="0.25">
      <c r="A601" s="20"/>
      <c r="B601" s="20"/>
      <c r="C601" s="20"/>
      <c r="D601" s="21"/>
      <c r="E601" s="22"/>
      <c r="F601" s="21"/>
      <c r="G601" s="25"/>
      <c r="H601" s="20"/>
      <c r="I601" s="20"/>
      <c r="J601" s="20"/>
      <c r="K601" s="20"/>
      <c r="L601" s="20"/>
      <c r="M601" s="25"/>
      <c r="N601" s="27"/>
      <c r="O601" s="27"/>
      <c r="P601" s="27"/>
      <c r="Q601" s="42"/>
      <c r="R601" s="42"/>
      <c r="S601" s="26"/>
      <c r="T601" s="20"/>
      <c r="U601" s="20"/>
      <c r="V601" s="20"/>
      <c r="W601" s="20"/>
      <c r="X601" s="46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</row>
    <row r="602" ht="18.045112781954888" customHeight="1" spans="1:57" x14ac:dyDescent="0.25">
      <c r="A602" s="20"/>
      <c r="B602" s="20"/>
      <c r="C602" s="20"/>
      <c r="D602" s="21"/>
      <c r="E602" s="22"/>
      <c r="F602" s="21"/>
      <c r="G602" s="25"/>
      <c r="H602" s="20"/>
      <c r="I602" s="20"/>
      <c r="J602" s="20"/>
      <c r="K602" s="20"/>
      <c r="L602" s="20"/>
      <c r="M602" s="25"/>
      <c r="N602" s="27"/>
      <c r="O602" s="27"/>
      <c r="P602" s="27"/>
      <c r="Q602" s="42"/>
      <c r="R602" s="42"/>
      <c r="S602" s="26"/>
      <c r="T602" s="20"/>
      <c r="U602" s="20"/>
      <c r="V602" s="20"/>
      <c r="W602" s="20"/>
      <c r="X602" s="46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</row>
    <row r="603" ht="18.045112781954888" customHeight="1" spans="1:57" x14ac:dyDescent="0.25">
      <c r="A603" s="20"/>
      <c r="B603" s="20"/>
      <c r="C603" s="20"/>
      <c r="D603" s="21"/>
      <c r="E603" s="22"/>
      <c r="F603" s="21"/>
      <c r="G603" s="25"/>
      <c r="H603" s="20"/>
      <c r="I603" s="20"/>
      <c r="J603" s="20"/>
      <c r="K603" s="20"/>
      <c r="L603" s="20"/>
      <c r="M603" s="25"/>
      <c r="N603" s="27"/>
      <c r="O603" s="27"/>
      <c r="P603" s="27"/>
      <c r="Q603" s="42"/>
      <c r="R603" s="42"/>
      <c r="S603" s="26"/>
      <c r="T603" s="20"/>
      <c r="U603" s="20"/>
      <c r="V603" s="20"/>
      <c r="W603" s="20"/>
      <c r="X603" s="46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</row>
    <row r="604" ht="18.045112781954888" customHeight="1" spans="1:57" x14ac:dyDescent="0.25">
      <c r="A604" s="20"/>
      <c r="B604" s="20"/>
      <c r="C604" s="20"/>
      <c r="D604" s="21"/>
      <c r="E604" s="22"/>
      <c r="F604" s="21"/>
      <c r="G604" s="25"/>
      <c r="H604" s="20"/>
      <c r="I604" s="20"/>
      <c r="J604" s="20"/>
      <c r="K604" s="20"/>
      <c r="L604" s="20"/>
      <c r="M604" s="25"/>
      <c r="N604" s="27"/>
      <c r="O604" s="27"/>
      <c r="P604" s="27"/>
      <c r="Q604" s="42"/>
      <c r="R604" s="42"/>
      <c r="S604" s="26"/>
      <c r="T604" s="20"/>
      <c r="U604" s="20"/>
      <c r="V604" s="20"/>
      <c r="W604" s="20"/>
      <c r="X604" s="46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</row>
    <row r="605" ht="18.045112781954888" customHeight="1" spans="1:57" x14ac:dyDescent="0.25">
      <c r="A605" s="20"/>
      <c r="B605" s="20"/>
      <c r="C605" s="20"/>
      <c r="D605" s="21"/>
      <c r="E605" s="22"/>
      <c r="F605" s="21"/>
      <c r="G605" s="25"/>
      <c r="H605" s="20"/>
      <c r="I605" s="20"/>
      <c r="J605" s="20"/>
      <c r="K605" s="20"/>
      <c r="L605" s="20"/>
      <c r="M605" s="25"/>
      <c r="N605" s="27"/>
      <c r="O605" s="27"/>
      <c r="P605" s="27"/>
      <c r="Q605" s="42"/>
      <c r="R605" s="42"/>
      <c r="S605" s="26"/>
      <c r="T605" s="20"/>
      <c r="U605" s="20"/>
      <c r="V605" s="20"/>
      <c r="W605" s="20"/>
      <c r="X605" s="46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</row>
    <row r="606" ht="18.045112781954888" customHeight="1" spans="1:57" x14ac:dyDescent="0.25">
      <c r="A606" s="20"/>
      <c r="B606" s="20"/>
      <c r="C606" s="20"/>
      <c r="D606" s="21"/>
      <c r="E606" s="22"/>
      <c r="F606" s="21"/>
      <c r="G606" s="25"/>
      <c r="H606" s="20"/>
      <c r="I606" s="20"/>
      <c r="J606" s="20"/>
      <c r="K606" s="20"/>
      <c r="L606" s="20"/>
      <c r="M606" s="25"/>
      <c r="N606" s="27"/>
      <c r="O606" s="27"/>
      <c r="P606" s="27"/>
      <c r="Q606" s="42"/>
      <c r="R606" s="42"/>
      <c r="S606" s="26"/>
      <c r="T606" s="20"/>
      <c r="U606" s="20"/>
      <c r="V606" s="20"/>
      <c r="W606" s="20"/>
      <c r="X606" s="46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</row>
    <row r="607" ht="18.045112781954888" customHeight="1" spans="1:57" x14ac:dyDescent="0.25">
      <c r="A607" s="20"/>
      <c r="B607" s="20"/>
      <c r="C607" s="20"/>
      <c r="D607" s="21"/>
      <c r="E607" s="22"/>
      <c r="F607" s="21"/>
      <c r="G607" s="25"/>
      <c r="H607" s="20"/>
      <c r="I607" s="20"/>
      <c r="J607" s="20"/>
      <c r="K607" s="20"/>
      <c r="L607" s="20"/>
      <c r="M607" s="25"/>
      <c r="N607" s="27"/>
      <c r="O607" s="27"/>
      <c r="P607" s="27"/>
      <c r="Q607" s="42"/>
      <c r="R607" s="42"/>
      <c r="S607" s="26"/>
      <c r="T607" s="20"/>
      <c r="U607" s="20"/>
      <c r="V607" s="20"/>
      <c r="W607" s="20"/>
      <c r="X607" s="46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</row>
    <row r="608" ht="18.045112781954888" customHeight="1" spans="1:57" x14ac:dyDescent="0.25">
      <c r="A608" s="20"/>
      <c r="B608" s="20"/>
      <c r="C608" s="20"/>
      <c r="D608" s="21"/>
      <c r="E608" s="22"/>
      <c r="F608" s="21"/>
      <c r="G608" s="25"/>
      <c r="H608" s="20"/>
      <c r="I608" s="20"/>
      <c r="J608" s="20"/>
      <c r="K608" s="20"/>
      <c r="L608" s="20"/>
      <c r="M608" s="25"/>
      <c r="N608" s="27"/>
      <c r="O608" s="27"/>
      <c r="P608" s="27"/>
      <c r="Q608" s="42"/>
      <c r="R608" s="42"/>
      <c r="S608" s="26"/>
      <c r="T608" s="20"/>
      <c r="U608" s="20"/>
      <c r="V608" s="20"/>
      <c r="W608" s="20"/>
      <c r="X608" s="46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</row>
    <row r="609" ht="18.045112781954888" customHeight="1" spans="1:57" x14ac:dyDescent="0.25">
      <c r="A609" s="20"/>
      <c r="B609" s="20"/>
      <c r="C609" s="20"/>
      <c r="D609" s="21"/>
      <c r="E609" s="22"/>
      <c r="F609" s="21"/>
      <c r="G609" s="25"/>
      <c r="H609" s="20"/>
      <c r="I609" s="20"/>
      <c r="J609" s="20"/>
      <c r="K609" s="20"/>
      <c r="L609" s="20"/>
      <c r="M609" s="25"/>
      <c r="N609" s="27"/>
      <c r="O609" s="27"/>
      <c r="P609" s="27"/>
      <c r="Q609" s="42"/>
      <c r="R609" s="42"/>
      <c r="S609" s="26"/>
      <c r="T609" s="20"/>
      <c r="U609" s="20"/>
      <c r="V609" s="20"/>
      <c r="W609" s="20"/>
      <c r="X609" s="46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</row>
    <row r="610" ht="18.045112781954888" customHeight="1" spans="1:57" x14ac:dyDescent="0.25">
      <c r="A610" s="20"/>
      <c r="B610" s="20"/>
      <c r="C610" s="20"/>
      <c r="D610" s="21"/>
      <c r="E610" s="22"/>
      <c r="F610" s="21"/>
      <c r="G610" s="25"/>
      <c r="H610" s="20"/>
      <c r="I610" s="20"/>
      <c r="J610" s="20"/>
      <c r="K610" s="20"/>
      <c r="L610" s="20"/>
      <c r="M610" s="25"/>
      <c r="N610" s="27"/>
      <c r="O610" s="27"/>
      <c r="P610" s="27"/>
      <c r="Q610" s="42"/>
      <c r="R610" s="42"/>
      <c r="S610" s="26"/>
      <c r="T610" s="20"/>
      <c r="U610" s="20"/>
      <c r="V610" s="20"/>
      <c r="W610" s="20"/>
      <c r="X610" s="46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</row>
    <row r="611" ht="18.045112781954888" customHeight="1" spans="1:57" x14ac:dyDescent="0.25">
      <c r="A611" s="20"/>
      <c r="B611" s="20"/>
      <c r="C611" s="20"/>
      <c r="D611" s="21"/>
      <c r="E611" s="22"/>
      <c r="F611" s="21"/>
      <c r="G611" s="25"/>
      <c r="H611" s="20"/>
      <c r="I611" s="20"/>
      <c r="J611" s="20"/>
      <c r="K611" s="20"/>
      <c r="L611" s="20"/>
      <c r="M611" s="25"/>
      <c r="N611" s="27"/>
      <c r="O611" s="27"/>
      <c r="P611" s="27"/>
      <c r="Q611" s="42"/>
      <c r="R611" s="42"/>
      <c r="S611" s="26"/>
      <c r="T611" s="20"/>
      <c r="U611" s="20"/>
      <c r="V611" s="20"/>
      <c r="W611" s="20"/>
      <c r="X611" s="46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</row>
    <row r="612" ht="18.045112781954888" customHeight="1" spans="1:57" x14ac:dyDescent="0.25">
      <c r="A612" s="20"/>
      <c r="B612" s="20"/>
      <c r="C612" s="20"/>
      <c r="D612" s="21"/>
      <c r="E612" s="22"/>
      <c r="F612" s="21"/>
      <c r="G612" s="25"/>
      <c r="H612" s="20"/>
      <c r="I612" s="20"/>
      <c r="J612" s="20"/>
      <c r="K612" s="20"/>
      <c r="L612" s="20"/>
      <c r="M612" s="25"/>
      <c r="N612" s="27"/>
      <c r="O612" s="27"/>
      <c r="P612" s="27"/>
      <c r="Q612" s="42"/>
      <c r="R612" s="42"/>
      <c r="S612" s="26"/>
      <c r="T612" s="20"/>
      <c r="U612" s="20"/>
      <c r="V612" s="20"/>
      <c r="W612" s="20"/>
      <c r="X612" s="46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</row>
    <row r="613" ht="18.045112781954888" customHeight="1" spans="1:57" x14ac:dyDescent="0.25">
      <c r="A613" s="20"/>
      <c r="B613" s="20"/>
      <c r="C613" s="20"/>
      <c r="D613" s="21"/>
      <c r="E613" s="22"/>
      <c r="F613" s="21"/>
      <c r="G613" s="25"/>
      <c r="H613" s="20"/>
      <c r="I613" s="20"/>
      <c r="J613" s="20"/>
      <c r="K613" s="20"/>
      <c r="L613" s="20"/>
      <c r="M613" s="25"/>
      <c r="N613" s="27"/>
      <c r="O613" s="27"/>
      <c r="P613" s="27"/>
      <c r="Q613" s="42"/>
      <c r="R613" s="42"/>
      <c r="S613" s="26"/>
      <c r="T613" s="20"/>
      <c r="U613" s="20"/>
      <c r="V613" s="20"/>
      <c r="W613" s="20"/>
      <c r="X613" s="46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</row>
    <row r="614" ht="18.045112781954888" customHeight="1" spans="1:57" x14ac:dyDescent="0.25">
      <c r="A614" s="20"/>
      <c r="B614" s="20"/>
      <c r="C614" s="20"/>
      <c r="D614" s="21"/>
      <c r="E614" s="22"/>
      <c r="F614" s="21"/>
      <c r="G614" s="25"/>
      <c r="H614" s="20"/>
      <c r="I614" s="20"/>
      <c r="J614" s="20"/>
      <c r="K614" s="20"/>
      <c r="L614" s="20"/>
      <c r="M614" s="25"/>
      <c r="N614" s="27"/>
      <c r="O614" s="27"/>
      <c r="P614" s="27"/>
      <c r="Q614" s="42"/>
      <c r="R614" s="42"/>
      <c r="S614" s="26"/>
      <c r="T614" s="20"/>
      <c r="U614" s="20"/>
      <c r="V614" s="20"/>
      <c r="W614" s="20"/>
      <c r="X614" s="46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</row>
    <row r="615" ht="18.045112781954888" customHeight="1" spans="1:57" x14ac:dyDescent="0.25">
      <c r="A615" s="20"/>
      <c r="B615" s="20"/>
      <c r="C615" s="20"/>
      <c r="D615" s="21"/>
      <c r="E615" s="22"/>
      <c r="F615" s="21"/>
      <c r="G615" s="25"/>
      <c r="H615" s="20"/>
      <c r="I615" s="20"/>
      <c r="J615" s="20"/>
      <c r="K615" s="20"/>
      <c r="L615" s="20"/>
      <c r="M615" s="25"/>
      <c r="N615" s="27"/>
      <c r="O615" s="27"/>
      <c r="P615" s="27"/>
      <c r="Q615" s="42"/>
      <c r="R615" s="42"/>
      <c r="S615" s="26"/>
      <c r="T615" s="20"/>
      <c r="U615" s="20"/>
      <c r="V615" s="20"/>
      <c r="W615" s="20"/>
      <c r="X615" s="46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</row>
    <row r="616" ht="18.045112781954888" customHeight="1" spans="1:57" x14ac:dyDescent="0.25">
      <c r="A616" s="20"/>
      <c r="B616" s="20"/>
      <c r="C616" s="20"/>
      <c r="D616" s="21"/>
      <c r="E616" s="22"/>
      <c r="F616" s="21"/>
      <c r="G616" s="25"/>
      <c r="H616" s="20"/>
      <c r="I616" s="20"/>
      <c r="J616" s="20"/>
      <c r="K616" s="20"/>
      <c r="L616" s="20"/>
      <c r="M616" s="25"/>
      <c r="N616" s="27"/>
      <c r="O616" s="27"/>
      <c r="P616" s="27"/>
      <c r="Q616" s="42"/>
      <c r="R616" s="42"/>
      <c r="S616" s="26"/>
      <c r="T616" s="20"/>
      <c r="U616" s="20"/>
      <c r="V616" s="20"/>
      <c r="W616" s="20"/>
      <c r="X616" s="46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</row>
    <row r="617" ht="18.045112781954888" customHeight="1" spans="1:57" x14ac:dyDescent="0.25">
      <c r="A617" s="20"/>
      <c r="B617" s="20"/>
      <c r="C617" s="20"/>
      <c r="D617" s="21"/>
      <c r="E617" s="22"/>
      <c r="F617" s="21"/>
      <c r="G617" s="25"/>
      <c r="H617" s="20"/>
      <c r="I617" s="20"/>
      <c r="J617" s="20"/>
      <c r="K617" s="20"/>
      <c r="L617" s="20"/>
      <c r="M617" s="25"/>
      <c r="N617" s="27"/>
      <c r="O617" s="27"/>
      <c r="P617" s="27"/>
      <c r="Q617" s="42"/>
      <c r="R617" s="42"/>
      <c r="S617" s="26"/>
      <c r="T617" s="20"/>
      <c r="U617" s="20"/>
      <c r="V617" s="20"/>
      <c r="W617" s="20"/>
      <c r="X617" s="46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</row>
    <row r="618" ht="18.045112781954888" customHeight="1" spans="1:57" x14ac:dyDescent="0.25">
      <c r="A618" s="20"/>
      <c r="B618" s="20"/>
      <c r="C618" s="20"/>
      <c r="D618" s="21"/>
      <c r="E618" s="22"/>
      <c r="F618" s="21"/>
      <c r="G618" s="25"/>
      <c r="H618" s="20"/>
      <c r="I618" s="20"/>
      <c r="J618" s="20"/>
      <c r="K618" s="20"/>
      <c r="L618" s="20"/>
      <c r="M618" s="25"/>
      <c r="N618" s="27"/>
      <c r="O618" s="27"/>
      <c r="P618" s="27"/>
      <c r="Q618" s="42"/>
      <c r="R618" s="42"/>
      <c r="S618" s="26"/>
      <c r="T618" s="20"/>
      <c r="U618" s="20"/>
      <c r="V618" s="20"/>
      <c r="W618" s="20"/>
      <c r="X618" s="46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</row>
    <row r="619" ht="18.045112781954888" customHeight="1" spans="1:57" x14ac:dyDescent="0.25">
      <c r="A619" s="20"/>
      <c r="B619" s="20"/>
      <c r="C619" s="20"/>
      <c r="D619" s="21"/>
      <c r="E619" s="22"/>
      <c r="F619" s="21"/>
      <c r="G619" s="25"/>
      <c r="H619" s="20"/>
      <c r="I619" s="20"/>
      <c r="J619" s="20"/>
      <c r="K619" s="20"/>
      <c r="L619" s="20"/>
      <c r="M619" s="25"/>
      <c r="N619" s="27"/>
      <c r="O619" s="27"/>
      <c r="P619" s="27"/>
      <c r="Q619" s="42"/>
      <c r="R619" s="42"/>
      <c r="S619" s="26"/>
      <c r="T619" s="20"/>
      <c r="U619" s="20"/>
      <c r="V619" s="20"/>
      <c r="W619" s="20"/>
      <c r="X619" s="46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</row>
    <row r="620" ht="18.045112781954888" customHeight="1" spans="1:57" x14ac:dyDescent="0.25">
      <c r="A620" s="20"/>
      <c r="B620" s="20"/>
      <c r="C620" s="20"/>
      <c r="D620" s="21"/>
      <c r="E620" s="22"/>
      <c r="F620" s="21"/>
      <c r="G620" s="25"/>
      <c r="H620" s="20"/>
      <c r="I620" s="20"/>
      <c r="J620" s="20"/>
      <c r="K620" s="20"/>
      <c r="L620" s="20"/>
      <c r="M620" s="25"/>
      <c r="N620" s="27"/>
      <c r="O620" s="27"/>
      <c r="P620" s="27"/>
      <c r="Q620" s="42"/>
      <c r="R620" s="42"/>
      <c r="S620" s="26"/>
      <c r="T620" s="20"/>
      <c r="U620" s="20"/>
      <c r="V620" s="20"/>
      <c r="W620" s="20"/>
      <c r="X620" s="46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</row>
    <row r="621" ht="18.045112781954888" customHeight="1" spans="1:57" x14ac:dyDescent="0.25">
      <c r="A621" s="20"/>
      <c r="B621" s="20"/>
      <c r="C621" s="20"/>
      <c r="D621" s="21"/>
      <c r="E621" s="22"/>
      <c r="F621" s="21"/>
      <c r="G621" s="25"/>
      <c r="H621" s="20"/>
      <c r="I621" s="20"/>
      <c r="J621" s="20"/>
      <c r="K621" s="20"/>
      <c r="L621" s="20"/>
      <c r="M621" s="25"/>
      <c r="N621" s="27"/>
      <c r="O621" s="27"/>
      <c r="P621" s="27"/>
      <c r="Q621" s="42"/>
      <c r="R621" s="42"/>
      <c r="S621" s="26"/>
      <c r="T621" s="20"/>
      <c r="U621" s="20"/>
      <c r="V621" s="20"/>
      <c r="W621" s="20"/>
      <c r="X621" s="46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</row>
    <row r="622" ht="18.045112781954888" customHeight="1" spans="1:57" x14ac:dyDescent="0.25">
      <c r="A622" s="20"/>
      <c r="B622" s="20"/>
      <c r="C622" s="20"/>
      <c r="D622" s="21"/>
      <c r="E622" s="22"/>
      <c r="F622" s="21"/>
      <c r="G622" s="25"/>
      <c r="H622" s="20"/>
      <c r="I622" s="20"/>
      <c r="J622" s="20"/>
      <c r="K622" s="20"/>
      <c r="L622" s="20"/>
      <c r="M622" s="25"/>
      <c r="N622" s="27"/>
      <c r="O622" s="27"/>
      <c r="P622" s="27"/>
      <c r="Q622" s="42"/>
      <c r="R622" s="42"/>
      <c r="S622" s="26"/>
      <c r="T622" s="20"/>
      <c r="U622" s="20"/>
      <c r="V622" s="20"/>
      <c r="W622" s="20"/>
      <c r="X622" s="46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</row>
    <row r="623" ht="18.045112781954888" customHeight="1" spans="1:57" x14ac:dyDescent="0.25">
      <c r="A623" s="20"/>
      <c r="B623" s="20"/>
      <c r="C623" s="20"/>
      <c r="D623" s="21"/>
      <c r="E623" s="22"/>
      <c r="F623" s="21"/>
      <c r="G623" s="25"/>
      <c r="H623" s="20"/>
      <c r="I623" s="20"/>
      <c r="J623" s="20"/>
      <c r="K623" s="20"/>
      <c r="L623" s="20"/>
      <c r="M623" s="25"/>
      <c r="N623" s="27"/>
      <c r="O623" s="27"/>
      <c r="P623" s="27"/>
      <c r="Q623" s="42"/>
      <c r="R623" s="42"/>
      <c r="S623" s="26"/>
      <c r="T623" s="20"/>
      <c r="U623" s="20"/>
      <c r="V623" s="20"/>
      <c r="W623" s="20"/>
      <c r="X623" s="46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</row>
    <row r="624" ht="18.045112781954888" customHeight="1" spans="1:57" x14ac:dyDescent="0.25">
      <c r="A624" s="20"/>
      <c r="B624" s="20"/>
      <c r="C624" s="20"/>
      <c r="D624" s="21"/>
      <c r="E624" s="22"/>
      <c r="F624" s="21"/>
      <c r="G624" s="25"/>
      <c r="H624" s="20"/>
      <c r="I624" s="20"/>
      <c r="J624" s="20"/>
      <c r="K624" s="20"/>
      <c r="L624" s="20"/>
      <c r="M624" s="25"/>
      <c r="N624" s="27"/>
      <c r="O624" s="27"/>
      <c r="P624" s="27"/>
      <c r="Q624" s="42"/>
      <c r="R624" s="42"/>
      <c r="S624" s="26"/>
      <c r="T624" s="20"/>
      <c r="U624" s="20"/>
      <c r="V624" s="20"/>
      <c r="W624" s="20"/>
      <c r="X624" s="46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</row>
    <row r="625" ht="18.045112781954888" customHeight="1" spans="1:57" x14ac:dyDescent="0.25">
      <c r="A625" s="20"/>
      <c r="B625" s="20"/>
      <c r="C625" s="20"/>
      <c r="D625" s="21"/>
      <c r="E625" s="22"/>
      <c r="F625" s="21"/>
      <c r="G625" s="25"/>
      <c r="H625" s="20"/>
      <c r="I625" s="20"/>
      <c r="J625" s="20"/>
      <c r="K625" s="20"/>
      <c r="L625" s="20"/>
      <c r="M625" s="25"/>
      <c r="N625" s="27"/>
      <c r="O625" s="27"/>
      <c r="P625" s="27"/>
      <c r="Q625" s="42"/>
      <c r="R625" s="42"/>
      <c r="S625" s="26"/>
      <c r="T625" s="20"/>
      <c r="U625" s="20"/>
      <c r="V625" s="20"/>
      <c r="W625" s="20"/>
      <c r="X625" s="46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</row>
    <row r="626" ht="18.045112781954888" customHeight="1" spans="1:57" x14ac:dyDescent="0.25">
      <c r="A626" s="20"/>
      <c r="B626" s="20"/>
      <c r="C626" s="20"/>
      <c r="D626" s="21"/>
      <c r="E626" s="22"/>
      <c r="F626" s="21"/>
      <c r="G626" s="25"/>
      <c r="H626" s="20"/>
      <c r="I626" s="20"/>
      <c r="J626" s="20"/>
      <c r="K626" s="20"/>
      <c r="L626" s="20"/>
      <c r="M626" s="25"/>
      <c r="N626" s="27"/>
      <c r="O626" s="27"/>
      <c r="P626" s="27"/>
      <c r="Q626" s="42"/>
      <c r="R626" s="42"/>
      <c r="S626" s="26"/>
      <c r="T626" s="20"/>
      <c r="U626" s="20"/>
      <c r="V626" s="20"/>
      <c r="W626" s="20"/>
      <c r="X626" s="46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</row>
    <row r="627" ht="18.045112781954888" customHeight="1" spans="1:57" x14ac:dyDescent="0.25">
      <c r="A627" s="20"/>
      <c r="B627" s="20"/>
      <c r="C627" s="20"/>
      <c r="D627" s="21"/>
      <c r="E627" s="22"/>
      <c r="F627" s="21"/>
      <c r="G627" s="25"/>
      <c r="H627" s="20"/>
      <c r="I627" s="20"/>
      <c r="J627" s="20"/>
      <c r="K627" s="20"/>
      <c r="L627" s="20"/>
      <c r="M627" s="25"/>
      <c r="N627" s="27"/>
      <c r="O627" s="27"/>
      <c r="P627" s="27"/>
      <c r="Q627" s="42"/>
      <c r="R627" s="42"/>
      <c r="S627" s="26"/>
      <c r="T627" s="20"/>
      <c r="U627" s="20"/>
      <c r="V627" s="20"/>
      <c r="W627" s="20"/>
      <c r="X627" s="46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</row>
    <row r="628" ht="18.045112781954888" customHeight="1" spans="1:57" x14ac:dyDescent="0.25">
      <c r="A628" s="20"/>
      <c r="B628" s="20"/>
      <c r="C628" s="20"/>
      <c r="D628" s="21"/>
      <c r="E628" s="22"/>
      <c r="F628" s="21"/>
      <c r="G628" s="25"/>
      <c r="H628" s="20"/>
      <c r="I628" s="20"/>
      <c r="J628" s="20"/>
      <c r="K628" s="20"/>
      <c r="L628" s="20"/>
      <c r="M628" s="25"/>
      <c r="N628" s="27"/>
      <c r="O628" s="27"/>
      <c r="P628" s="27"/>
      <c r="Q628" s="42"/>
      <c r="R628" s="42"/>
      <c r="S628" s="26"/>
      <c r="T628" s="20"/>
      <c r="U628" s="20"/>
      <c r="V628" s="20"/>
      <c r="W628" s="20"/>
      <c r="X628" s="46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</row>
    <row r="629" ht="18.045112781954888" customHeight="1" spans="1:57" x14ac:dyDescent="0.25">
      <c r="A629" s="20"/>
      <c r="B629" s="20"/>
      <c r="C629" s="20"/>
      <c r="D629" s="21"/>
      <c r="E629" s="22"/>
      <c r="F629" s="21"/>
      <c r="G629" s="25"/>
      <c r="H629" s="20"/>
      <c r="I629" s="20"/>
      <c r="J629" s="20"/>
      <c r="K629" s="20"/>
      <c r="L629" s="20"/>
      <c r="M629" s="25"/>
      <c r="N629" s="27"/>
      <c r="O629" s="27"/>
      <c r="P629" s="27"/>
      <c r="Q629" s="42"/>
      <c r="R629" s="42"/>
      <c r="S629" s="26"/>
      <c r="T629" s="20"/>
      <c r="U629" s="20"/>
      <c r="V629" s="20"/>
      <c r="W629" s="20"/>
      <c r="X629" s="46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</row>
    <row r="630" ht="18.045112781954888" customHeight="1" spans="1:57" x14ac:dyDescent="0.25">
      <c r="A630" s="20"/>
      <c r="B630" s="20"/>
      <c r="C630" s="20"/>
      <c r="D630" s="21"/>
      <c r="E630" s="22"/>
      <c r="F630" s="21"/>
      <c r="G630" s="25"/>
      <c r="H630" s="20"/>
      <c r="I630" s="20"/>
      <c r="J630" s="20"/>
      <c r="K630" s="20"/>
      <c r="L630" s="20"/>
      <c r="M630" s="25"/>
      <c r="N630" s="27"/>
      <c r="O630" s="27"/>
      <c r="P630" s="27"/>
      <c r="Q630" s="42"/>
      <c r="R630" s="42"/>
      <c r="S630" s="26"/>
      <c r="T630" s="20"/>
      <c r="U630" s="20"/>
      <c r="V630" s="20"/>
      <c r="W630" s="20"/>
      <c r="X630" s="46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</row>
    <row r="631" ht="18.045112781954888" customHeight="1" spans="1:57" x14ac:dyDescent="0.25">
      <c r="A631" s="20"/>
      <c r="B631" s="20"/>
      <c r="C631" s="20"/>
      <c r="D631" s="21"/>
      <c r="E631" s="22"/>
      <c r="F631" s="21"/>
      <c r="G631" s="25"/>
      <c r="H631" s="20"/>
      <c r="I631" s="20"/>
      <c r="J631" s="20"/>
      <c r="K631" s="20"/>
      <c r="L631" s="20"/>
      <c r="M631" s="25"/>
      <c r="N631" s="27"/>
      <c r="O631" s="27"/>
      <c r="P631" s="27"/>
      <c r="Q631" s="42"/>
      <c r="R631" s="42"/>
      <c r="S631" s="26"/>
      <c r="T631" s="20"/>
      <c r="U631" s="20"/>
      <c r="V631" s="20"/>
      <c r="W631" s="20"/>
      <c r="X631" s="46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</row>
    <row r="632" ht="18.045112781954888" customHeight="1" spans="1:57" x14ac:dyDescent="0.25">
      <c r="A632" s="20"/>
      <c r="B632" s="20"/>
      <c r="C632" s="20"/>
      <c r="D632" s="21"/>
      <c r="E632" s="22"/>
      <c r="F632" s="21"/>
      <c r="G632" s="25"/>
      <c r="H632" s="20"/>
      <c r="I632" s="20"/>
      <c r="J632" s="20"/>
      <c r="K632" s="20"/>
      <c r="L632" s="20"/>
      <c r="M632" s="25"/>
      <c r="N632" s="27"/>
      <c r="O632" s="27"/>
      <c r="P632" s="27"/>
      <c r="Q632" s="42"/>
      <c r="R632" s="42"/>
      <c r="S632" s="26"/>
      <c r="T632" s="20"/>
      <c r="U632" s="20"/>
      <c r="V632" s="20"/>
      <c r="W632" s="20"/>
      <c r="X632" s="46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</row>
    <row r="633" ht="18.045112781954888" customHeight="1" spans="1:57" x14ac:dyDescent="0.25">
      <c r="A633" s="20"/>
      <c r="B633" s="20"/>
      <c r="C633" s="20"/>
      <c r="D633" s="21"/>
      <c r="E633" s="22"/>
      <c r="F633" s="21"/>
      <c r="G633" s="25"/>
      <c r="H633" s="20"/>
      <c r="I633" s="20"/>
      <c r="J633" s="20"/>
      <c r="K633" s="20"/>
      <c r="L633" s="20"/>
      <c r="M633" s="25"/>
      <c r="N633" s="27"/>
      <c r="O633" s="27"/>
      <c r="P633" s="27"/>
      <c r="Q633" s="42"/>
      <c r="R633" s="42"/>
      <c r="S633" s="26"/>
      <c r="T633" s="20"/>
      <c r="U633" s="20"/>
      <c r="V633" s="20"/>
      <c r="W633" s="20"/>
      <c r="X633" s="46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</row>
    <row r="634" ht="18.045112781954888" customHeight="1" spans="1:57" x14ac:dyDescent="0.25">
      <c r="A634" s="20"/>
      <c r="B634" s="20"/>
      <c r="C634" s="20"/>
      <c r="D634" s="21"/>
      <c r="E634" s="22"/>
      <c r="F634" s="21"/>
      <c r="G634" s="25"/>
      <c r="H634" s="20"/>
      <c r="I634" s="20"/>
      <c r="J634" s="20"/>
      <c r="K634" s="20"/>
      <c r="L634" s="20"/>
      <c r="M634" s="25"/>
      <c r="N634" s="27"/>
      <c r="O634" s="27"/>
      <c r="P634" s="27"/>
      <c r="Q634" s="42"/>
      <c r="R634" s="42"/>
      <c r="S634" s="26"/>
      <c r="T634" s="20"/>
      <c r="U634" s="20"/>
      <c r="V634" s="20"/>
      <c r="W634" s="20"/>
      <c r="X634" s="46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</row>
    <row r="635" ht="18.045112781954888" customHeight="1" spans="1:57" x14ac:dyDescent="0.25">
      <c r="A635" s="20"/>
      <c r="B635" s="20"/>
      <c r="C635" s="20"/>
      <c r="D635" s="21"/>
      <c r="E635" s="22"/>
      <c r="F635" s="21"/>
      <c r="G635" s="25"/>
      <c r="H635" s="20"/>
      <c r="I635" s="20"/>
      <c r="J635" s="20"/>
      <c r="K635" s="20"/>
      <c r="L635" s="20"/>
      <c r="M635" s="25"/>
      <c r="N635" s="27"/>
      <c r="O635" s="27"/>
      <c r="P635" s="27"/>
      <c r="Q635" s="42"/>
      <c r="R635" s="42"/>
      <c r="S635" s="26"/>
      <c r="T635" s="20"/>
      <c r="U635" s="20"/>
      <c r="V635" s="20"/>
      <c r="W635" s="20"/>
      <c r="X635" s="46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</row>
    <row r="636" ht="18.045112781954888" customHeight="1" spans="1:57" x14ac:dyDescent="0.25">
      <c r="A636" s="20"/>
      <c r="B636" s="20"/>
      <c r="C636" s="20"/>
      <c r="D636" s="21"/>
      <c r="E636" s="22"/>
      <c r="F636" s="21"/>
      <c r="G636" s="25"/>
      <c r="H636" s="20"/>
      <c r="I636" s="20"/>
      <c r="J636" s="20"/>
      <c r="K636" s="20"/>
      <c r="L636" s="20"/>
      <c r="M636" s="25"/>
      <c r="N636" s="27"/>
      <c r="O636" s="27"/>
      <c r="P636" s="27"/>
      <c r="Q636" s="42"/>
      <c r="R636" s="42"/>
      <c r="S636" s="26"/>
      <c r="T636" s="20"/>
      <c r="U636" s="20"/>
      <c r="V636" s="20"/>
      <c r="W636" s="20"/>
      <c r="X636" s="46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</row>
    <row r="637" ht="18.045112781954888" customHeight="1" spans="1:57" x14ac:dyDescent="0.25">
      <c r="A637" s="20"/>
      <c r="B637" s="20"/>
      <c r="C637" s="20"/>
      <c r="D637" s="21"/>
      <c r="E637" s="22"/>
      <c r="F637" s="21"/>
      <c r="G637" s="25"/>
      <c r="H637" s="20"/>
      <c r="I637" s="20"/>
      <c r="J637" s="20"/>
      <c r="K637" s="20"/>
      <c r="L637" s="20"/>
      <c r="M637" s="25"/>
      <c r="N637" s="27"/>
      <c r="O637" s="27"/>
      <c r="P637" s="27"/>
      <c r="Q637" s="42"/>
      <c r="R637" s="42"/>
      <c r="S637" s="26"/>
      <c r="T637" s="20"/>
      <c r="U637" s="20"/>
      <c r="V637" s="20"/>
      <c r="W637" s="20"/>
      <c r="X637" s="46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</row>
    <row r="638" ht="18.045112781954888" customHeight="1" spans="1:57" x14ac:dyDescent="0.25">
      <c r="A638" s="20"/>
      <c r="B638" s="20"/>
      <c r="C638" s="20"/>
      <c r="D638" s="21"/>
      <c r="E638" s="22"/>
      <c r="F638" s="21"/>
      <c r="G638" s="25"/>
      <c r="H638" s="20"/>
      <c r="I638" s="20"/>
      <c r="J638" s="20"/>
      <c r="K638" s="20"/>
      <c r="L638" s="20"/>
      <c r="M638" s="25"/>
      <c r="N638" s="27"/>
      <c r="O638" s="27"/>
      <c r="P638" s="27"/>
      <c r="Q638" s="42"/>
      <c r="R638" s="42"/>
      <c r="S638" s="26"/>
      <c r="T638" s="20"/>
      <c r="U638" s="20"/>
      <c r="V638" s="20"/>
      <c r="W638" s="20"/>
      <c r="X638" s="46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</row>
    <row r="639" ht="18.045112781954888" customHeight="1" spans="1:57" x14ac:dyDescent="0.25">
      <c r="A639" s="20"/>
      <c r="B639" s="20"/>
      <c r="C639" s="20"/>
      <c r="D639" s="21"/>
      <c r="E639" s="22"/>
      <c r="F639" s="21"/>
      <c r="G639" s="25"/>
      <c r="H639" s="20"/>
      <c r="I639" s="20"/>
      <c r="J639" s="20"/>
      <c r="K639" s="20"/>
      <c r="L639" s="20"/>
      <c r="M639" s="25"/>
      <c r="N639" s="27"/>
      <c r="O639" s="27"/>
      <c r="P639" s="27"/>
      <c r="Q639" s="42"/>
      <c r="R639" s="42"/>
      <c r="S639" s="26"/>
      <c r="T639" s="20"/>
      <c r="U639" s="20"/>
      <c r="V639" s="20"/>
      <c r="W639" s="20"/>
      <c r="X639" s="46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</row>
    <row r="640" ht="18.045112781954888" customHeight="1" spans="1:57" x14ac:dyDescent="0.25">
      <c r="A640" s="20"/>
      <c r="B640" s="20"/>
      <c r="C640" s="20"/>
      <c r="D640" s="21"/>
      <c r="E640" s="22"/>
      <c r="F640" s="21"/>
      <c r="G640" s="25"/>
      <c r="H640" s="20"/>
      <c r="I640" s="20"/>
      <c r="J640" s="20"/>
      <c r="K640" s="20"/>
      <c r="L640" s="20"/>
      <c r="M640" s="25"/>
      <c r="N640" s="27"/>
      <c r="O640" s="27"/>
      <c r="P640" s="27"/>
      <c r="Q640" s="42"/>
      <c r="R640" s="42"/>
      <c r="S640" s="26"/>
      <c r="T640" s="20"/>
      <c r="U640" s="20"/>
      <c r="V640" s="20"/>
      <c r="W640" s="20"/>
      <c r="X640" s="46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</row>
    <row r="641" ht="18.045112781954888" customHeight="1" spans="1:57" x14ac:dyDescent="0.25">
      <c r="A641" s="20"/>
      <c r="B641" s="20"/>
      <c r="C641" s="20"/>
      <c r="D641" s="21"/>
      <c r="E641" s="22"/>
      <c r="F641" s="21"/>
      <c r="G641" s="25"/>
      <c r="H641" s="20"/>
      <c r="I641" s="20"/>
      <c r="J641" s="20"/>
      <c r="K641" s="20"/>
      <c r="L641" s="20"/>
      <c r="M641" s="25"/>
      <c r="N641" s="27"/>
      <c r="O641" s="27"/>
      <c r="P641" s="27"/>
      <c r="Q641" s="42"/>
      <c r="R641" s="42"/>
      <c r="S641" s="26"/>
      <c r="T641" s="20"/>
      <c r="U641" s="20"/>
      <c r="V641" s="20"/>
      <c r="W641" s="20"/>
      <c r="X641" s="46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</row>
    <row r="642" ht="18.045112781954888" customHeight="1" spans="1:57" x14ac:dyDescent="0.25">
      <c r="A642" s="20"/>
      <c r="B642" s="20"/>
      <c r="C642" s="20"/>
      <c r="D642" s="21"/>
      <c r="E642" s="22"/>
      <c r="F642" s="21"/>
      <c r="G642" s="25"/>
      <c r="H642" s="20"/>
      <c r="I642" s="20"/>
      <c r="J642" s="20"/>
      <c r="K642" s="20"/>
      <c r="L642" s="20"/>
      <c r="M642" s="25"/>
      <c r="N642" s="27"/>
      <c r="O642" s="27"/>
      <c r="P642" s="27"/>
      <c r="Q642" s="42"/>
      <c r="R642" s="42"/>
      <c r="S642" s="26"/>
      <c r="T642" s="20"/>
      <c r="U642" s="20"/>
      <c r="V642" s="20"/>
      <c r="W642" s="20"/>
      <c r="X642" s="46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</row>
    <row r="643" ht="18.045112781954888" customHeight="1" spans="1:57" x14ac:dyDescent="0.25">
      <c r="A643" s="20"/>
      <c r="B643" s="20"/>
      <c r="C643" s="20"/>
      <c r="D643" s="21"/>
      <c r="E643" s="22"/>
      <c r="F643" s="21"/>
      <c r="G643" s="25"/>
      <c r="H643" s="20"/>
      <c r="I643" s="20"/>
      <c r="J643" s="20"/>
      <c r="K643" s="20"/>
      <c r="L643" s="20"/>
      <c r="M643" s="25"/>
      <c r="N643" s="27"/>
      <c r="O643" s="27"/>
      <c r="P643" s="27"/>
      <c r="Q643" s="42"/>
      <c r="R643" s="42"/>
      <c r="S643" s="26"/>
      <c r="T643" s="20"/>
      <c r="U643" s="20"/>
      <c r="V643" s="20"/>
      <c r="W643" s="20"/>
      <c r="X643" s="46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</row>
    <row r="644" ht="18.045112781954888" customHeight="1" spans="1:57" x14ac:dyDescent="0.25">
      <c r="A644" s="20"/>
      <c r="B644" s="20"/>
      <c r="C644" s="20"/>
      <c r="D644" s="21"/>
      <c r="E644" s="22"/>
      <c r="F644" s="21"/>
      <c r="G644" s="25"/>
      <c r="H644" s="20"/>
      <c r="I644" s="20"/>
      <c r="J644" s="20"/>
      <c r="K644" s="20"/>
      <c r="L644" s="20"/>
      <c r="M644" s="25"/>
      <c r="N644" s="27"/>
      <c r="O644" s="27"/>
      <c r="P644" s="27"/>
      <c r="Q644" s="42"/>
      <c r="R644" s="42"/>
      <c r="S644" s="26"/>
      <c r="T644" s="20"/>
      <c r="U644" s="20"/>
      <c r="V644" s="20"/>
      <c r="W644" s="20"/>
      <c r="X644" s="46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</row>
    <row r="645" ht="18.045112781954888" customHeight="1" spans="1:57" x14ac:dyDescent="0.25">
      <c r="A645" s="20"/>
      <c r="B645" s="20"/>
      <c r="C645" s="20"/>
      <c r="D645" s="21"/>
      <c r="E645" s="22"/>
      <c r="F645" s="21"/>
      <c r="G645" s="25"/>
      <c r="H645" s="20"/>
      <c r="I645" s="20"/>
      <c r="J645" s="20"/>
      <c r="K645" s="20"/>
      <c r="L645" s="20"/>
      <c r="M645" s="25"/>
      <c r="N645" s="27"/>
      <c r="O645" s="27"/>
      <c r="P645" s="27"/>
      <c r="Q645" s="42"/>
      <c r="R645" s="42"/>
      <c r="S645" s="26"/>
      <c r="T645" s="20"/>
      <c r="U645" s="20"/>
      <c r="V645" s="20"/>
      <c r="W645" s="20"/>
      <c r="X645" s="46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</row>
    <row r="646" ht="18.045112781954888" customHeight="1" spans="1:57" x14ac:dyDescent="0.25">
      <c r="A646" s="20"/>
      <c r="B646" s="20"/>
      <c r="C646" s="20"/>
      <c r="D646" s="21"/>
      <c r="E646" s="22"/>
      <c r="F646" s="21"/>
      <c r="G646" s="25"/>
      <c r="H646" s="20"/>
      <c r="I646" s="20"/>
      <c r="J646" s="20"/>
      <c r="K646" s="20"/>
      <c r="L646" s="20"/>
      <c r="M646" s="25"/>
      <c r="N646" s="27"/>
      <c r="O646" s="27"/>
      <c r="P646" s="27"/>
      <c r="Q646" s="42"/>
      <c r="R646" s="42"/>
      <c r="S646" s="26"/>
      <c r="T646" s="20"/>
      <c r="U646" s="20"/>
      <c r="V646" s="20"/>
      <c r="W646" s="20"/>
      <c r="X646" s="46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</row>
    <row r="647" ht="18.045112781954888" customHeight="1" spans="1:57" x14ac:dyDescent="0.25">
      <c r="A647" s="20"/>
      <c r="B647" s="20"/>
      <c r="C647" s="20"/>
      <c r="D647" s="21"/>
      <c r="E647" s="22"/>
      <c r="F647" s="21"/>
      <c r="G647" s="25"/>
      <c r="H647" s="20"/>
      <c r="I647" s="20"/>
      <c r="J647" s="20"/>
      <c r="K647" s="20"/>
      <c r="L647" s="20"/>
      <c r="M647" s="25"/>
      <c r="N647" s="27"/>
      <c r="O647" s="27"/>
      <c r="P647" s="27"/>
      <c r="Q647" s="42"/>
      <c r="R647" s="42"/>
      <c r="S647" s="26"/>
      <c r="T647" s="20"/>
      <c r="U647" s="20"/>
      <c r="V647" s="20"/>
      <c r="W647" s="20"/>
      <c r="X647" s="46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</row>
    <row r="648" ht="18.045112781954888" customHeight="1" spans="1:57" x14ac:dyDescent="0.25">
      <c r="A648" s="20"/>
      <c r="B648" s="20"/>
      <c r="C648" s="20"/>
      <c r="D648" s="21"/>
      <c r="E648" s="22"/>
      <c r="F648" s="21"/>
      <c r="G648" s="25"/>
      <c r="H648" s="20"/>
      <c r="I648" s="20"/>
      <c r="J648" s="20"/>
      <c r="K648" s="20"/>
      <c r="L648" s="20"/>
      <c r="M648" s="25"/>
      <c r="N648" s="27"/>
      <c r="O648" s="27"/>
      <c r="P648" s="27"/>
      <c r="Q648" s="42"/>
      <c r="R648" s="42"/>
      <c r="S648" s="26"/>
      <c r="T648" s="20"/>
      <c r="U648" s="20"/>
      <c r="V648" s="20"/>
      <c r="W648" s="20"/>
      <c r="X648" s="46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</row>
    <row r="649" ht="18.045112781954888" customHeight="1" spans="1:57" x14ac:dyDescent="0.25">
      <c r="A649" s="20"/>
      <c r="B649" s="20"/>
      <c r="C649" s="20"/>
      <c r="D649" s="21"/>
      <c r="E649" s="22"/>
      <c r="F649" s="21"/>
      <c r="G649" s="25"/>
      <c r="H649" s="20"/>
      <c r="I649" s="20"/>
      <c r="J649" s="20"/>
      <c r="K649" s="20"/>
      <c r="L649" s="20"/>
      <c r="M649" s="25"/>
      <c r="N649" s="27"/>
      <c r="O649" s="27"/>
      <c r="P649" s="27"/>
      <c r="Q649" s="42"/>
      <c r="R649" s="42"/>
      <c r="S649" s="26"/>
      <c r="T649" s="20"/>
      <c r="U649" s="20"/>
      <c r="V649" s="20"/>
      <c r="W649" s="20"/>
      <c r="X649" s="46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</row>
    <row r="650" ht="18.045112781954888" customHeight="1" spans="1:57" x14ac:dyDescent="0.25">
      <c r="A650" s="20"/>
      <c r="B650" s="20"/>
      <c r="C650" s="20"/>
      <c r="D650" s="21"/>
      <c r="E650" s="22"/>
      <c r="F650" s="21"/>
      <c r="G650" s="25"/>
      <c r="H650" s="20"/>
      <c r="I650" s="20"/>
      <c r="J650" s="20"/>
      <c r="K650" s="20"/>
      <c r="L650" s="20"/>
      <c r="M650" s="25"/>
      <c r="N650" s="27"/>
      <c r="O650" s="27"/>
      <c r="P650" s="27"/>
      <c r="Q650" s="42"/>
      <c r="R650" s="42"/>
      <c r="S650" s="26"/>
      <c r="T650" s="20"/>
      <c r="U650" s="20"/>
      <c r="V650" s="20"/>
      <c r="W650" s="20"/>
      <c r="X650" s="46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</row>
    <row r="651" ht="18.045112781954888" customHeight="1" spans="1:57" x14ac:dyDescent="0.25">
      <c r="A651" s="20"/>
      <c r="B651" s="20"/>
      <c r="C651" s="20"/>
      <c r="D651" s="21"/>
      <c r="E651" s="22"/>
      <c r="F651" s="21"/>
      <c r="G651" s="25"/>
      <c r="H651" s="20"/>
      <c r="I651" s="20"/>
      <c r="J651" s="20"/>
      <c r="K651" s="20"/>
      <c r="L651" s="20"/>
      <c r="M651" s="25"/>
      <c r="N651" s="27"/>
      <c r="O651" s="27"/>
      <c r="P651" s="27"/>
      <c r="Q651" s="42"/>
      <c r="R651" s="42"/>
      <c r="S651" s="26"/>
      <c r="T651" s="20"/>
      <c r="U651" s="20"/>
      <c r="V651" s="20"/>
      <c r="W651" s="20"/>
      <c r="X651" s="46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</row>
    <row r="652" ht="18.045112781954888" customHeight="1" spans="1:57" x14ac:dyDescent="0.25">
      <c r="A652" s="20"/>
      <c r="B652" s="20"/>
      <c r="C652" s="20"/>
      <c r="D652" s="21"/>
      <c r="E652" s="22"/>
      <c r="F652" s="21"/>
      <c r="G652" s="25"/>
      <c r="H652" s="20"/>
      <c r="I652" s="20"/>
      <c r="J652" s="20"/>
      <c r="K652" s="20"/>
      <c r="L652" s="20"/>
      <c r="M652" s="25"/>
      <c r="N652" s="27"/>
      <c r="O652" s="27"/>
      <c r="P652" s="27"/>
      <c r="Q652" s="42"/>
      <c r="R652" s="42"/>
      <c r="S652" s="26"/>
      <c r="T652" s="20"/>
      <c r="U652" s="20"/>
      <c r="V652" s="20"/>
      <c r="W652" s="20"/>
      <c r="X652" s="46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</row>
    <row r="653" ht="18.045112781954888" customHeight="1" spans="1:57" x14ac:dyDescent="0.25">
      <c r="A653" s="20"/>
      <c r="B653" s="20"/>
      <c r="C653" s="20"/>
      <c r="D653" s="21"/>
      <c r="E653" s="22"/>
      <c r="F653" s="21"/>
      <c r="G653" s="25"/>
      <c r="H653" s="20"/>
      <c r="I653" s="20"/>
      <c r="J653" s="20"/>
      <c r="K653" s="20"/>
      <c r="L653" s="20"/>
      <c r="M653" s="25"/>
      <c r="N653" s="27"/>
      <c r="O653" s="27"/>
      <c r="P653" s="27"/>
      <c r="Q653" s="42"/>
      <c r="R653" s="42"/>
      <c r="S653" s="26"/>
      <c r="T653" s="20"/>
      <c r="U653" s="20"/>
      <c r="V653" s="20"/>
      <c r="W653" s="20"/>
      <c r="X653" s="46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</row>
    <row r="654" ht="18.045112781954888" customHeight="1" spans="1:57" x14ac:dyDescent="0.25">
      <c r="A654" s="20"/>
      <c r="B654" s="20"/>
      <c r="C654" s="20"/>
      <c r="D654" s="21"/>
      <c r="E654" s="22"/>
      <c r="F654" s="21"/>
      <c r="G654" s="25"/>
      <c r="H654" s="20"/>
      <c r="I654" s="20"/>
      <c r="J654" s="20"/>
      <c r="K654" s="20"/>
      <c r="L654" s="20"/>
      <c r="M654" s="25"/>
      <c r="N654" s="27"/>
      <c r="O654" s="27"/>
      <c r="P654" s="27"/>
      <c r="Q654" s="42"/>
      <c r="R654" s="42"/>
      <c r="S654" s="26"/>
      <c r="T654" s="20"/>
      <c r="U654" s="20"/>
      <c r="V654" s="20"/>
      <c r="W654" s="20"/>
      <c r="X654" s="46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</row>
    <row r="655" ht="18.045112781954888" customHeight="1" spans="1:57" x14ac:dyDescent="0.25">
      <c r="A655" s="20"/>
      <c r="B655" s="20"/>
      <c r="C655" s="20"/>
      <c r="D655" s="21"/>
      <c r="E655" s="22"/>
      <c r="F655" s="21"/>
      <c r="G655" s="25"/>
      <c r="H655" s="20"/>
      <c r="I655" s="20"/>
      <c r="J655" s="20"/>
      <c r="K655" s="20"/>
      <c r="L655" s="20"/>
      <c r="M655" s="25"/>
      <c r="N655" s="27"/>
      <c r="O655" s="27"/>
      <c r="P655" s="27"/>
      <c r="Q655" s="42"/>
      <c r="R655" s="42"/>
      <c r="S655" s="26"/>
      <c r="T655" s="20"/>
      <c r="U655" s="20"/>
      <c r="V655" s="20"/>
      <c r="W655" s="20"/>
      <c r="X655" s="46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</row>
    <row r="656" ht="18.045112781954888" customHeight="1" spans="1:57" x14ac:dyDescent="0.25">
      <c r="A656" s="20"/>
      <c r="B656" s="20"/>
      <c r="C656" s="20"/>
      <c r="D656" s="21"/>
      <c r="E656" s="22"/>
      <c r="F656" s="21"/>
      <c r="G656" s="25"/>
      <c r="H656" s="20"/>
      <c r="I656" s="20"/>
      <c r="J656" s="20"/>
      <c r="K656" s="20"/>
      <c r="L656" s="20"/>
      <c r="M656" s="25"/>
      <c r="N656" s="27"/>
      <c r="O656" s="27"/>
      <c r="P656" s="27"/>
      <c r="Q656" s="42"/>
      <c r="R656" s="42"/>
      <c r="S656" s="26"/>
      <c r="T656" s="20"/>
      <c r="U656" s="20"/>
      <c r="V656" s="20"/>
      <c r="W656" s="20"/>
      <c r="X656" s="46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</row>
    <row r="657" ht="18.045112781954888" customHeight="1" spans="1:57" x14ac:dyDescent="0.25">
      <c r="A657" s="20"/>
      <c r="B657" s="20"/>
      <c r="C657" s="20"/>
      <c r="D657" s="21"/>
      <c r="E657" s="22"/>
      <c r="F657" s="21"/>
      <c r="G657" s="25"/>
      <c r="H657" s="20"/>
      <c r="I657" s="20"/>
      <c r="J657" s="20"/>
      <c r="K657" s="20"/>
      <c r="L657" s="20"/>
      <c r="M657" s="25"/>
      <c r="N657" s="27"/>
      <c r="O657" s="27"/>
      <c r="P657" s="27"/>
      <c r="Q657" s="42"/>
      <c r="R657" s="42"/>
      <c r="S657" s="26"/>
      <c r="T657" s="20"/>
      <c r="U657" s="20"/>
      <c r="V657" s="20"/>
      <c r="W657" s="20"/>
      <c r="X657" s="46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</row>
    <row r="658" ht="18.045112781954888" customHeight="1" spans="1:57" x14ac:dyDescent="0.25">
      <c r="A658" s="20"/>
      <c r="B658" s="20"/>
      <c r="C658" s="20"/>
      <c r="D658" s="21"/>
      <c r="E658" s="22"/>
      <c r="F658" s="21"/>
      <c r="G658" s="25"/>
      <c r="H658" s="20"/>
      <c r="I658" s="20"/>
      <c r="J658" s="20"/>
      <c r="K658" s="20"/>
      <c r="L658" s="20"/>
      <c r="M658" s="25"/>
      <c r="N658" s="27"/>
      <c r="O658" s="27"/>
      <c r="P658" s="27"/>
      <c r="Q658" s="42"/>
      <c r="R658" s="42"/>
      <c r="S658" s="26"/>
      <c r="T658" s="20"/>
      <c r="U658" s="20"/>
      <c r="V658" s="20"/>
      <c r="W658" s="20"/>
      <c r="X658" s="46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</row>
    <row r="659" ht="18.045112781954888" customHeight="1" spans="1:57" x14ac:dyDescent="0.25">
      <c r="A659" s="20"/>
      <c r="B659" s="20"/>
      <c r="C659" s="20"/>
      <c r="D659" s="21"/>
      <c r="E659" s="22"/>
      <c r="F659" s="21"/>
      <c r="G659" s="25"/>
      <c r="H659" s="20"/>
      <c r="I659" s="20"/>
      <c r="J659" s="20"/>
      <c r="K659" s="20"/>
      <c r="L659" s="20"/>
      <c r="M659" s="25"/>
      <c r="N659" s="27"/>
      <c r="O659" s="27"/>
      <c r="P659" s="27"/>
      <c r="Q659" s="42"/>
      <c r="R659" s="42"/>
      <c r="S659" s="26"/>
      <c r="T659" s="20"/>
      <c r="U659" s="20"/>
      <c r="V659" s="20"/>
      <c r="W659" s="20"/>
      <c r="X659" s="46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</row>
    <row r="660" ht="18.045112781954888" customHeight="1" spans="1:57" x14ac:dyDescent="0.25">
      <c r="A660" s="20"/>
      <c r="B660" s="20"/>
      <c r="C660" s="20"/>
      <c r="D660" s="21"/>
      <c r="E660" s="22"/>
      <c r="F660" s="21"/>
      <c r="G660" s="25"/>
      <c r="H660" s="20"/>
      <c r="I660" s="20"/>
      <c r="J660" s="20"/>
      <c r="K660" s="20"/>
      <c r="L660" s="20"/>
      <c r="M660" s="25"/>
      <c r="N660" s="27"/>
      <c r="O660" s="27"/>
      <c r="P660" s="27"/>
      <c r="Q660" s="42"/>
      <c r="R660" s="42"/>
      <c r="S660" s="26"/>
      <c r="T660" s="20"/>
      <c r="U660" s="20"/>
      <c r="V660" s="20"/>
      <c r="W660" s="20"/>
      <c r="X660" s="46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</row>
    <row r="661" ht="18.045112781954888" customHeight="1" spans="1:57" x14ac:dyDescent="0.25">
      <c r="A661" s="20"/>
      <c r="B661" s="20"/>
      <c r="C661" s="20"/>
      <c r="D661" s="21"/>
      <c r="E661" s="22"/>
      <c r="F661" s="21"/>
      <c r="G661" s="25"/>
      <c r="H661" s="20"/>
      <c r="I661" s="20"/>
      <c r="J661" s="20"/>
      <c r="K661" s="20"/>
      <c r="L661" s="20"/>
      <c r="M661" s="25"/>
      <c r="N661" s="27"/>
      <c r="O661" s="27"/>
      <c r="P661" s="27"/>
      <c r="Q661" s="42"/>
      <c r="R661" s="42"/>
      <c r="S661" s="26"/>
      <c r="T661" s="20"/>
      <c r="U661" s="20"/>
      <c r="V661" s="20"/>
      <c r="W661" s="20"/>
      <c r="X661" s="46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</row>
    <row r="662" ht="18.045112781954888" customHeight="1" spans="1:57" x14ac:dyDescent="0.25">
      <c r="A662" s="20"/>
      <c r="B662" s="20"/>
      <c r="C662" s="20"/>
      <c r="D662" s="21"/>
      <c r="E662" s="22"/>
      <c r="F662" s="21"/>
      <c r="G662" s="25"/>
      <c r="H662" s="20"/>
      <c r="I662" s="20"/>
      <c r="J662" s="20"/>
      <c r="K662" s="20"/>
      <c r="L662" s="20"/>
      <c r="M662" s="25"/>
      <c r="N662" s="27"/>
      <c r="O662" s="27"/>
      <c r="P662" s="27"/>
      <c r="Q662" s="42"/>
      <c r="R662" s="42"/>
      <c r="S662" s="26"/>
      <c r="T662" s="20"/>
      <c r="U662" s="20"/>
      <c r="V662" s="20"/>
      <c r="W662" s="20"/>
      <c r="X662" s="46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</row>
    <row r="663" ht="18.045112781954888" customHeight="1" spans="1:57" x14ac:dyDescent="0.25">
      <c r="A663" s="20"/>
      <c r="B663" s="20"/>
      <c r="C663" s="20"/>
      <c r="D663" s="21"/>
      <c r="E663" s="22"/>
      <c r="F663" s="21"/>
      <c r="G663" s="25"/>
      <c r="H663" s="20"/>
      <c r="I663" s="20"/>
      <c r="J663" s="20"/>
      <c r="K663" s="20"/>
      <c r="L663" s="20"/>
      <c r="M663" s="25"/>
      <c r="N663" s="27"/>
      <c r="O663" s="27"/>
      <c r="P663" s="27"/>
      <c r="Q663" s="42"/>
      <c r="R663" s="42"/>
      <c r="S663" s="26"/>
      <c r="T663" s="20"/>
      <c r="U663" s="20"/>
      <c r="V663" s="20"/>
      <c r="W663" s="20"/>
      <c r="X663" s="46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</row>
    <row r="664" ht="18.045112781954888" customHeight="1" spans="1:57" x14ac:dyDescent="0.25">
      <c r="A664" s="20"/>
      <c r="B664" s="20"/>
      <c r="C664" s="20"/>
      <c r="D664" s="21"/>
      <c r="E664" s="22"/>
      <c r="F664" s="21"/>
      <c r="G664" s="25"/>
      <c r="H664" s="20"/>
      <c r="I664" s="20"/>
      <c r="J664" s="20"/>
      <c r="K664" s="20"/>
      <c r="L664" s="20"/>
      <c r="M664" s="25"/>
      <c r="N664" s="27"/>
      <c r="O664" s="27"/>
      <c r="P664" s="27"/>
      <c r="Q664" s="42"/>
      <c r="R664" s="42"/>
      <c r="S664" s="26"/>
      <c r="T664" s="20"/>
      <c r="U664" s="20"/>
      <c r="V664" s="20"/>
      <c r="W664" s="20"/>
      <c r="X664" s="46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</row>
    <row r="665" ht="18.045112781954888" customHeight="1" spans="1:57" x14ac:dyDescent="0.25">
      <c r="A665" s="20"/>
      <c r="B665" s="20"/>
      <c r="C665" s="20"/>
      <c r="D665" s="21"/>
      <c r="E665" s="22"/>
      <c r="F665" s="21"/>
      <c r="G665" s="25"/>
      <c r="H665" s="20"/>
      <c r="I665" s="20"/>
      <c r="J665" s="20"/>
      <c r="K665" s="20"/>
      <c r="L665" s="20"/>
      <c r="M665" s="25"/>
      <c r="N665" s="27"/>
      <c r="O665" s="27"/>
      <c r="P665" s="27"/>
      <c r="Q665" s="42"/>
      <c r="R665" s="42"/>
      <c r="S665" s="26"/>
      <c r="T665" s="20"/>
      <c r="U665" s="20"/>
      <c r="V665" s="20"/>
      <c r="W665" s="20"/>
      <c r="X665" s="46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</row>
    <row r="666" ht="18.045112781954888" customHeight="1" spans="1:57" x14ac:dyDescent="0.25">
      <c r="A666" s="20"/>
      <c r="B666" s="20"/>
      <c r="C666" s="20"/>
      <c r="D666" s="21"/>
      <c r="E666" s="22"/>
      <c r="F666" s="21"/>
      <c r="G666" s="25"/>
      <c r="H666" s="20"/>
      <c r="I666" s="20"/>
      <c r="J666" s="20"/>
      <c r="K666" s="20"/>
      <c r="L666" s="20"/>
      <c r="M666" s="25"/>
      <c r="N666" s="27"/>
      <c r="O666" s="27"/>
      <c r="P666" s="27"/>
      <c r="Q666" s="42"/>
      <c r="R666" s="42"/>
      <c r="S666" s="26"/>
      <c r="T666" s="20"/>
      <c r="U666" s="20"/>
      <c r="V666" s="20"/>
      <c r="W666" s="20"/>
      <c r="X666" s="46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</row>
    <row r="667" ht="18.045112781954888" customHeight="1" spans="1:57" x14ac:dyDescent="0.25">
      <c r="A667" s="20"/>
      <c r="B667" s="20"/>
      <c r="C667" s="20"/>
      <c r="D667" s="21"/>
      <c r="E667" s="22"/>
      <c r="F667" s="21"/>
      <c r="G667" s="25"/>
      <c r="H667" s="20"/>
      <c r="I667" s="20"/>
      <c r="J667" s="20"/>
      <c r="K667" s="20"/>
      <c r="L667" s="20"/>
      <c r="M667" s="25"/>
      <c r="N667" s="27"/>
      <c r="O667" s="27"/>
      <c r="P667" s="27"/>
      <c r="Q667" s="42"/>
      <c r="R667" s="42"/>
      <c r="S667" s="26"/>
      <c r="T667" s="20"/>
      <c r="U667" s="20"/>
      <c r="V667" s="20"/>
      <c r="W667" s="20"/>
      <c r="X667" s="46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</row>
    <row r="668" ht="18.045112781954888" customHeight="1" spans="1:57" x14ac:dyDescent="0.25">
      <c r="A668" s="20"/>
      <c r="B668" s="20"/>
      <c r="C668" s="20"/>
      <c r="D668" s="21"/>
      <c r="E668" s="22"/>
      <c r="F668" s="21"/>
      <c r="G668" s="25"/>
      <c r="H668" s="20"/>
      <c r="I668" s="20"/>
      <c r="J668" s="20"/>
      <c r="K668" s="20"/>
      <c r="L668" s="20"/>
      <c r="M668" s="25"/>
      <c r="N668" s="27"/>
      <c r="O668" s="27"/>
      <c r="P668" s="27"/>
      <c r="Q668" s="42"/>
      <c r="R668" s="42"/>
      <c r="S668" s="26"/>
      <c r="T668" s="20"/>
      <c r="U668" s="20"/>
      <c r="V668" s="20"/>
      <c r="W668" s="20"/>
      <c r="X668" s="46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</row>
    <row r="669" ht="18.045112781954888" customHeight="1" spans="1:57" x14ac:dyDescent="0.25">
      <c r="A669" s="20"/>
      <c r="B669" s="20"/>
      <c r="C669" s="20"/>
      <c r="D669" s="21"/>
      <c r="E669" s="22"/>
      <c r="F669" s="21"/>
      <c r="G669" s="25"/>
      <c r="H669" s="20"/>
      <c r="I669" s="20"/>
      <c r="J669" s="20"/>
      <c r="K669" s="20"/>
      <c r="L669" s="20"/>
      <c r="M669" s="25"/>
      <c r="N669" s="27"/>
      <c r="O669" s="27"/>
      <c r="P669" s="27"/>
      <c r="Q669" s="42"/>
      <c r="R669" s="42"/>
      <c r="S669" s="26"/>
      <c r="T669" s="20"/>
      <c r="U669" s="20"/>
      <c r="V669" s="20"/>
      <c r="W669" s="20"/>
      <c r="X669" s="46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</row>
    <row r="670" ht="18.045112781954888" customHeight="1" spans="1:57" x14ac:dyDescent="0.25">
      <c r="A670" s="20"/>
      <c r="B670" s="20"/>
      <c r="C670" s="20"/>
      <c r="D670" s="21"/>
      <c r="E670" s="22"/>
      <c r="F670" s="21"/>
      <c r="G670" s="25"/>
      <c r="H670" s="20"/>
      <c r="I670" s="20"/>
      <c r="J670" s="20"/>
      <c r="K670" s="20"/>
      <c r="L670" s="20"/>
      <c r="M670" s="25"/>
      <c r="N670" s="27"/>
      <c r="O670" s="27"/>
      <c r="P670" s="27"/>
      <c r="Q670" s="42"/>
      <c r="R670" s="42"/>
      <c r="S670" s="26"/>
      <c r="T670" s="20"/>
      <c r="U670" s="20"/>
      <c r="V670" s="20"/>
      <c r="W670" s="20"/>
      <c r="X670" s="46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</row>
    <row r="671" ht="18.045112781954888" customHeight="1" spans="1:57" x14ac:dyDescent="0.25">
      <c r="A671" s="20"/>
      <c r="B671" s="20"/>
      <c r="C671" s="20"/>
      <c r="D671" s="21"/>
      <c r="E671" s="22"/>
      <c r="F671" s="21"/>
      <c r="G671" s="25"/>
      <c r="H671" s="20"/>
      <c r="I671" s="20"/>
      <c r="J671" s="20"/>
      <c r="K671" s="20"/>
      <c r="L671" s="20"/>
      <c r="M671" s="25"/>
      <c r="N671" s="27"/>
      <c r="O671" s="27"/>
      <c r="P671" s="27"/>
      <c r="Q671" s="42"/>
      <c r="R671" s="42"/>
      <c r="S671" s="26"/>
      <c r="T671" s="20"/>
      <c r="U671" s="20"/>
      <c r="V671" s="20"/>
      <c r="W671" s="20"/>
      <c r="X671" s="46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</row>
    <row r="672" ht="18.045112781954888" customHeight="1" spans="1:57" x14ac:dyDescent="0.25">
      <c r="A672" s="20"/>
      <c r="B672" s="20"/>
      <c r="C672" s="20"/>
      <c r="D672" s="21"/>
      <c r="E672" s="22"/>
      <c r="F672" s="21"/>
      <c r="G672" s="25"/>
      <c r="H672" s="20"/>
      <c r="I672" s="20"/>
      <c r="J672" s="20"/>
      <c r="K672" s="20"/>
      <c r="L672" s="20"/>
      <c r="M672" s="25"/>
      <c r="N672" s="27"/>
      <c r="O672" s="27"/>
      <c r="P672" s="27"/>
      <c r="Q672" s="42"/>
      <c r="R672" s="42"/>
      <c r="S672" s="26"/>
      <c r="T672" s="20"/>
      <c r="U672" s="20"/>
      <c r="V672" s="20"/>
      <c r="W672" s="20"/>
      <c r="X672" s="46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</row>
    <row r="673" ht="18.045112781954888" customHeight="1" spans="1:57" x14ac:dyDescent="0.25">
      <c r="A673" s="20"/>
      <c r="B673" s="20"/>
      <c r="C673" s="20"/>
      <c r="D673" s="21"/>
      <c r="E673" s="22"/>
      <c r="F673" s="21"/>
      <c r="G673" s="25"/>
      <c r="H673" s="20"/>
      <c r="I673" s="20"/>
      <c r="J673" s="20"/>
      <c r="K673" s="20"/>
      <c r="L673" s="20"/>
      <c r="M673" s="25"/>
      <c r="N673" s="27"/>
      <c r="O673" s="27"/>
      <c r="P673" s="27"/>
      <c r="Q673" s="42"/>
      <c r="R673" s="42"/>
      <c r="S673" s="26"/>
      <c r="T673" s="20"/>
      <c r="U673" s="20"/>
      <c r="V673" s="20"/>
      <c r="W673" s="20"/>
      <c r="X673" s="46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</row>
    <row r="674" ht="18.045112781954888" customHeight="1" spans="1:57" x14ac:dyDescent="0.25">
      <c r="A674" s="20"/>
      <c r="B674" s="20"/>
      <c r="C674" s="20"/>
      <c r="D674" s="21"/>
      <c r="E674" s="22"/>
      <c r="F674" s="21"/>
      <c r="G674" s="25"/>
      <c r="H674" s="20"/>
      <c r="I674" s="20"/>
      <c r="J674" s="20"/>
      <c r="K674" s="20"/>
      <c r="L674" s="20"/>
      <c r="M674" s="25"/>
      <c r="N674" s="27"/>
      <c r="O674" s="27"/>
      <c r="P674" s="27"/>
      <c r="Q674" s="42"/>
      <c r="R674" s="42"/>
      <c r="S674" s="26"/>
      <c r="T674" s="20"/>
      <c r="U674" s="20"/>
      <c r="V674" s="20"/>
      <c r="W674" s="20"/>
      <c r="X674" s="46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</row>
    <row r="675" ht="18.045112781954888" customHeight="1" spans="1:57" x14ac:dyDescent="0.25">
      <c r="A675" s="20"/>
      <c r="B675" s="20"/>
      <c r="C675" s="20"/>
      <c r="D675" s="21"/>
      <c r="E675" s="22"/>
      <c r="F675" s="21"/>
      <c r="G675" s="25"/>
      <c r="H675" s="20"/>
      <c r="I675" s="20"/>
      <c r="J675" s="20"/>
      <c r="K675" s="20"/>
      <c r="L675" s="20"/>
      <c r="M675" s="25"/>
      <c r="N675" s="27"/>
      <c r="O675" s="27"/>
      <c r="P675" s="27"/>
      <c r="Q675" s="42"/>
      <c r="R675" s="42"/>
      <c r="S675" s="26"/>
      <c r="T675" s="20"/>
      <c r="U675" s="20"/>
      <c r="V675" s="20"/>
      <c r="W675" s="20"/>
      <c r="X675" s="46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</row>
    <row r="676" ht="18.045112781954888" customHeight="1" spans="1:57" x14ac:dyDescent="0.25">
      <c r="A676" s="20"/>
      <c r="B676" s="20"/>
      <c r="C676" s="20"/>
      <c r="D676" s="21"/>
      <c r="E676" s="22"/>
      <c r="F676" s="21"/>
      <c r="G676" s="25"/>
      <c r="H676" s="20"/>
      <c r="I676" s="20"/>
      <c r="J676" s="20"/>
      <c r="K676" s="20"/>
      <c r="L676" s="20"/>
      <c r="M676" s="25"/>
      <c r="N676" s="27"/>
      <c r="O676" s="27"/>
      <c r="P676" s="27"/>
      <c r="Q676" s="42"/>
      <c r="R676" s="42"/>
      <c r="S676" s="26"/>
      <c r="T676" s="20"/>
      <c r="U676" s="20"/>
      <c r="V676" s="20"/>
      <c r="W676" s="20"/>
      <c r="X676" s="46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</row>
    <row r="677" ht="18.045112781954888" customHeight="1" spans="1:57" x14ac:dyDescent="0.25">
      <c r="A677" s="20"/>
      <c r="B677" s="20"/>
      <c r="C677" s="20"/>
      <c r="D677" s="21"/>
      <c r="E677" s="22"/>
      <c r="F677" s="21"/>
      <c r="G677" s="25"/>
      <c r="H677" s="20"/>
      <c r="I677" s="20"/>
      <c r="J677" s="20"/>
      <c r="K677" s="20"/>
      <c r="L677" s="20"/>
      <c r="M677" s="25"/>
      <c r="N677" s="27"/>
      <c r="O677" s="27"/>
      <c r="P677" s="27"/>
      <c r="Q677" s="42"/>
      <c r="R677" s="42"/>
      <c r="S677" s="26"/>
      <c r="T677" s="20"/>
      <c r="U677" s="20"/>
      <c r="V677" s="20"/>
      <c r="W677" s="20"/>
      <c r="X677" s="46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</row>
    <row r="678" ht="18.045112781954888" customHeight="1" spans="1:57" x14ac:dyDescent="0.25">
      <c r="A678" s="20"/>
      <c r="B678" s="20"/>
      <c r="C678" s="20"/>
      <c r="D678" s="21"/>
      <c r="E678" s="22"/>
      <c r="F678" s="21"/>
      <c r="G678" s="25"/>
      <c r="H678" s="20"/>
      <c r="I678" s="20"/>
      <c r="J678" s="20"/>
      <c r="K678" s="20"/>
      <c r="L678" s="20"/>
      <c r="M678" s="25"/>
      <c r="N678" s="27"/>
      <c r="O678" s="27"/>
      <c r="P678" s="27"/>
      <c r="Q678" s="42"/>
      <c r="R678" s="42"/>
      <c r="S678" s="26"/>
      <c r="T678" s="20"/>
      <c r="U678" s="20"/>
      <c r="V678" s="20"/>
      <c r="W678" s="20"/>
      <c r="X678" s="46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</row>
    <row r="679" ht="18.045112781954888" customHeight="1" spans="1:57" x14ac:dyDescent="0.25">
      <c r="A679" s="20"/>
      <c r="B679" s="20"/>
      <c r="C679" s="20"/>
      <c r="D679" s="21"/>
      <c r="E679" s="22"/>
      <c r="F679" s="21"/>
      <c r="G679" s="25"/>
      <c r="H679" s="20"/>
      <c r="I679" s="20"/>
      <c r="J679" s="20"/>
      <c r="K679" s="20"/>
      <c r="L679" s="20"/>
      <c r="M679" s="25"/>
      <c r="N679" s="27"/>
      <c r="O679" s="27"/>
      <c r="P679" s="27"/>
      <c r="Q679" s="42"/>
      <c r="R679" s="42"/>
      <c r="S679" s="26"/>
      <c r="T679" s="20"/>
      <c r="U679" s="20"/>
      <c r="V679" s="20"/>
      <c r="W679" s="20"/>
      <c r="X679" s="46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</row>
    <row r="680" ht="18.045112781954888" customHeight="1" spans="1:57" x14ac:dyDescent="0.25">
      <c r="A680" s="20"/>
      <c r="B680" s="20"/>
      <c r="C680" s="20"/>
      <c r="D680" s="21"/>
      <c r="E680" s="22"/>
      <c r="F680" s="21"/>
      <c r="G680" s="25"/>
      <c r="H680" s="20"/>
      <c r="I680" s="20"/>
      <c r="J680" s="20"/>
      <c r="K680" s="20"/>
      <c r="L680" s="20"/>
      <c r="M680" s="25"/>
      <c r="N680" s="27"/>
      <c r="O680" s="27"/>
      <c r="P680" s="27"/>
      <c r="Q680" s="42"/>
      <c r="R680" s="42"/>
      <c r="S680" s="26"/>
      <c r="T680" s="20"/>
      <c r="U680" s="20"/>
      <c r="V680" s="20"/>
      <c r="W680" s="20"/>
      <c r="X680" s="46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</row>
    <row r="681" ht="18.045112781954888" customHeight="1" spans="1:57" x14ac:dyDescent="0.25">
      <c r="A681" s="20"/>
      <c r="B681" s="20"/>
      <c r="C681" s="20"/>
      <c r="D681" s="21"/>
      <c r="E681" s="22"/>
      <c r="F681" s="21"/>
      <c r="G681" s="25"/>
      <c r="H681" s="20"/>
      <c r="I681" s="20"/>
      <c r="J681" s="20"/>
      <c r="K681" s="20"/>
      <c r="L681" s="20"/>
      <c r="M681" s="25"/>
      <c r="N681" s="27"/>
      <c r="O681" s="27"/>
      <c r="P681" s="27"/>
      <c r="Q681" s="42"/>
      <c r="R681" s="42"/>
      <c r="S681" s="26"/>
      <c r="T681" s="20"/>
      <c r="U681" s="20"/>
      <c r="V681" s="20"/>
      <c r="W681" s="20"/>
      <c r="X681" s="46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</row>
    <row r="682" ht="18.045112781954888" customHeight="1" spans="1:57" x14ac:dyDescent="0.25">
      <c r="A682" s="20"/>
      <c r="B682" s="20"/>
      <c r="C682" s="20"/>
      <c r="D682" s="21"/>
      <c r="E682" s="22"/>
      <c r="F682" s="21"/>
      <c r="G682" s="25"/>
      <c r="H682" s="20"/>
      <c r="I682" s="20"/>
      <c r="J682" s="20"/>
      <c r="K682" s="20"/>
      <c r="L682" s="20"/>
      <c r="M682" s="25"/>
      <c r="N682" s="27"/>
      <c r="O682" s="27"/>
      <c r="P682" s="27"/>
      <c r="Q682" s="42"/>
      <c r="R682" s="42"/>
      <c r="S682" s="26"/>
      <c r="T682" s="20"/>
      <c r="U682" s="20"/>
      <c r="V682" s="20"/>
      <c r="W682" s="20"/>
      <c r="X682" s="46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</row>
    <row r="683" ht="18.045112781954888" customHeight="1" spans="1:57" x14ac:dyDescent="0.25">
      <c r="A683" s="20"/>
      <c r="B683" s="20"/>
      <c r="C683" s="20"/>
      <c r="D683" s="21"/>
      <c r="E683" s="22"/>
      <c r="F683" s="21"/>
      <c r="G683" s="25"/>
      <c r="H683" s="20"/>
      <c r="I683" s="20"/>
      <c r="J683" s="20"/>
      <c r="K683" s="20"/>
      <c r="L683" s="20"/>
      <c r="M683" s="25"/>
      <c r="N683" s="27"/>
      <c r="O683" s="27"/>
      <c r="P683" s="27"/>
      <c r="Q683" s="42"/>
      <c r="R683" s="42"/>
      <c r="S683" s="26"/>
      <c r="T683" s="20"/>
      <c r="U683" s="20"/>
      <c r="V683" s="20"/>
      <c r="W683" s="20"/>
      <c r="X683" s="46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</row>
    <row r="684" ht="18.045112781954888" customHeight="1" spans="1:57" x14ac:dyDescent="0.25">
      <c r="A684" s="20"/>
      <c r="B684" s="20"/>
      <c r="C684" s="20"/>
      <c r="D684" s="21"/>
      <c r="E684" s="22"/>
      <c r="F684" s="21"/>
      <c r="G684" s="25"/>
      <c r="H684" s="20"/>
      <c r="I684" s="20"/>
      <c r="J684" s="20"/>
      <c r="K684" s="20"/>
      <c r="L684" s="20"/>
      <c r="M684" s="25"/>
      <c r="N684" s="27"/>
      <c r="O684" s="27"/>
      <c r="P684" s="27"/>
      <c r="Q684" s="42"/>
      <c r="R684" s="42"/>
      <c r="S684" s="26"/>
      <c r="T684" s="20"/>
      <c r="U684" s="20"/>
      <c r="V684" s="20"/>
      <c r="W684" s="20"/>
      <c r="X684" s="46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</row>
    <row r="685" ht="18.045112781954888" customHeight="1" spans="1:57" x14ac:dyDescent="0.25">
      <c r="A685" s="20"/>
      <c r="B685" s="20"/>
      <c r="C685" s="20"/>
      <c r="D685" s="21"/>
      <c r="E685" s="22"/>
      <c r="F685" s="21"/>
      <c r="G685" s="25"/>
      <c r="H685" s="20"/>
      <c r="I685" s="20"/>
      <c r="J685" s="20"/>
      <c r="K685" s="20"/>
      <c r="L685" s="20"/>
      <c r="M685" s="25"/>
      <c r="N685" s="27"/>
      <c r="O685" s="27"/>
      <c r="P685" s="27"/>
      <c r="Q685" s="42"/>
      <c r="R685" s="42"/>
      <c r="S685" s="26"/>
      <c r="T685" s="20"/>
      <c r="U685" s="20"/>
      <c r="V685" s="20"/>
      <c r="W685" s="20"/>
      <c r="X685" s="46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</row>
    <row r="686" ht="18.045112781954888" customHeight="1" spans="1:57" x14ac:dyDescent="0.25">
      <c r="A686" s="20"/>
      <c r="B686" s="20"/>
      <c r="C686" s="20"/>
      <c r="D686" s="21"/>
      <c r="E686" s="22"/>
      <c r="F686" s="21"/>
      <c r="G686" s="25"/>
      <c r="H686" s="20"/>
      <c r="I686" s="20"/>
      <c r="J686" s="20"/>
      <c r="K686" s="20"/>
      <c r="L686" s="20"/>
      <c r="M686" s="25"/>
      <c r="N686" s="27"/>
      <c r="O686" s="27"/>
      <c r="P686" s="27"/>
      <c r="Q686" s="42"/>
      <c r="R686" s="42"/>
      <c r="S686" s="26"/>
      <c r="T686" s="20"/>
      <c r="U686" s="20"/>
      <c r="V686" s="20"/>
      <c r="W686" s="20"/>
      <c r="X686" s="46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</row>
    <row r="687" ht="18.045112781954888" customHeight="1" spans="1:57" x14ac:dyDescent="0.25">
      <c r="A687" s="20"/>
      <c r="B687" s="20"/>
      <c r="C687" s="20"/>
      <c r="D687" s="21"/>
      <c r="E687" s="22"/>
      <c r="F687" s="21"/>
      <c r="G687" s="25"/>
      <c r="H687" s="20"/>
      <c r="I687" s="20"/>
      <c r="J687" s="20"/>
      <c r="K687" s="20"/>
      <c r="L687" s="20"/>
      <c r="M687" s="25"/>
      <c r="N687" s="27"/>
      <c r="O687" s="27"/>
      <c r="P687" s="27"/>
      <c r="Q687" s="42"/>
      <c r="R687" s="42"/>
      <c r="S687" s="26"/>
      <c r="T687" s="20"/>
      <c r="U687" s="20"/>
      <c r="V687" s="20"/>
      <c r="W687" s="20"/>
      <c r="X687" s="46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</row>
    <row r="688" ht="18.045112781954888" customHeight="1" spans="1:57" x14ac:dyDescent="0.25">
      <c r="A688" s="20"/>
      <c r="B688" s="20"/>
      <c r="C688" s="20"/>
      <c r="D688" s="21"/>
      <c r="E688" s="22"/>
      <c r="F688" s="21"/>
      <c r="G688" s="25"/>
      <c r="H688" s="20"/>
      <c r="I688" s="20"/>
      <c r="J688" s="20"/>
      <c r="K688" s="20"/>
      <c r="L688" s="20"/>
      <c r="M688" s="25"/>
      <c r="N688" s="27"/>
      <c r="O688" s="27"/>
      <c r="P688" s="27"/>
      <c r="Q688" s="42"/>
      <c r="R688" s="42"/>
      <c r="S688" s="26"/>
      <c r="T688" s="20"/>
      <c r="U688" s="20"/>
      <c r="V688" s="20"/>
      <c r="W688" s="20"/>
      <c r="X688" s="46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</row>
    <row r="689" ht="18.045112781954888" customHeight="1" spans="1:57" x14ac:dyDescent="0.25">
      <c r="A689" s="20"/>
      <c r="B689" s="20"/>
      <c r="C689" s="20"/>
      <c r="D689" s="21"/>
      <c r="E689" s="22"/>
      <c r="F689" s="21"/>
      <c r="G689" s="25"/>
      <c r="H689" s="20"/>
      <c r="I689" s="20"/>
      <c r="J689" s="20"/>
      <c r="K689" s="20"/>
      <c r="L689" s="20"/>
      <c r="M689" s="25"/>
      <c r="N689" s="27"/>
      <c r="O689" s="27"/>
      <c r="P689" s="27"/>
      <c r="Q689" s="42"/>
      <c r="R689" s="42"/>
      <c r="S689" s="26"/>
      <c r="T689" s="20"/>
      <c r="U689" s="20"/>
      <c r="V689" s="20"/>
      <c r="W689" s="20"/>
      <c r="X689" s="46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</row>
    <row r="690" ht="18.045112781954888" customHeight="1" spans="1:57" x14ac:dyDescent="0.25">
      <c r="A690" s="20"/>
      <c r="B690" s="20"/>
      <c r="C690" s="20"/>
      <c r="D690" s="21"/>
      <c r="E690" s="22"/>
      <c r="F690" s="21"/>
      <c r="G690" s="25"/>
      <c r="H690" s="20"/>
      <c r="I690" s="20"/>
      <c r="J690" s="20"/>
      <c r="K690" s="20"/>
      <c r="L690" s="20"/>
      <c r="M690" s="25"/>
      <c r="N690" s="27"/>
      <c r="O690" s="27"/>
      <c r="P690" s="27"/>
      <c r="Q690" s="42"/>
      <c r="R690" s="42"/>
      <c r="S690" s="26"/>
      <c r="T690" s="20"/>
      <c r="U690" s="20"/>
      <c r="V690" s="20"/>
      <c r="W690" s="20"/>
      <c r="X690" s="46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</row>
    <row r="691" ht="18.045112781954888" customHeight="1" spans="1:57" x14ac:dyDescent="0.25">
      <c r="A691" s="20"/>
      <c r="B691" s="20"/>
      <c r="C691" s="20"/>
      <c r="D691" s="21"/>
      <c r="E691" s="22"/>
      <c r="F691" s="21"/>
      <c r="G691" s="25"/>
      <c r="H691" s="20"/>
      <c r="I691" s="20"/>
      <c r="J691" s="20"/>
      <c r="K691" s="20"/>
      <c r="L691" s="20"/>
      <c r="M691" s="25"/>
      <c r="N691" s="27"/>
      <c r="O691" s="27"/>
      <c r="P691" s="27"/>
      <c r="Q691" s="42"/>
      <c r="R691" s="42"/>
      <c r="S691" s="26"/>
      <c r="T691" s="20"/>
      <c r="U691" s="20"/>
      <c r="V691" s="20"/>
      <c r="W691" s="20"/>
      <c r="X691" s="46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</row>
    <row r="692" ht="18.045112781954888" customHeight="1" spans="1:57" x14ac:dyDescent="0.25">
      <c r="A692" s="20"/>
      <c r="B692" s="20"/>
      <c r="C692" s="20"/>
      <c r="D692" s="21"/>
      <c r="E692" s="22"/>
      <c r="F692" s="21"/>
      <c r="G692" s="25"/>
      <c r="H692" s="20"/>
      <c r="I692" s="20"/>
      <c r="J692" s="20"/>
      <c r="K692" s="20"/>
      <c r="L692" s="20"/>
      <c r="M692" s="25"/>
      <c r="N692" s="27"/>
      <c r="O692" s="27"/>
      <c r="P692" s="27"/>
      <c r="Q692" s="42"/>
      <c r="R692" s="42"/>
      <c r="S692" s="26"/>
      <c r="T692" s="20"/>
      <c r="U692" s="20"/>
      <c r="V692" s="20"/>
      <c r="W692" s="20"/>
      <c r="X692" s="46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</row>
    <row r="693" ht="18.045112781954888" customHeight="1" spans="1:57" x14ac:dyDescent="0.25">
      <c r="A693" s="20"/>
      <c r="B693" s="20"/>
      <c r="C693" s="20"/>
      <c r="D693" s="21"/>
      <c r="E693" s="22"/>
      <c r="F693" s="21"/>
      <c r="G693" s="25"/>
      <c r="H693" s="20"/>
      <c r="I693" s="20"/>
      <c r="J693" s="20"/>
      <c r="K693" s="20"/>
      <c r="L693" s="20"/>
      <c r="M693" s="25"/>
      <c r="N693" s="27"/>
      <c r="O693" s="27"/>
      <c r="P693" s="27"/>
      <c r="Q693" s="42"/>
      <c r="R693" s="42"/>
      <c r="S693" s="26"/>
      <c r="T693" s="20"/>
      <c r="U693" s="20"/>
      <c r="V693" s="20"/>
      <c r="W693" s="20"/>
      <c r="X693" s="46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</row>
    <row r="694" ht="18.045112781954888" customHeight="1" spans="1:57" x14ac:dyDescent="0.25">
      <c r="A694" s="20"/>
      <c r="B694" s="20"/>
      <c r="C694" s="20"/>
      <c r="D694" s="21"/>
      <c r="E694" s="22"/>
      <c r="F694" s="21"/>
      <c r="G694" s="25"/>
      <c r="H694" s="20"/>
      <c r="I694" s="20"/>
      <c r="J694" s="20"/>
      <c r="K694" s="20"/>
      <c r="L694" s="20"/>
      <c r="M694" s="25"/>
      <c r="N694" s="27"/>
      <c r="O694" s="27"/>
      <c r="P694" s="27"/>
      <c r="Q694" s="42"/>
      <c r="R694" s="42"/>
      <c r="S694" s="26"/>
      <c r="T694" s="20"/>
      <c r="U694" s="20"/>
      <c r="V694" s="20"/>
      <c r="W694" s="20"/>
      <c r="X694" s="46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</row>
    <row r="695" ht="18.045112781954888" customHeight="1" spans="1:57" x14ac:dyDescent="0.25">
      <c r="A695" s="20"/>
      <c r="B695" s="20"/>
      <c r="C695" s="20"/>
      <c r="D695" s="21"/>
      <c r="E695" s="22"/>
      <c r="F695" s="21"/>
      <c r="G695" s="25"/>
      <c r="H695" s="20"/>
      <c r="I695" s="20"/>
      <c r="J695" s="20"/>
      <c r="K695" s="20"/>
      <c r="L695" s="20"/>
      <c r="M695" s="25"/>
      <c r="N695" s="27"/>
      <c r="O695" s="27"/>
      <c r="P695" s="27"/>
      <c r="Q695" s="42"/>
      <c r="R695" s="42"/>
      <c r="S695" s="26"/>
      <c r="T695" s="20"/>
      <c r="U695" s="20"/>
      <c r="V695" s="20"/>
      <c r="W695" s="20"/>
      <c r="X695" s="46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</row>
    <row r="696" ht="18.045112781954888" customHeight="1" spans="1:57" x14ac:dyDescent="0.25">
      <c r="A696" s="20"/>
      <c r="B696" s="20"/>
      <c r="C696" s="20"/>
      <c r="D696" s="21"/>
      <c r="E696" s="22"/>
      <c r="F696" s="21"/>
      <c r="G696" s="25"/>
      <c r="H696" s="20"/>
      <c r="I696" s="20"/>
      <c r="J696" s="20"/>
      <c r="K696" s="20"/>
      <c r="L696" s="20"/>
      <c r="M696" s="25"/>
      <c r="N696" s="27"/>
      <c r="O696" s="27"/>
      <c r="P696" s="27"/>
      <c r="Q696" s="42"/>
      <c r="R696" s="42"/>
      <c r="S696" s="26"/>
      <c r="T696" s="20"/>
      <c r="U696" s="20"/>
      <c r="V696" s="20"/>
      <c r="W696" s="20"/>
      <c r="X696" s="46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《发票标准字典》</vt:lpstr>
      <vt:lpstr>《发票标准字典》20260115存档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2026-01-16T01:50:15Z</dcterms:created>
  <dcterms:modified xsi:type="dcterms:W3CDTF">2026-01-16T01:50:15Z</dcterms:modified>
</cp:coreProperties>
</file>